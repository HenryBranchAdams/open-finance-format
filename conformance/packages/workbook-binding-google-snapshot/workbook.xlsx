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4b2cf80f9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ea65add7bf34961"/>
    <x:sheet xmlns:r="http://schemas.openxmlformats.org/officeDocument/2006/relationships" name="Sources" sheetId="2" r:id="R003c17770a884c0d"/>
    <x:sheet xmlns:r="http://schemas.openxmlformats.org/officeDocument/2006/relationships" name="Assumptions" sheetId="3" r:id="R69ea6b9ca5254062"/>
    <x:sheet xmlns:r="http://schemas.openxmlformats.org/officeDocument/2006/relationships" name="DCF" sheetId="4" r:id="Rc668191a8a234c21"/>
    <x:sheet xmlns:r="http://schemas.openxmlformats.org/officeDocument/2006/relationships" name="Sensitivity" sheetId="5" r:id="R7a2e44546aed44ef"/>
    <x:sheet xmlns:r="http://schemas.openxmlformats.org/officeDocument/2006/relationships" name="Checks" sheetId="6" r:id="Ra3ae0cb270f1460b"/>
  </x:sheets>
</x:workbook>
</file>

<file path=xl/comments1.xml><?xml version="1.0" encoding="utf-8"?>
<x:comments xmlns:x="http://schemas.openxmlformats.org/spreadsheetml/2006/main">
  <x:authors>
    <x:author>tc={9B64BC48-E721-EE39-859D-522B2F5C21E0}</x:author>
    <x:author>tc={28FC4BB6-3DCA-FC37-8485-B7DEE3992A1D}</x:author>
  </x:authors>
  <x:commentList>
    <x:comment ref="C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Derived from SEC company facts: FY2025 revenue plus H1 FY2026 revenue less H1 FY2025 revenue.</x:t>
        </x:r>
      </x:text>
    </x:comment>
    <x:comment ref="C1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Public market-data snapshot retrieved 2026-07-21 18:05 UTC; short-lived decision input.</x:t>
        </x:r>
      </x:text>
    </x:comment>
  </x:commentList>
</x:comments>
</file>

<file path=xl/comments2.xml><?xml version="1.0" encoding="utf-8"?>
<x:comments xmlns:x="http://schemas.openxmlformats.org/spreadsheetml/2006/main">
  <x:authors>
    <x:author>tc={A0AF2CC8-E7A6-DF4F-ADD0-34941988ABD2}</x:author>
    <x:author>tc={76F198D3-6174-C83D-607C-DCA228D8B48B}</x:author>
  </x:authors>
  <x:commentList>
    <x:comment ref="C2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Formula-driven WACC using the sourced Treasury yield and market capitalization plus analyst beta, ERP, and cost-of-debt assumptions.</x:t>
        </x:r>
      </x:text>
    </x:comment>
    <x:comment ref="B2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Screen-grade base revenue growth assumption. It is analyst judgment, not management guidance or consensus.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"/>
    <x:numFmt numFmtId="201" formatCode="0.00%"/>
    <x:numFmt numFmtId="202" formatCode="0.0%"/>
    <x:numFmt numFmtId="203" formatCode="0.00x"/>
    <x:numFmt numFmtId="204" formatCode="$#,##0"/>
    <x:numFmt numFmtId="205" formatCode="0.000x"/>
    <x:numFmt numFmtId="206" formatCode="$0.00"/>
    <x:numFmt numFmtId="207" formatCode="0.0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1F4E78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i/>
      <x:sz val="11"/>
      <x:color rgb="FF1F2937"/>
      <x:name val="Carlito"/>
    </x:font>
    <x:font>
      <x:b/>
      <x:sz val="11"/>
      <x:color rgb="FF008000"/>
      <x:name val="Carlito"/>
    </x:font>
    <x:font>
      <x:i/>
      <x:sz val="11"/>
      <x:name val="Carlito"/>
    </x:font>
    <x:font>
      <x:b/>
      <x:sz val="11"/>
      <x:color rgb="FF1F2937"/>
      <x:name val="Carlito"/>
    </x:font>
    <x:font>
      <x:b/>
      <x:sz val="11"/>
      <x:color rgb="FF17324D"/>
      <x:name val="Carlito"/>
    </x:font>
    <x:font>
      <x:b/>
      <x:sz val="14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4E78"/>
      </x:patternFill>
    </x:fill>
    <x:fill>
      <x:patternFill patternType="solid">
        <x:fgColor rgb="FFF2F4F7"/>
      </x:patternFill>
    </x:fill>
    <x:fill>
      <x:patternFill patternType="solid">
        <x:fgColor rgb="FFDDEBF7"/>
      </x:patternFill>
    </x:fill>
  </x:fills>
  <x:borders count="2">
    <x:border/>
    <x:border>
      <x:left style="thin">
        <x:color rgb="FFD6DCE4"/>
      </x:left>
      <x:right style="thin">
        <x:color rgb="FFD6DCE4"/>
      </x:right>
      <x:top style="thin">
        <x:color rgb="FFD6DCE4"/>
      </x:top>
      <x:bottom style="thin">
        <x:color rgb="FFD6DCE4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4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204" fontId="3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5" fontId="3" fillId="0" borderId="1" xfId="0" applyNumberFormat="1" applyFont="1" applyFill="1" applyBorder="1" applyAlignment="1">
      <x:alignment vertical="center"/>
    </x:xf>
    <x:xf numFmtId="205" fontId="6" fillId="0" borderId="1" xfId="0" applyNumberFormat="1" applyFont="1" applyFill="1" applyBorder="1" applyAlignment="1">
      <x:alignment vertical="center"/>
    </x:xf>
    <x:xf numFmtId="206" fontId="3" fillId="0" borderId="1" xfId="0" applyNumberFormat="1" applyFont="1" applyFill="1" applyBorder="1" applyAlignment="1">
      <x:alignment vertical="center"/>
    </x:xf>
    <x:xf numFmtId="204" fontId="8" fillId="0" borderId="1" xfId="0" applyNumberFormat="1" applyFont="1" applyFill="1" applyBorder="1" applyAlignment="1">
      <x:alignment vertical="center"/>
    </x:xf>
    <x:xf numFmtId="206" fontId="8" fillId="0" borderId="1" xfId="0" applyNumberFormat="1" applyFont="1" applyFill="1" applyBorder="1" applyAlignment="1">
      <x:alignment vertical="center"/>
    </x:xf>
    <x:xf numFmtId="202" fontId="8" fillId="0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201" fontId="2" fillId="2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3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/>
    </x:xf>
    <x:xf numFmtId="206" fontId="12" fillId="0" borderId="1" xfId="0" applyNumberFormat="1" applyFont="1" applyFill="1" applyBorder="1" applyAlignment="1">
      <x:alignment vertical="center"/>
    </x:xf>
    <x:xf numFmtId="202" fontId="12" fillId="0" borderId="1" xfId="0" applyNumberFormat="1" applyFont="1" applyFill="1" applyBorder="1" applyAlignment="1">
      <x:alignment vertical="center"/>
    </x:xf>
    <x:xf numFmtId="206" fontId="6" fillId="0" borderId="1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52bbab83514c2b" /><Relationship Type="http://schemas.openxmlformats.org/officeDocument/2006/relationships/theme" Target="/xl/theme/theme1.xml" Id="R38e18267da4945b8" /><Relationship Type="http://schemas.microsoft.com/office/2022/11/relationships/FeaturePropertyBag" Target="/xl/featurePropertyBag/featurePropertyBag.xml" Id="R9283e23b575f48c2" /><Relationship Type="http://schemas.openxmlformats.org/officeDocument/2006/relationships/sharedStrings" Target="/xl/sharedStrings.xml" Id="Rdd11c447094649cf" /><Relationship Type="http://schemas.openxmlformats.org/officeDocument/2006/relationships/worksheet" Target="/xl/worksheets/sheet1.xml" Id="Rbea65add7bf34961" /><Relationship Type="http://schemas.openxmlformats.org/officeDocument/2006/relationships/worksheet" Target="/xl/worksheets/sheet2.xml" Id="R003c17770a884c0d" /><Relationship Type="http://schemas.openxmlformats.org/officeDocument/2006/relationships/worksheet" Target="/xl/worksheets/sheet3.xml" Id="R69ea6b9ca5254062" /><Relationship Type="http://schemas.openxmlformats.org/officeDocument/2006/relationships/worksheet" Target="/xl/worksheets/sheet4.xml" Id="Rc668191a8a234c21" /><Relationship Type="http://schemas.openxmlformats.org/officeDocument/2006/relationships/worksheet" Target="/xl/worksheets/sheet5.xml" Id="R7a2e44546aed44ef" /><Relationship Type="http://schemas.openxmlformats.org/officeDocument/2006/relationships/worksheet" Target="/xl/worksheets/sheet6.xml" Id="Ra3ae0cb270f1460b" /><Relationship Type="http://schemas.microsoft.com/office/2017/10/relationships/person" Target="/xl/persons/person.xml" Id="R885dd1a3de3046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806889487746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Spot vs. DCF Values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Value</c:v>
          </c:tx>
          <c:cat>
            <c:strRef>
              <c:f>'Cover'!$F$5:$F$8</c:f>
              <c:strCache>
                <c:ptCount val="0"/>
              </c:strCache>
            </c:strRef>
          </c:cat>
          <c:val>
            <c:numRef>
              <c:f>'Cover'!$G$5:$G$8</c:f>
              <c:numCache>
                <c:formatCode>$0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80688948774686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Henry Adams" id="{1C7B8FDD-6D59-462B-8477-9EE5E1BCB38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3" dT="2026-07-21T18:28:46.264" personId="{1C7B8FDD-6D59-462B-8477-9EE5E1BCB388}" id="{9B64BC48-E721-EE39-859D-522B2F5C21E0}">
    <xltc:text>Derived from SEC company facts: FY2025 revenue plus H1 FY2026 revenue less H1 FY2025 revenue.</xltc:text>
  </xltc:threadedComment>
  <xltc:threadedComment ref="C14" dT="2026-07-21T18:28:46.267" personId="{1C7B8FDD-6D59-462B-8477-9EE5E1BCB388}" id="{28FC4BB6-3DCA-FC37-8485-B7DEE3992A1D}">
    <xltc:text>Public market-data snapshot retrieved 2026-07-21 18:05 UTC; short-lived decision input.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22" dT="2026-07-21T18:28:46.267" personId="{1C7B8FDD-6D59-462B-8477-9EE5E1BCB388}" id="{A0AF2CC8-E7A6-DF4F-ADD0-34941988ABD2}">
    <xltc:text>Formula-driven WACC using the sourced Treasury yield and market capitalization plus analyst beta, ERP, and cost-of-debt assumptions.</xltc:text>
  </xltc:threadedComment>
  <xltc:threadedComment ref="B28" dT="2026-07-21T18:28:46.267" personId="{1C7B8FDD-6D59-462B-8477-9EE5E1BCB388}" id="{76F198D3-6174-C83D-607C-DCA228D8B48B}">
    <xltc:text>Screen-grade base revenue growth assumption. It is analyst judgment, not management guidance or consensus.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639a1ab0bba42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cb063add5d84f45" /><Relationship Type="http://schemas.openxmlformats.org/officeDocument/2006/relationships/vmlDrawing" Target="/xl/drawings/vmldrawing.vml" Id="Rc622b37e3ace46b2" /><Relationship Type="http://schemas.microsoft.com/office/2017/10/relationships/threadedComment" Target="/xl/threadedcomments/threadedcomment.xml" Id="R5412595ebf454a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7f2b34623915401c" /><Relationship Type="http://schemas.openxmlformats.org/officeDocument/2006/relationships/vmlDrawing" Target="/xl/drawings/vmldrawing2.vml" Id="R4d05c779b8024979" /><Relationship Type="http://schemas.microsoft.com/office/2017/10/relationships/threadedComment" Target="/xl/threadedcomments/threadedcomment2.xml" Id="R10feceb7b50d4b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13" t="str">
        <x:v>Apple Inc. (AAPL) — OFF Dogfood Valuation</x:v>
      </x:c>
      <x:c r="B1" s="13" t="str">
        <x:v>Apple Inc. (AAPL) — OFF Dogfood Valuation</x:v>
      </x:c>
      <x:c r="C1" s="13" t="str">
        <x:v>Apple Inc. (AAPL) — OFF Dogfood Valuation</x:v>
      </x:c>
      <x:c r="D1" s="13" t="str">
        <x:v>Apple Inc. (AAPL) — OFF Dogfood Valuation</x:v>
      </x:c>
      <x:c r="E1" s="13" t="str">
        <x:v>Apple Inc. (AAPL) — OFF Dogfood Valuation</x:v>
      </x:c>
      <x:c r="F1" s="3" t="str">
        <x:v>Apple Inc. (AAPL) — OFF Dogfood Valuation</x:v>
      </x:c>
      <x:c r="G1" s="3" t="str">
        <x:v>Apple Inc. (AAPL) — OFF Dogfood Valuation</x:v>
      </x:c>
      <x:c r="H1" s="3" t="str">
        <x:v>Apple Inc. (AAPL) — OFF Dogfood Valuation</x:v>
      </x:c>
    </x:row>
    <x:row r="2" ht="24" customHeight="1">
      <x:c r="A2" s="45" t="str">
        <x:v>Three-scenario DCF | valuation date 2026-07-21 | SCREEN-GRADE</x:v>
      </x:c>
      <x:c r="B2" s="45"/>
      <x:c r="C2" s="45"/>
      <x:c r="D2" s="45"/>
      <x:c r="E2" s="45"/>
      <x:c r="F2" s="45"/>
      <x:c r="G2" s="45"/>
      <x:c r="H2" s="45"/>
    </x:row>
    <x:row r="4">
      <x:c r="A4" s="47" t="str">
        <x:v>Current price</x:v>
      </x:c>
      <x:c r="B4" s="48" t="n">
        <x:f>'Sources'!C14</x:f>
        <x:v>327.54</x:v>
      </x:c>
      <x:c r="F4" t="str">
        <x:v>Case</x:v>
      </x:c>
      <x:c r="G4" t="str">
        <x:v>Value</x:v>
      </x:c>
    </x:row>
    <x:row r="5">
      <x:c r="A5" s="47" t="str">
        <x:v>Base implied value</x:v>
      </x:c>
      <x:c r="B5" s="48" t="n">
        <x:f>'DCF'!I38</x:f>
        <x:v>195.2502570610646</x:v>
      </x:c>
      <x:c r="F5" t="str">
        <x:v>Current</x:v>
      </x:c>
      <x:c r="G5" t="n">
        <x:f>'Sources'!C14</x:f>
        <x:v>327.54</x:v>
      </x:c>
    </x:row>
    <x:row r="6">
      <x:c r="A6" s="47" t="str">
        <x:v>Base upside / (downside)</x:v>
      </x:c>
      <x:c r="B6" s="49" t="n">
        <x:f>'DCF'!I39</x:f>
        <x:v>-0.403888816446649</x:v>
      </x:c>
      <x:c r="F6" t="str">
        <x:v>Bear</x:v>
      </x:c>
      <x:c r="G6" t="n">
        <x:f>'DCF'!I13</x:f>
        <x:v>130.17586759583608</x:v>
      </x:c>
    </x:row>
    <x:row r="7">
      <x:c r="A7" s="47" t="str">
        <x:v>PM action</x:v>
      </x:c>
      <x:c r="B7" s="9" t="str">
        <x:v>Wait for proof / re-underwrite</x:v>
      </x:c>
      <x:c r="F7" t="str">
        <x:v>Base</x:v>
      </x:c>
      <x:c r="G7" t="n">
        <x:f>'DCF'!I38</x:f>
        <x:v>195.2502570610646</x:v>
      </x:c>
    </x:row>
    <x:row r="8">
      <x:c r="F8" t="str">
        <x:v>Bull</x:v>
      </x:c>
      <x:c r="G8" t="n">
        <x:f>'DCF'!I63</x:f>
        <x:v>316.85792655386894</x:v>
      </x:c>
    </x:row>
    <x:row r="9" ht="22" customHeight="1">
      <x:c r="A9" s="16" t="str">
        <x:v>Scenario outputs</x:v>
      </x:c>
      <x:c r="B9" s="16" t="str">
        <x:v>Scenario outputs</x:v>
      </x:c>
      <x:c r="C9" s="16" t="str">
        <x:v>Scenario outputs</x:v>
      </x:c>
      <x:c r="D9" s="16" t="str">
        <x:v>Scenario outputs</x:v>
      </x:c>
      <x:c r="E9" s="16" t="str">
        <x:v>Scenario outputs</x:v>
      </x:c>
    </x:row>
    <x:row r="10">
      <x:c r="A10" s="6" t="str">
        <x:v>Scenario</x:v>
      </x:c>
      <x:c r="B10" s="6" t="str">
        <x:v>Implied value</x:v>
      </x:c>
      <x:c r="C10" s="6" t="str">
        <x:v>Upside / (downside)</x:v>
      </x:c>
      <x:c r="D10" s="6" t="str">
        <x:v>Revenue growth</x:v>
      </x:c>
      <x:c r="E10" s="6" t="str">
        <x:v>EBIT margin</x:v>
      </x:c>
    </x:row>
    <x:row r="11">
      <x:c r="A11" s="9" t="str">
        <x:v>Bear</x:v>
      </x:c>
      <x:c r="B11" s="50" t="n">
        <x:f>'DCF'!I13</x:f>
        <x:v>130.17586759583608</x:v>
      </x:c>
      <x:c r="C11" s="23" t="n">
        <x:f>'DCF'!I14</x:f>
        <x:v>-0.6025649765041337</x:v>
      </x:c>
      <x:c r="D11" s="23" t="n">
        <x:f>'Assumptions'!B27</x:f>
        <x:v>0.04</x:v>
      </x:c>
      <x:c r="E11" s="23" t="n">
        <x:f>'Assumptions'!C27</x:f>
        <x:v>0.31</x:v>
      </x:c>
    </x:row>
    <x:row r="12">
      <x:c r="A12" s="9" t="str">
        <x:v>Base</x:v>
      </x:c>
      <x:c r="B12" s="50" t="n">
        <x:f>'DCF'!I38</x:f>
        <x:v>195.2502570610646</x:v>
      </x:c>
      <x:c r="C12" s="23" t="n">
        <x:f>'DCF'!I39</x:f>
        <x:v>-0.403888816446649</x:v>
      </x:c>
      <x:c r="D12" s="23" t="n">
        <x:f>'Assumptions'!B28</x:f>
        <x:v>0.07</x:v>
      </x:c>
      <x:c r="E12" s="23" t="n">
        <x:f>'Assumptions'!C28</x:f>
        <x:v>0.33</x:v>
      </x:c>
    </x:row>
    <x:row r="13">
      <x:c r="A13" s="9" t="str">
        <x:v>Bull</x:v>
      </x:c>
      <x:c r="B13" s="50" t="n">
        <x:f>'DCF'!I63</x:f>
        <x:v>316.85792655386894</x:v>
      </x:c>
      <x:c r="C13" s="23" t="n">
        <x:f>'DCF'!I64</x:f>
        <x:v>-0.03261303488468914</x:v>
      </x:c>
      <x:c r="D13" s="23" t="n">
        <x:f>'Assumptions'!B29</x:f>
        <x:v>0.1</x:v>
      </x:c>
      <x:c r="E13" s="23" t="n">
        <x:f>'Assumptions'!C29</x:f>
        <x:v>0.35</x:v>
      </x:c>
    </x:row>
    <x:row r="15" ht="22" customHeight="1">
      <x:c r="A15" s="16" t="str">
        <x:v>Investment read-through</x:v>
      </x:c>
      <x:c r="B15" s="16" t="str">
        <x:v>Investment read-through</x:v>
      </x:c>
      <x:c r="C15" s="16" t="str">
        <x:v>Investment read-through</x:v>
      </x:c>
      <x:c r="D15" s="16" t="str">
        <x:v>Investment read-through</x:v>
      </x:c>
      <x:c r="E15" s="16" t="str">
        <x:v>Investment read-through</x:v>
      </x:c>
    </x:row>
    <x:row r="16">
      <x:c r="A16" s="51" t="str">
        <x:v>What is priced in</x:v>
      </x:c>
      <x:c r="B16" s="52" t="str">
        <x:v>Spot exceeds the bull-case DCF, implying a more favorable growth, margin, discount-rate, or terminal mix than modeled.</x:v>
      </x:c>
      <x:c r="C16" s="52"/>
      <x:c r="D16" s="52"/>
      <x:c r="E16" s="52"/>
    </x:row>
    <x:row r="17">
      <x:c r="A17" s="51" t="str">
        <x:v>First downside break</x:v>
      </x:c>
      <x:c r="B17" s="52" t="str">
        <x:v>Sustained revenue growth below 7% or EBIT margin below 33% weakens the base-case underwriting.</x:v>
      </x:c>
      <x:c r="C17" s="52"/>
      <x:c r="D17" s="52"/>
      <x:c r="E17" s="52"/>
    </x:row>
    <x:row r="18">
      <x:c r="A18" s="51" t="str">
        <x:v>Evidence missing</x:v>
      </x:c>
      <x:c r="B18" s="52" t="str">
        <x:v>No consensus estimates, channel checks, segment forecast, or independently reviewed assumptions are included.</x:v>
      </x:c>
      <x:c r="C18" s="52"/>
      <x:c r="D18" s="52"/>
      <x:c r="E18" s="52"/>
    </x:row>
    <x:row r="20" ht="22" customHeight="1">
      <x:c r="A20" s="16" t="str">
        <x:v>Workbook map</x:v>
      </x:c>
      <x:c r="B20" s="16" t="str">
        <x:v>Workbook map</x:v>
      </x:c>
      <x:c r="C20" s="16" t="str">
        <x:v>Workbook map</x:v>
      </x:c>
      <x:c r="D20" s="16" t="str">
        <x:v>Workbook map</x:v>
      </x:c>
      <x:c r="E20" s="16" t="str">
        <x:v>Workbook map</x:v>
      </x:c>
    </x:row>
    <x:row r="21">
      <x:c r="A21" s="47" t="str">
        <x:v>Sources</x:v>
      </x:c>
      <x:c r="B21" s="9" t="str">
        <x:v>SEC filings, market price, Treasury rate, evidence labels</x:v>
      </x:c>
      <x:c r="C21" s="9"/>
      <x:c r="D21" s="9"/>
      <x:c r="E21" s="9"/>
    </x:row>
    <x:row r="22">
      <x:c r="A22" s="47" t="str">
        <x:v>Assumptions + DCF</x:v>
      </x:c>
      <x:c r="B22" s="9" t="str">
        <x:v>Editable drivers, formula-driven WACC, three forecast cases</x:v>
      </x:c>
      <x:c r="C22" s="9"/>
      <x:c r="D22" s="9"/>
      <x:c r="E22" s="9"/>
    </x:row>
    <x:row r="23">
      <x:c r="A23" s="47" t="str">
        <x:v>Sensitivity + Checks</x:v>
      </x:c>
      <x:c r="B23" s="9" t="str">
        <x:v>Base DCF matrix and integrity tests</x:v>
      </x:c>
      <x:c r="C23" s="9"/>
      <x:c r="D23" s="9"/>
      <x:c r="E23" s="9"/>
    </x:row>
  </x:sheetData>
  <x:mergeCells>
    <x:mergeCell ref="A1:H1"/>
    <x:mergeCell ref="A2:H2"/>
    <x:mergeCell ref="A9:E9"/>
    <x:mergeCell ref="A15:E15"/>
    <x:mergeCell ref="B16:E16"/>
    <x:mergeCell ref="B17:E17"/>
    <x:mergeCell ref="B18:E18"/>
    <x:mergeCell ref="A20:E20"/>
    <x:mergeCell ref="B21:E21"/>
    <x:mergeCell ref="B22:E22"/>
    <x:mergeCell ref="B23:E23"/>
  </x:mergeCells>
  <x:pageMargins left="0.7" right="0.7" top="0.75" bottom="0.75" header="0.3" footer="0.3"/>
  <x:drawing xmlns:r="http://schemas.openxmlformats.org/officeDocument/2006/relationships" r:id="Ra639a1ab0bba428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4" hidden="0" customWidth="1"/>
    <x:col min="4" max="4" width="13" hidden="0" customWidth="1"/>
    <x:col min="5" max="5" width="22" hidden="0" customWidth="1"/>
    <x:col min="6" max="6" width="24" hidden="0" customWidth="1"/>
    <x:col min="7" max="7" width="34" hidden="0" customWidth="1"/>
    <x:col min="8" max="8" width="55" hidden="0" customWidth="1"/>
  </x:cols>
  <x:sheetData>
    <x:row r="1" ht="30" customHeight="1">
      <x:c r="A1" s="13" t="str">
        <x:v>Apple DCF — Source Register</x:v>
      </x:c>
      <x:c r="B1" s="13" t="str">
        <x:v>Apple DCF — Source Register</x:v>
      </x:c>
      <x:c r="C1" s="13" t="str">
        <x:v>Apple DCF — Source Register</x:v>
      </x:c>
      <x:c r="D1" s="13" t="str">
        <x:v>Apple DCF — Source Register</x:v>
      </x:c>
      <x:c r="E1" s="13" t="str">
        <x:v>Apple DCF — Source Register</x:v>
      </x:c>
      <x:c r="F1" s="13" t="str">
        <x:v>Apple DCF — Source Register</x:v>
      </x:c>
      <x:c r="G1" s="13" t="str">
        <x:v>Apple DCF — Source Register</x:v>
      </x:c>
      <x:c r="H1" s="13" t="str">
        <x:v>Apple DCF — Source Register</x:v>
      </x:c>
    </x:row>
    <x:row r="2">
      <x:c r="A2" s="6" t="str">
        <x:v>ID</x:v>
      </x:c>
      <x:c r="B2" s="6" t="str">
        <x:v>Metric</x:v>
      </x:c>
      <x:c r="C2" s="6" t="str">
        <x:v>Value</x:v>
      </x:c>
      <x:c r="D2" s="6" t="str">
        <x:v>Unit</x:v>
      </x:c>
      <x:c r="E2" s="6" t="str">
        <x:v>Period / as-of</x:v>
      </x:c>
      <x:c r="F2" s="6" t="str">
        <x:v>Evidence label</x:v>
      </x:c>
      <x:c r="G2" s="6" t="str">
        <x:v>Source</x:v>
      </x:c>
      <x:c r="H2" s="6" t="str">
        <x:v>URL</x:v>
      </x:c>
    </x:row>
    <x:row r="3">
      <x:c r="A3" s="9" t="str">
        <x:v>F-001</x:v>
      </x:c>
      <x:c r="B3" s="9" t="str">
        <x:v>LTM revenue</x:v>
      </x:c>
      <x:c r="C3" s="10" t="n">
        <x:v>451442</x:v>
      </x:c>
      <x:c r="D3" s="9" t="str">
        <x:v>USD mm</x:v>
      </x:c>
      <x:c r="E3" s="9" t="str">
        <x:v>LTM through 2026-03-28</x:v>
      </x:c>
      <x:c r="F3" s="9" t="str">
        <x:v>derived_calculation</x:v>
      </x:c>
      <x:c r="G3" s="9" t="str">
        <x:v>SEC company facts: FY2025 + H1 FY2026 − H1 FY2025</x:v>
      </x:c>
      <x:c r="H3" s="12" t="str">
        <x:v>https://data.sec.gov/api/xbrl/companyfacts/CIK0000320193.json</x:v>
      </x:c>
    </x:row>
    <x:row r="4">
      <x:c r="A4" s="9" t="str">
        <x:v>F-002</x:v>
      </x:c>
      <x:c r="B4" s="9" t="str">
        <x:v>LTM operating income</x:v>
      </x:c>
      <x:c r="C4" s="10" t="n">
        <x:v>147366</x:v>
      </x:c>
      <x:c r="D4" s="9" t="str">
        <x:v>USD mm</x:v>
      </x:c>
      <x:c r="E4" s="9" t="str">
        <x:v>LTM through 2026-03-28</x:v>
      </x:c>
      <x:c r="F4" s="9" t="str">
        <x:v>derived_calculation</x:v>
      </x:c>
      <x:c r="G4" s="9" t="str">
        <x:v>SEC company facts: FY2025 + H1 FY2026 − H1 FY2025</x:v>
      </x:c>
      <x:c r="H4" s="12" t="str">
        <x:v>https://data.sec.gov/api/xbrl/companyfacts/CIK0000320193.json</x:v>
      </x:c>
    </x:row>
    <x:row r="5">
      <x:c r="A5" s="9" t="str">
        <x:v>F-003</x:v>
      </x:c>
      <x:c r="B5" s="9" t="str">
        <x:v>LTM depreciation &amp; amortization</x:v>
      </x:c>
      <x:c r="C5" s="10" t="n">
        <x:v>12610</x:v>
      </x:c>
      <x:c r="D5" s="9" t="str">
        <x:v>USD mm</x:v>
      </x:c>
      <x:c r="E5" s="9" t="str">
        <x:v>LTM through 2026-03-28</x:v>
      </x:c>
      <x:c r="F5" s="9" t="str">
        <x:v>derived_calculation</x:v>
      </x:c>
      <x:c r="G5" s="9" t="str">
        <x:v>SEC company facts</x:v>
      </x:c>
      <x:c r="H5" s="12" t="str">
        <x:v>https://data.sec.gov/api/xbrl/companyfacts/CIK0000320193.json</x:v>
      </x:c>
    </x:row>
    <x:row r="6">
      <x:c r="A6" s="9" t="str">
        <x:v>F-004</x:v>
      </x:c>
      <x:c r="B6" s="9" t="str">
        <x:v>LTM capital expenditures</x:v>
      </x:c>
      <x:c r="C6" s="10" t="n">
        <x:v>11048</x:v>
      </x:c>
      <x:c r="D6" s="9" t="str">
        <x:v>USD mm</x:v>
      </x:c>
      <x:c r="E6" s="9" t="str">
        <x:v>LTM through 2026-03-28</x:v>
      </x:c>
      <x:c r="F6" s="9" t="str">
        <x:v>derived_calculation</x:v>
      </x:c>
      <x:c r="G6" s="9" t="str">
        <x:v>SEC company facts</x:v>
      </x:c>
      <x:c r="H6" s="12" t="str">
        <x:v>https://data.sec.gov/api/xbrl/companyfacts/CIK0000320193.json</x:v>
      </x:c>
    </x:row>
    <x:row r="7">
      <x:c r="A7" s="9" t="str">
        <x:v>F-005</x:v>
      </x:c>
      <x:c r="B7" s="9" t="str">
        <x:v>Cash and equivalents</x:v>
      </x:c>
      <x:c r="C7" s="10" t="n">
        <x:v>45572</x:v>
      </x:c>
      <x:c r="D7" s="9" t="str">
        <x:v>USD mm</x:v>
      </x:c>
      <x:c r="E7" s="9" t="str">
        <x:v>2026-03-28</x:v>
      </x:c>
      <x:c r="F7" s="9" t="str">
        <x:v>fact_primary</x:v>
      </x:c>
      <x:c r="G7" s="9" t="str">
        <x:v>Apple FY2026 Q2 Form 10-Q</x:v>
      </x:c>
      <x:c r="H7" s="12" t="str">
        <x:v>https://www.sec.gov/Archives/edgar/data/320193/000032019326000013/aapl-20260328.htm</x:v>
      </x:c>
    </x:row>
    <x:row r="8">
      <x:c r="A8" s="9" t="str">
        <x:v>F-006</x:v>
      </x:c>
      <x:c r="B8" s="9" t="str">
        <x:v>Current marketable securities</x:v>
      </x:c>
      <x:c r="C8" s="10" t="n">
        <x:v>22935</x:v>
      </x:c>
      <x:c r="D8" s="9" t="str">
        <x:v>USD mm</x:v>
      </x:c>
      <x:c r="E8" s="9" t="str">
        <x:v>2026-03-28</x:v>
      </x:c>
      <x:c r="F8" s="9" t="str">
        <x:v>fact_primary</x:v>
      </x:c>
      <x:c r="G8" s="9" t="str">
        <x:v>Apple FY2026 Q2 Form 10-Q</x:v>
      </x:c>
      <x:c r="H8" s="12" t="str">
        <x:v>https://www.sec.gov/Archives/edgar/data/320193/000032019326000013/aapl-20260328.htm</x:v>
      </x:c>
    </x:row>
    <x:row r="9">
      <x:c r="A9" s="9" t="str">
        <x:v>F-007</x:v>
      </x:c>
      <x:c r="B9" s="9" t="str">
        <x:v>Noncurrent marketable securities</x:v>
      </x:c>
      <x:c r="C9" s="10" t="n">
        <x:v>78088</x:v>
      </x:c>
      <x:c r="D9" s="9" t="str">
        <x:v>USD mm</x:v>
      </x:c>
      <x:c r="E9" s="9" t="str">
        <x:v>2026-03-28</x:v>
      </x:c>
      <x:c r="F9" s="9" t="str">
        <x:v>fact_primary</x:v>
      </x:c>
      <x:c r="G9" s="9" t="str">
        <x:v>Apple FY2026 Q2 Form 10-Q</x:v>
      </x:c>
      <x:c r="H9" s="12" t="str">
        <x:v>https://www.sec.gov/Archives/edgar/data/320193/000032019326000013/aapl-20260328.htm</x:v>
      </x:c>
    </x:row>
    <x:row r="10">
      <x:c r="A10" s="9" t="str">
        <x:v>F-008</x:v>
      </x:c>
      <x:c r="B10" s="9" t="str">
        <x:v>Current term debt</x:v>
      </x:c>
      <x:c r="C10" s="10" t="n">
        <x:v>8310</x:v>
      </x:c>
      <x:c r="D10" s="9" t="str">
        <x:v>USD mm</x:v>
      </x:c>
      <x:c r="E10" s="9" t="str">
        <x:v>2026-03-28</x:v>
      </x:c>
      <x:c r="F10" s="9" t="str">
        <x:v>fact_primary</x:v>
      </x:c>
      <x:c r="G10" s="9" t="str">
        <x:v>Apple FY2026 Q2 Form 10-Q</x:v>
      </x:c>
      <x:c r="H10" s="12" t="str">
        <x:v>https://www.sec.gov/Archives/edgar/data/320193/000032019326000013/aapl-20260328.htm</x:v>
      </x:c>
    </x:row>
    <x:row r="11">
      <x:c r="A11" s="9" t="str">
        <x:v>F-009</x:v>
      </x:c>
      <x:c r="B11" s="9" t="str">
        <x:v>Noncurrent term debt</x:v>
      </x:c>
      <x:c r="C11" s="10" t="n">
        <x:v>74404</x:v>
      </x:c>
      <x:c r="D11" s="9" t="str">
        <x:v>USD mm</x:v>
      </x:c>
      <x:c r="E11" s="9" t="str">
        <x:v>2026-03-28</x:v>
      </x:c>
      <x:c r="F11" s="9" t="str">
        <x:v>fact_primary</x:v>
      </x:c>
      <x:c r="G11" s="9" t="str">
        <x:v>Apple FY2026 Q2 Form 10-Q</x:v>
      </x:c>
      <x:c r="H11" s="12" t="str">
        <x:v>https://www.sec.gov/Archives/edgar/data/320193/000032019326000013/aapl-20260328.htm</x:v>
      </x:c>
    </x:row>
    <x:row r="12">
      <x:c r="A12" s="9" t="str">
        <x:v>F-010</x:v>
      </x:c>
      <x:c r="B12" s="9" t="str">
        <x:v>Commercial paper</x:v>
      </x:c>
      <x:c r="C12" s="10" t="n">
        <x:v>1997</x:v>
      </x:c>
      <x:c r="D12" s="9" t="str">
        <x:v>USD mm</x:v>
      </x:c>
      <x:c r="E12" s="9" t="str">
        <x:v>2026-03-28</x:v>
      </x:c>
      <x:c r="F12" s="9" t="str">
        <x:v>fact_primary</x:v>
      </x:c>
      <x:c r="G12" s="9" t="str">
        <x:v>Apple FY2026 Q2 Form 10-Q</x:v>
      </x:c>
      <x:c r="H12" s="12" t="str">
        <x:v>https://www.sec.gov/Archives/edgar/data/320193/000032019326000013/aapl-20260328.htm</x:v>
      </x:c>
    </x:row>
    <x:row r="13">
      <x:c r="A13" s="9" t="str">
        <x:v>F-011</x:v>
      </x:c>
      <x:c r="B13" s="9" t="str">
        <x:v>Shares outstanding</x:v>
      </x:c>
      <x:c r="C13" s="10" t="n">
        <x:v>14667.688</x:v>
      </x:c>
      <x:c r="D13" s="9" t="str">
        <x:v>mm shares</x:v>
      </x:c>
      <x:c r="E13" s="9" t="str">
        <x:v>2026-03-28</x:v>
      </x:c>
      <x:c r="F13" s="9" t="str">
        <x:v>fact_primary</x:v>
      </x:c>
      <x:c r="G13" s="9" t="str">
        <x:v>Apple FY2026 Q2 Form 10-Q</x:v>
      </x:c>
      <x:c r="H13" s="12" t="str">
        <x:v>https://www.sec.gov/Archives/edgar/data/320193/000032019326000013/aapl-20260328.htm</x:v>
      </x:c>
    </x:row>
    <x:row r="14">
      <x:c r="A14" s="9" t="str">
        <x:v>F-012</x:v>
      </x:c>
      <x:c r="B14" s="9" t="str">
        <x:v>AAPL share price</x:v>
      </x:c>
      <x:c r="C14" s="10" t="n">
        <x:v>327.54</x:v>
      </x:c>
      <x:c r="D14" s="9" t="str">
        <x:v>USD/share</x:v>
      </x:c>
      <x:c r="E14" s="9" t="str">
        <x:v>2026-07-21 18:05 UTC</x:v>
      </x:c>
      <x:c r="F14" s="9" t="str">
        <x:v>fact_provider_standardized</x:v>
      </x:c>
      <x:c r="G14" s="9" t="str">
        <x:v>Public market-data snapshot</x:v>
      </x:c>
      <x:c r="H14" s="12" t="str">
        <x:v>https://www.nasdaq.com/market-activity/stocks/aapl</x:v>
      </x:c>
    </x:row>
    <x:row r="15">
      <x:c r="A15" s="9" t="str">
        <x:v>F-013</x:v>
      </x:c>
      <x:c r="B15" s="9" t="str">
        <x:v>10-year U.S. Treasury yield</x:v>
      </x:c>
      <x:c r="C15" s="11" t="n">
        <x:v>0.0455</x:v>
      </x:c>
      <x:c r="D15" s="9" t="str">
        <x:v>%</x:v>
      </x:c>
      <x:c r="E15" s="9" t="str">
        <x:v>2026-07-17</x:v>
      </x:c>
      <x:c r="F15" s="9" t="str">
        <x:v>fact_primary</x:v>
      </x:c>
      <x:c r="G15" s="9" t="str">
        <x:v>U.S. Department of the Treasury</x:v>
      </x:c>
      <x:c r="H15" s="12" t="str">
        <x:v>https://home.treasury.gov/resource-center/data-chart-center/interest-rates/TextView?field_tdr_date_value=2026&amp;type=daily_treasury_yield_curve</x:v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c622b37e3ace46b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52" hidden="0" customWidth="1"/>
  </x:cols>
  <x:sheetData>
    <x:row r="1" ht="30" customHeight="1">
      <x:c r="A1" s="13" t="str">
        <x:v>Apple DCF — Assumptions</x:v>
      </x:c>
      <x:c r="B1" s="13" t="str">
        <x:v>Apple DCF — Assumptions</x:v>
      </x:c>
      <x:c r="C1" s="13" t="str">
        <x:v>Apple DCF — Assumptions</x:v>
      </x:c>
      <x:c r="D1" s="13" t="str">
        <x:v>Apple DCF — Assumptions</x:v>
      </x:c>
      <x:c r="E1" s="13" t="str">
        <x:v>Apple DCF — Assumptions</x:v>
      </x:c>
      <x:c r="F1" s="13" t="str">
        <x:v>Apple DCF — Assumptions</x:v>
      </x:c>
    </x:row>
    <x:row r="3" ht="22" customHeight="1">
      <x:c r="A3" s="16" t="str">
        <x:v>Common assumptions and capital structure</x:v>
      </x:c>
      <x:c r="B3" s="16" t="str">
        <x:v>Common assumptions and capital structure</x:v>
      </x:c>
      <x:c r="C3" s="16" t="str">
        <x:v>Common assumptions and capital structure</x:v>
      </x:c>
      <x:c r="D3" s="16" t="str">
        <x:v>Common assumptions and capital structure</x:v>
      </x:c>
      <x:c r="E3" s="16" t="str">
        <x:v>Common assumptions and capital structure</x:v>
      </x:c>
      <x:c r="F3" s="16" t="str">
        <x:v>Common assumptions and capital structure</x:v>
      </x:c>
    </x:row>
    <x:row r="4">
      <x:c r="A4" s="6" t="str">
        <x:v>ID</x:v>
      </x:c>
      <x:c r="B4" s="6" t="str">
        <x:v>Assumption</x:v>
      </x:c>
      <x:c r="C4" s="6" t="str">
        <x:v>Value</x:v>
      </x:c>
      <x:c r="D4" s="6" t="str">
        <x:v>Unit</x:v>
      </x:c>
      <x:c r="E4" s="6" t="str">
        <x:v>Designation</x:v>
      </x:c>
      <x:c r="F4" s="6" t="str">
        <x:v>Notes</x:v>
      </x:c>
    </x:row>
    <x:row r="5">
      <x:c r="A5" s="9" t="str">
        <x:v>A-001</x:v>
      </x:c>
      <x:c r="B5" s="9" t="str">
        <x:v>Cash tax rate</x:v>
      </x:c>
      <x:c r="C5" s="18" t="n">
        <x:v>0.16</x:v>
      </x:c>
      <x:c r="D5" s="9" t="str">
        <x:v>%</x:v>
      </x:c>
      <x:c r="E5" s="9" t="str">
        <x:v>analystJudgment</x:v>
      </x:c>
      <x:c r="F5" s="9" t="str">
        <x:v>Rounded near recent effective rate; screen-grade</x:v>
      </x:c>
    </x:row>
    <x:row r="6">
      <x:c r="A6" s="9" t="str">
        <x:v>A-002</x:v>
      </x:c>
      <x:c r="B6" s="9" t="str">
        <x:v>D&amp;A / revenue</x:v>
      </x:c>
      <x:c r="C6" s="18" t="n">
        <x:v>0.028</x:v>
      </x:c>
      <x:c r="D6" s="9" t="str">
        <x:v>%</x:v>
      </x:c>
      <x:c r="E6" s="9" t="str">
        <x:v>analystJudgment</x:v>
      </x:c>
      <x:c r="F6" s="9" t="str">
        <x:v>Near LTM run-rate</x:v>
      </x:c>
    </x:row>
    <x:row r="7">
      <x:c r="A7" s="9" t="str">
        <x:v>A-003</x:v>
      </x:c>
      <x:c r="B7" s="9" t="str">
        <x:v>Capex / revenue</x:v>
      </x:c>
      <x:c r="C7" s="18" t="n">
        <x:v>0.026</x:v>
      </x:c>
      <x:c r="D7" s="9" t="str">
        <x:v>%</x:v>
      </x:c>
      <x:c r="E7" s="9" t="str">
        <x:v>analystJudgment</x:v>
      </x:c>
      <x:c r="F7" s="9" t="str">
        <x:v>Near LTM run-rate</x:v>
      </x:c>
    </x:row>
    <x:row r="8">
      <x:c r="A8" s="9" t="str">
        <x:v>A-004</x:v>
      </x:c>
      <x:c r="B8" s="9" t="str">
        <x:v>NWC investment / incremental revenue</x:v>
      </x:c>
      <x:c r="C8" s="18" t="n">
        <x:v>0.005</x:v>
      </x:c>
      <x:c r="D8" s="9" t="str">
        <x:v>%</x:v>
      </x:c>
      <x:c r="E8" s="9" t="str">
        <x:v>analystJudgment</x:v>
      </x:c>
      <x:c r="F8" s="9" t="str">
        <x:v>Simplified cash conversion assumption</x:v>
      </x:c>
    </x:row>
    <x:row r="9">
      <x:c r="A9" s="9" t="str">
        <x:v>A-005</x:v>
      </x:c>
      <x:c r="B9" s="9" t="str">
        <x:v>Equity risk premium</x:v>
      </x:c>
      <x:c r="C9" s="18" t="n">
        <x:v>0.045</x:v>
      </x:c>
      <x:c r="D9" s="9" t="str">
        <x:v>%</x:v>
      </x:c>
      <x:c r="E9" s="9" t="str">
        <x:v>analystJudgment</x:v>
      </x:c>
      <x:c r="F9" s="9" t="str">
        <x:v>Illustrative market risk premium</x:v>
      </x:c>
    </x:row>
    <x:row r="10">
      <x:c r="A10" s="9" t="str">
        <x:v>A-006</x:v>
      </x:c>
      <x:c r="B10" s="9" t="str">
        <x:v>Levered beta</x:v>
      </x:c>
      <x:c r="C10" s="19" t="n">
        <x:v>0.9</x:v>
      </x:c>
      <x:c r="D10" s="9" t="str">
        <x:v>x</x:v>
      </x:c>
      <x:c r="E10" s="9" t="str">
        <x:v>analystJudgment</x:v>
      </x:c>
      <x:c r="F10" s="9" t="str">
        <x:v>Illustrative normalized beta</x:v>
      </x:c>
    </x:row>
    <x:row r="11">
      <x:c r="A11" s="9" t="str">
        <x:v>A-007</x:v>
      </x:c>
      <x:c r="B11" s="9" t="str">
        <x:v>Pretax cost of debt</x:v>
      </x:c>
      <x:c r="C11" s="18" t="n">
        <x:v>0.035</x:v>
      </x:c>
      <x:c r="D11" s="9" t="str">
        <x:v>%</x:v>
      </x:c>
      <x:c r="E11" s="9" t="str">
        <x:v>analystJudgment</x:v>
      </x:c>
      <x:c r="F11" s="9" t="str">
        <x:v>Illustrative blended borrowing cost</x:v>
      </x:c>
    </x:row>
    <x:row r="13" ht="22" customHeight="1">
      <x:c r="A13" s="16" t="str">
        <x:v>Formula-driven WACC</x:v>
      </x:c>
      <x:c r="B13" s="16" t="str">
        <x:v>Formula-driven WACC</x:v>
      </x:c>
      <x:c r="C13" s="16" t="str">
        <x:v>Formula-driven WACC</x:v>
      </x:c>
      <x:c r="D13" s="16" t="str">
        <x:v>Formula-driven WACC</x:v>
      </x:c>
      <x:c r="E13" s="16" t="str">
        <x:v>Formula-driven WACC</x:v>
      </x:c>
      <x:c r="F13" s="16" t="str">
        <x:v>Formula-driven WACC</x:v>
      </x:c>
    </x:row>
    <x:row r="14">
      <x:c r="A14" s="6" t="str">
        <x:v>Component</x:v>
      </x:c>
      <x:c r="B14" s="6" t="str">
        <x:v>Formula / source</x:v>
      </x:c>
      <x:c r="C14" s="6" t="str">
        <x:v>Value</x:v>
      </x:c>
    </x:row>
    <x:row r="15">
      <x:c r="A15" s="9" t="str">
        <x:v>Risk-free rate</x:v>
      </x:c>
      <x:c r="B15" s="9" t="str">
        <x:v>Sources F-013</x:v>
      </x:c>
      <x:c r="C15" s="21" t="n">
        <x:f>'Sources'!C15</x:f>
        <x:v>0.0455</x:v>
      </x:c>
    </x:row>
    <x:row r="16">
      <x:c r="A16" s="9" t="str">
        <x:v>Cost of equity</x:v>
      </x:c>
      <x:c r="B16" s="9" t="str">
        <x:v>Rf + beta × ERP</x:v>
      </x:c>
      <x:c r="C16" s="21" t="n">
        <x:f>C15+C10*C9</x:f>
        <x:v>0.086</x:v>
      </x:c>
    </x:row>
    <x:row r="17">
      <x:c r="A17" s="9" t="str">
        <x:v>Debt value</x:v>
      </x:c>
      <x:c r="B17" s="9" t="str">
        <x:v>Current debt + LT debt + commercial paper</x:v>
      </x:c>
      <x:c r="C17" s="22" t="n">
        <x:f>'Sources'!C10+'Sources'!C11+'Sources'!C12</x:f>
        <x:v>84711</x:v>
      </x:c>
    </x:row>
    <x:row r="18">
      <x:c r="A18" s="9" t="str">
        <x:v>Equity value</x:v>
      </x:c>
      <x:c r="B18" s="9" t="str">
        <x:v>Share price × shares</x:v>
      </x:c>
      <x:c r="C18" s="22" t="n">
        <x:f>'Sources'!C14*'Sources'!C13</x:f>
        <x:v>4804254.52752</x:v>
      </x:c>
    </x:row>
    <x:row r="19">
      <x:c r="A19" s="9" t="str">
        <x:v>Debt weight</x:v>
      </x:c>
      <x:c r="B19" s="9" t="str">
        <x:v>Debt / (Debt + equity)</x:v>
      </x:c>
      <x:c r="C19" s="21" t="n">
        <x:f>C17/(C17+C18)</x:f>
        <x:v>0.017326978380837736</x:v>
      </x:c>
    </x:row>
    <x:row r="20">
      <x:c r="A20" s="9" t="str">
        <x:v>Equity weight</x:v>
      </x:c>
      <x:c r="B20" s="9" t="str">
        <x:v>Equity / (Debt + equity)</x:v>
      </x:c>
      <x:c r="C20" s="21" t="n">
        <x:f>C18/(C17+C18)</x:f>
        <x:v>0.9826730216191623</x:v>
      </x:c>
    </x:row>
    <x:row r="21">
      <x:c r="A21" s="9" t="str">
        <x:v>After-tax cost of debt</x:v>
      </x:c>
      <x:c r="B21" s="9" t="str">
        <x:v>Pretax cost × (1 − tax)</x:v>
      </x:c>
      <x:c r="C21" s="21" t="n">
        <x:f>C11*(1-C5)</x:f>
        <x:v>0.029400000000000003</x:v>
      </x:c>
    </x:row>
    <x:row r="22">
      <x:c r="A22" s="9" t="str">
        <x:v>Base WACC</x:v>
      </x:c>
      <x:c r="B22" s="9" t="str">
        <x:v>Weighted cost of capital</x:v>
      </x:c>
      <x:c r="C22" s="21" t="n">
        <x:f>C20*C16+C19*C21</x:f>
        <x:v>0.08501929302364458</x:v>
      </x:c>
    </x:row>
    <x:row r="23">
      <x:c r="A23" s="9" t="str">
        <x:v>Net cash</x:v>
      </x:c>
      <x:c r="B23" s="9" t="str">
        <x:v>Cash + securities − debt</x:v>
      </x:c>
      <x:c r="C23" s="22" t="n">
        <x:f>'Sources'!C7+'Sources'!C8+'Sources'!C9-'Sources'!C10-'Sources'!C11-'Sources'!C12</x:f>
        <x:v>61884</x:v>
      </x:c>
    </x:row>
    <x:row r="25" ht="22" customHeight="1">
      <x:c r="A25" s="16" t="str">
        <x:v>Scenario assumptions</x:v>
      </x:c>
      <x:c r="B25" s="16" t="str">
        <x:v>Scenario assumptions</x:v>
      </x:c>
      <x:c r="C25" s="16" t="str">
        <x:v>Scenario assumptions</x:v>
      </x:c>
      <x:c r="D25" s="16" t="str">
        <x:v>Scenario assumptions</x:v>
      </x:c>
      <x:c r="E25" s="16" t="str">
        <x:v>Scenario assumptions</x:v>
      </x:c>
      <x:c r="F25" s="16" t="str">
        <x:v>Scenario assumptions</x:v>
      </x:c>
    </x:row>
    <x:row r="26">
      <x:c r="A26" s="6" t="str">
        <x:v>Scenario</x:v>
      </x:c>
      <x:c r="B26" s="6" t="str">
        <x:v>Revenue growth</x:v>
      </x:c>
      <x:c r="C26" s="6" t="str">
        <x:v>EBIT margin</x:v>
      </x:c>
      <x:c r="D26" s="6" t="str">
        <x:v>WACC</x:v>
      </x:c>
      <x:c r="E26" s="6" t="str">
        <x:v>Terminal growth</x:v>
      </x:c>
      <x:c r="F26" s="6" t="str">
        <x:v>Interpretation</x:v>
      </x:c>
    </x:row>
    <x:row r="27">
      <x:c r="A27" s="9" t="str">
        <x:v>Bear</x:v>
      </x:c>
      <x:c r="B27" s="18" t="n">
        <x:v>0.04</x:v>
      </x:c>
      <x:c r="C27" s="18" t="n">
        <x:v>0.31</x:v>
      </x:c>
      <x:c r="D27" s="23" t="n">
        <x:f>$C$22+1%</x:f>
        <x:v>0.09501929302364458</x:v>
      </x:c>
      <x:c r="E27" s="18" t="n">
        <x:v>0.025</x:v>
      </x:c>
      <x:c r="F27" s="9" t="str">
        <x:v>Slower growth, margin pressure, higher discount rate</x:v>
      </x:c>
    </x:row>
    <x:row r="28">
      <x:c r="A28" s="9" t="str">
        <x:v>Base</x:v>
      </x:c>
      <x:c r="B28" s="18" t="n">
        <x:v>0.07</x:v>
      </x:c>
      <x:c r="C28" s="18" t="n">
        <x:v>0.33</x:v>
      </x:c>
      <x:c r="D28" s="23" t="n">
        <x:f>$C$22</x:f>
        <x:v>0.08501929302364458</x:v>
      </x:c>
      <x:c r="E28" s="18" t="n">
        <x:v>0.03</x:v>
      </x:c>
      <x:c r="F28" s="9" t="str">
        <x:v>Steady compounding with durable margin</x:v>
      </x:c>
    </x:row>
    <x:row r="29">
      <x:c r="A29" s="9" t="str">
        <x:v>Bull</x:v>
      </x:c>
      <x:c r="B29" s="18" t="n">
        <x:v>0.1</x:v>
      </x:c>
      <x:c r="C29" s="18" t="n">
        <x:v>0.35</x:v>
      </x:c>
      <x:c r="D29" s="23" t="n">
        <x:f>$C$22-1%</x:f>
        <x:v>0.07501929302364459</x:v>
      </x:c>
      <x:c r="E29" s="18" t="n">
        <x:v>0.035</x:v>
      </x:c>
      <x:c r="F29" s="9" t="str">
        <x:v>Faster growth, margin expansion, lower discount rate</x:v>
      </x:c>
    </x:row>
  </x:sheetData>
  <x:mergeCells>
    <x:mergeCell ref="A1:F1"/>
    <x:mergeCell ref="A3:F3"/>
    <x:mergeCell ref="A13:F13"/>
    <x:mergeCell ref="A25:F25"/>
  </x:mergeCells>
  <x:pageMargins left="0.7" right="0.7" top="0.75" bottom="0.75" header="0.3" footer="0.3"/>
  <x:legacyDrawing xmlns:r="http://schemas.openxmlformats.org/officeDocument/2006/relationships" r:id="R4d05c779b802497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" hidden="0" customWidth="1"/>
    <x:col min="8" max="8" width="25" hidden="0" customWidth="1"/>
    <x:col min="9" max="9" width="16" hidden="0" customWidth="1"/>
  </x:cols>
  <x:sheetData>
    <x:row r="1" ht="30" customHeight="1">
      <x:c r="A1" s="3" t="str">
        <x:v>Apple DCF — Three-Scenario Valuation</x:v>
      </x:c>
      <x:c r="B1" s="3" t="str">
        <x:v>Apple DCF — Three-Scenario Valuation</x:v>
      </x:c>
      <x:c r="C1" s="3" t="str">
        <x:v>Apple DCF — Three-Scenario Valuation</x:v>
      </x:c>
      <x:c r="D1" s="3" t="str">
        <x:v>Apple DCF — Three-Scenario Valuation</x:v>
      </x:c>
      <x:c r="E1" s="3" t="str">
        <x:v>Apple DCF — Three-Scenario Valuation</x:v>
      </x:c>
      <x:c r="F1" s="3" t="str">
        <x:v>Apple DCF — Three-Scenario Valuation</x:v>
      </x:c>
      <x:c r="G1" s="3" t="str">
        <x:v>Apple DCF — Three-Scenario Valuation</x:v>
      </x:c>
      <x:c r="H1" s="3" t="str">
        <x:v>Apple DCF — Three-Scenario Valuation</x:v>
      </x:c>
      <x:c r="I1" s="3" t="str">
        <x:v>Apple DCF — Three-Scenario Valuation</x:v>
      </x:c>
    </x:row>
    <x:row r="2">
      <x:c r="A2" s="26" t="str">
        <x:v>USD millions except per-share data. Forecasts are formula-driven from Sources and Assumptions.</x:v>
      </x:c>
      <x:c r="B2" s="26"/>
      <x:c r="C2" s="26"/>
      <x:c r="D2" s="26"/>
      <x:c r="E2" s="26"/>
      <x:c r="F2" s="26"/>
      <x:c r="G2" s="26"/>
      <x:c r="H2" s="26"/>
      <x:c r="I2" s="26"/>
    </x:row>
    <x:row r="4" ht="22" customHeight="1">
      <x:c r="A4" s="16" t="str">
        <x:v>Bear case</x:v>
      </x:c>
      <x:c r="B4" s="16" t="str">
        <x:v>Bear case</x:v>
      </x:c>
      <x:c r="C4" s="16" t="str">
        <x:v>Bear case</x:v>
      </x:c>
      <x:c r="D4" s="16" t="str">
        <x:v>Bear case</x:v>
      </x:c>
      <x:c r="E4" s="16" t="str">
        <x:v>Bear case</x:v>
      </x:c>
      <x:c r="F4" s="16" t="str">
        <x:v>Bear case</x:v>
      </x:c>
      <x:c r="G4" s="16" t="str">
        <x:v>Bear case</x:v>
      </x:c>
      <x:c r="H4" s="16" t="str">
        <x:v>Bear case</x:v>
      </x:c>
      <x:c r="I4" s="16" t="str">
        <x:v>Bear case</x:v>
      </x:c>
    </x:row>
    <x:row r="5">
      <x:c r="A5" s="6" t="str">
        <x:v>Metric</x:v>
      </x:c>
      <x:c r="B5" s="6" t="str">
        <x:v>2027E</x:v>
      </x:c>
      <x:c r="C5" s="6" t="str">
        <x:v>2028E</x:v>
      </x:c>
      <x:c r="D5" s="6" t="str">
        <x:v>2029E</x:v>
      </x:c>
      <x:c r="E5" s="6" t="str">
        <x:v>2030E</x:v>
      </x:c>
      <x:c r="F5" s="6" t="str">
        <x:v>2031E</x:v>
      </x:c>
      <x:c r="H5" s="6" t="str">
        <x:v>Valuation bridge</x:v>
      </x:c>
      <x:c r="I5" s="6" t="str">
        <x:v>Value</x:v>
      </x:c>
    </x:row>
    <x:row r="6">
      <x:c r="A6" s="9" t="str">
        <x:v>Revenue</x:v>
      </x:c>
      <x:c r="B6" s="22" t="n">
        <x:f>'Sources'!C3*(1+'Assumptions'!B27)</x:f>
        <x:v>469499.68</x:v>
      </x:c>
      <x:c r="C6" s="22" t="n">
        <x:f>B6*(1+'Assumptions'!B27)</x:f>
        <x:v>488279.6672</x:v>
      </x:c>
      <x:c r="D6" s="22" t="n">
        <x:f>C6*(1+'Assumptions'!B27)</x:f>
        <x:v>507810.85388800007</x:v>
      </x:c>
      <x:c r="E6" s="22" t="n">
        <x:f>D6*(1+'Assumptions'!B27)</x:f>
        <x:v>528123.2880435201</x:v>
      </x:c>
      <x:c r="F6" s="22" t="n">
        <x:f>E6*(1+'Assumptions'!B27)</x:f>
        <x:v>549248.2195652609</x:v>
      </x:c>
      <x:c r="H6" s="9" t="str">
        <x:v>PV forecast FCF</x:v>
      </x:c>
      <x:c r="I6" s="32" t="n">
        <x:f>SUM(B17:F17)</x:f>
        <x:v>508400.0527693803</x:v>
      </x:c>
    </x:row>
    <x:row r="7">
      <x:c r="A7" s="9" t="str">
        <x:v>Revenue growth</x:v>
      </x:c>
      <x:c r="B7" s="23" t="n">
        <x:f>'Assumptions'!B27</x:f>
        <x:v>0.04</x:v>
      </x:c>
      <x:c r="C7" s="23" t="n">
        <x:f>'Assumptions'!B27</x:f>
        <x:v>0.04</x:v>
      </x:c>
      <x:c r="D7" s="23" t="n">
        <x:f>'Assumptions'!B27</x:f>
        <x:v>0.04</x:v>
      </x:c>
      <x:c r="E7" s="23" t="n">
        <x:f>'Assumptions'!B27</x:f>
        <x:v>0.04</x:v>
      </x:c>
      <x:c r="F7" s="23" t="n">
        <x:f>'Assumptions'!B27</x:f>
        <x:v>0.04</x:v>
      </x:c>
      <x:c r="H7" s="9" t="str">
        <x:v>Terminal value</x:v>
      </x:c>
      <x:c r="I7" s="32" t="n">
        <x:f>F15*(1+'Assumptions'!E27)/('Assumptions'!D27-'Assumptions'!E27)</x:f>
        <x:v>2108240.8788442807</x:v>
      </x:c>
    </x:row>
    <x:row r="8">
      <x:c r="A8" s="9" t="str">
        <x:v>EBIT margin</x:v>
      </x:c>
      <x:c r="B8" s="23" t="n">
        <x:f>'Assumptions'!C27</x:f>
        <x:v>0.31</x:v>
      </x:c>
      <x:c r="C8" s="23" t="n">
        <x:f>'Assumptions'!C27</x:f>
        <x:v>0.31</x:v>
      </x:c>
      <x:c r="D8" s="23" t="n">
        <x:f>'Assumptions'!C27</x:f>
        <x:v>0.31</x:v>
      </x:c>
      <x:c r="E8" s="23" t="n">
        <x:f>'Assumptions'!C27</x:f>
        <x:v>0.31</x:v>
      </x:c>
      <x:c r="F8" s="23" t="n">
        <x:f>'Assumptions'!C27</x:f>
        <x:v>0.31</x:v>
      </x:c>
      <x:c r="H8" s="9" t="str">
        <x:v>PV terminal value</x:v>
      </x:c>
      <x:c r="I8" s="32" t="n">
        <x:f>I7*F16</x:f>
        <x:v>1339094.9582556535</x:v>
      </x:c>
    </x:row>
    <x:row r="9">
      <x:c r="A9" s="9" t="str">
        <x:v>EBIT</x:v>
      </x:c>
      <x:c r="B9" s="22" t="n">
        <x:f>B6*B8</x:f>
        <x:v>145544.9008</x:v>
      </x:c>
      <x:c r="C9" s="22" t="n">
        <x:f>C6*C8</x:f>
        <x:v>151366.69683200002</x:v>
      </x:c>
      <x:c r="D9" s="22" t="n">
        <x:f>D6*D8</x:f>
        <x:v>157421.36470528002</x:v>
      </x:c>
      <x:c r="E9" s="22" t="n">
        <x:f>E6*E8</x:f>
        <x:v>163718.21929349122</x:v>
      </x:c>
      <x:c r="F9" s="22" t="n">
        <x:f>F6*F8</x:f>
        <x:v>170266.94806523088</x:v>
      </x:c>
      <x:c r="H9" s="9" t="str">
        <x:v>Enterprise value</x:v>
      </x:c>
      <x:c r="I9" s="32" t="n">
        <x:f>I6+I8</x:f>
        <x:v>1847495.011025034</x:v>
      </x:c>
    </x:row>
    <x:row r="10">
      <x:c r="A10" s="9" t="str">
        <x:v>Cash taxes</x:v>
      </x:c>
      <x:c r="B10" s="22" t="n">
        <x:f>-B9*'Assumptions'!$C$5</x:f>
        <x:v>-23287.184128</x:v>
      </x:c>
      <x:c r="C10" s="22" t="n">
        <x:f>-C9*'Assumptions'!$C$5</x:f>
        <x:v>-24218.671493120004</x:v>
      </x:c>
      <x:c r="D10" s="22" t="n">
        <x:f>-D9*'Assumptions'!$C$5</x:f>
        <x:v>-25187.418352844805</x:v>
      </x:c>
      <x:c r="E10" s="22" t="n">
        <x:f>-E9*'Assumptions'!$C$5</x:f>
        <x:v>-26194.915086958594</x:v>
      </x:c>
      <x:c r="F10" s="22" t="n">
        <x:f>-F9*'Assumptions'!$C$5</x:f>
        <x:v>-27242.711690436943</x:v>
      </x:c>
      <x:c r="H10" s="9" t="str">
        <x:v>Net cash</x:v>
      </x:c>
      <x:c r="I10" s="32" t="n">
        <x:f>'Assumptions'!C23</x:f>
        <x:v>61884</x:v>
      </x:c>
    </x:row>
    <x:row r="11">
      <x:c r="A11" s="9" t="str">
        <x:v>NOPAT</x:v>
      </x:c>
      <x:c r="B11" s="22" t="n">
        <x:f>B9+B10</x:f>
        <x:v>122257.71667200001</x:v>
      </x:c>
      <x:c r="C11" s="22" t="n">
        <x:f>C9+C10</x:f>
        <x:v>127148.02533888002</x:v>
      </x:c>
      <x:c r="D11" s="22" t="n">
        <x:f>D9+D10</x:f>
        <x:v>132233.94635243522</x:v>
      </x:c>
      <x:c r="E11" s="22" t="n">
        <x:f>E9+E10</x:f>
        <x:v>137523.30420653263</x:v>
      </x:c>
      <x:c r="F11" s="22" t="n">
        <x:f>F9+F10</x:f>
        <x:v>143024.23637479395</x:v>
      </x:c>
      <x:c r="H11" s="9" t="str">
        <x:v>Equity value</x:v>
      </x:c>
      <x:c r="I11" s="32" t="n">
        <x:f>I9+I10</x:f>
        <x:v>1909379.011025034</x:v>
      </x:c>
    </x:row>
    <x:row r="12">
      <x:c r="A12" s="9" t="str">
        <x:v>D&amp;A</x:v>
      </x:c>
      <x:c r="B12" s="22" t="n">
        <x:f>B6*'Assumptions'!$C$6</x:f>
        <x:v>13145.99104</x:v>
      </x:c>
      <x:c r="C12" s="22" t="n">
        <x:f>C6*'Assumptions'!$C$6</x:f>
        <x:v>13671.8306816</x:v>
      </x:c>
      <x:c r="D12" s="22" t="n">
        <x:f>D6*'Assumptions'!$C$6</x:f>
        <x:v>14218.703908864003</x:v>
      </x:c>
      <x:c r="E12" s="22" t="n">
        <x:f>E6*'Assumptions'!$C$6</x:f>
        <x:v>14787.452065218562</x:v>
      </x:c>
      <x:c r="F12" s="22" t="n">
        <x:f>F6*'Assumptions'!$C$6</x:f>
        <x:v>15378.950147827307</x:v>
      </x:c>
      <x:c r="H12" s="9" t="str">
        <x:v>Shares outstanding</x:v>
      </x:c>
      <x:c r="I12" s="32" t="n">
        <x:f>'Sources'!C13</x:f>
        <x:v>14667.688</x:v>
      </x:c>
    </x:row>
    <x:row r="13">
      <x:c r="A13" s="9" t="str">
        <x:v>Capital expenditures</x:v>
      </x:c>
      <x:c r="B13" s="22" t="n">
        <x:f>-B6*'Assumptions'!$C$7</x:f>
        <x:v>-12206.99168</x:v>
      </x:c>
      <x:c r="C13" s="22" t="n">
        <x:f>-C6*'Assumptions'!$C$7</x:f>
        <x:v>-12695.2713472</x:v>
      </x:c>
      <x:c r="D13" s="22" t="n">
        <x:f>-D6*'Assumptions'!$C$7</x:f>
        <x:v>-13203.082201088002</x:v>
      </x:c>
      <x:c r="E13" s="22" t="n">
        <x:f>-E6*'Assumptions'!$C$7</x:f>
        <x:v>-13731.20548913152</x:v>
      </x:c>
      <x:c r="F13" s="22" t="n">
        <x:f>-F6*'Assumptions'!$C$7</x:f>
        <x:v>-14280.453708696783</x:v>
      </x:c>
      <x:c r="H13" s="9" t="str">
        <x:v>Implied value / share</x:v>
      </x:c>
      <x:c r="I13" s="33" t="n">
        <x:f>I11/I12</x:f>
        <x:v>130.17586759583608</x:v>
      </x:c>
    </x:row>
    <x:row r="14">
      <x:c r="A14" s="9" t="str">
        <x:v>Change in NWC</x:v>
      </x:c>
      <x:c r="B14" s="22" t="n">
        <x:f>-(B6-'Sources'!C3)*'Assumptions'!$C$8</x:f>
        <x:v>-90.28839999999997</x:v>
      </x:c>
      <x:c r="C14" s="22" t="n">
        <x:f>-(C6-B6)*'Assumptions'!$C$8</x:f>
        <x:v>-93.89993600000017</x:v>
      </x:c>
      <x:c r="D14" s="22" t="n">
        <x:f>-(D6-C6)*'Assumptions'!$C$8</x:f>
        <x:v>-97.65593344000023</x:v>
      </x:c>
      <x:c r="E14" s="22" t="n">
        <x:f>-(E6-D6)*'Assumptions'!$C$8</x:f>
        <x:v>-101.56217077759997</x:v>
      </x:c>
      <x:c r="F14" s="22" t="n">
        <x:f>-(F6-E6)*'Assumptions'!$C$8</x:f>
        <x:v>-105.6246576087043</x:v>
      </x:c>
      <x:c r="H14" s="9" t="str">
        <x:v>Upside / (downside)</x:v>
      </x:c>
      <x:c r="I14" s="34" t="n">
        <x:f>I13/'Sources'!C14-1</x:f>
        <x:v>-0.6025649765041337</x:v>
      </x:c>
    </x:row>
    <x:row r="15">
      <x:c r="A15" s="9" t="str">
        <x:v>Unlevered FCF</x:v>
      </x:c>
      <x:c r="B15" s="22" t="n">
        <x:f>B11+B12+B13+B14</x:f>
        <x:v>123106.42763199999</x:v>
      </x:c>
      <x:c r="C15" s="22" t="n">
        <x:f>C11+C12+C13+C14</x:f>
        <x:v>128030.68473728001</x:v>
      </x:c>
      <x:c r="D15" s="22" t="n">
        <x:f>D11+D12+D13+D14</x:f>
        <x:v>133151.91212677123</x:v>
      </x:c>
      <x:c r="E15" s="22" t="n">
        <x:f>E11+E12+E13+E14</x:f>
        <x:v>138477.9886118421</x:v>
      </x:c>
      <x:c r="F15" s="22" t="n">
        <x:f>F11+F12+F13+F14</x:f>
        <x:v>144017.10815631575</x:v>
      </x:c>
    </x:row>
    <x:row r="16">
      <x:c r="A16" s="9" t="str">
        <x:v>Discount factor</x:v>
      </x:c>
      <x:c r="B16" s="30" t="n">
        <x:f>1/(1+'Assumptions'!$D$27)^1</x:f>
        <x:v>0.9132259188226075</x:v>
      </x:c>
      <x:c r="C16" s="30" t="n">
        <x:f>1/(1+'Assumptions'!$D$27)^2</x:f>
        <x:v>0.8339815788093958</x:v>
      </x:c>
      <x:c r="D16" s="30" t="n">
        <x:f>1/(1+'Assumptions'!$D$27)^3</x:f>
        <x:v>0.7616135935893393</x:v>
      </x:c>
      <x:c r="E16" s="30" t="n">
        <x:f>1/(1+'Assumptions'!$D$27)^4</x:f>
        <x:v>0.6955252737934124</x:v>
      </x:c>
      <x:c r="F16" s="30" t="n">
        <x:f>1/(1+'Assumptions'!$D$27)^5</x:f>
        <x:v>0.6351717072243347</x:v>
      </x:c>
    </x:row>
    <x:row r="17">
      <x:c r="A17" s="9" t="str">
        <x:v>PV of FCF</x:v>
      </x:c>
      <x:c r="B17" s="22" t="n">
        <x:f>B15*B16</x:f>
        <x:v>112423.98048720203</x:v>
      </x:c>
      <x:c r="C17" s="22" t="n">
        <x:f>C15*C16</x:f>
        <x:v>106775.2325932448</x:v>
      </x:c>
      <x:c r="D17" s="22" t="n">
        <x:f>D15*D16</x:f>
        <x:v>101410.30628816217</x:v>
      </x:c>
      <x:c r="E17" s="22" t="n">
        <x:f>E15*E16</x:f>
        <x:v>96314.94094361253</x:v>
      </x:c>
      <x:c r="F17" s="22" t="n">
        <x:f>F15*F16</x:f>
        <x:v>91475.59245715872</x:v>
      </x:c>
    </x:row>
    <x:row r="29" ht="22" customHeight="1">
      <x:c r="A29" s="16" t="str">
        <x:v>Base case</x:v>
      </x:c>
      <x:c r="B29" s="16" t="str">
        <x:v>Base case</x:v>
      </x:c>
      <x:c r="C29" s="16" t="str">
        <x:v>Base case</x:v>
      </x:c>
      <x:c r="D29" s="16" t="str">
        <x:v>Base case</x:v>
      </x:c>
      <x:c r="E29" s="16" t="str">
        <x:v>Base case</x:v>
      </x:c>
      <x:c r="F29" s="16" t="str">
        <x:v>Base case</x:v>
      </x:c>
      <x:c r="G29" s="16" t="str">
        <x:v>Base case</x:v>
      </x:c>
      <x:c r="H29" s="16" t="str">
        <x:v>Base case</x:v>
      </x:c>
      <x:c r="I29" s="16" t="str">
        <x:v>Base case</x:v>
      </x:c>
    </x:row>
    <x:row r="30">
      <x:c r="A30" s="6" t="str">
        <x:v>Metric</x:v>
      </x:c>
      <x:c r="B30" s="6" t="str">
        <x:v>2027E</x:v>
      </x:c>
      <x:c r="C30" s="6" t="str">
        <x:v>2028E</x:v>
      </x:c>
      <x:c r="D30" s="6" t="str">
        <x:v>2029E</x:v>
      </x:c>
      <x:c r="E30" s="6" t="str">
        <x:v>2030E</x:v>
      </x:c>
      <x:c r="F30" s="6" t="str">
        <x:v>2031E</x:v>
      </x:c>
      <x:c r="H30" s="6" t="str">
        <x:v>Valuation bridge</x:v>
      </x:c>
      <x:c r="I30" s="6" t="str">
        <x:v>Value</x:v>
      </x:c>
    </x:row>
    <x:row r="31">
      <x:c r="A31" s="9" t="str">
        <x:v>Revenue</x:v>
      </x:c>
      <x:c r="B31" s="22" t="n">
        <x:f>'Sources'!C3*(1+'Assumptions'!B28)</x:f>
        <x:v>483042.94</x:v>
      </x:c>
      <x:c r="C31" s="22" t="n">
        <x:f>B31*(1+'Assumptions'!B28)</x:f>
        <x:v>516855.94580000004</x:v>
      </x:c>
      <x:c r="D31" s="22" t="n">
        <x:f>C31*(1+'Assumptions'!B28)</x:f>
        <x:v>553035.8620060001</x:v>
      </x:c>
      <x:c r="E31" s="22" t="n">
        <x:f>D31*(1+'Assumptions'!B28)</x:f>
        <x:v>591748.3723464202</x:v>
      </x:c>
      <x:c r="F31" s="22" t="n">
        <x:f>E31*(1+'Assumptions'!B28)</x:f>
        <x:v>633170.7584106696</x:v>
      </x:c>
      <x:c r="H31" s="9" t="str">
        <x:v>PV forecast FCF</x:v>
      </x:c>
      <x:c r="I31" s="32" t="n">
        <x:f>SUM(B42:F42)</x:f>
        <x:v>603811.8125879352</x:v>
      </x:c>
    </x:row>
    <x:row r="32">
      <x:c r="A32" s="9" t="str">
        <x:v>Revenue growth</x:v>
      </x:c>
      <x:c r="B32" s="23" t="n">
        <x:f>'Assumptions'!B28</x:f>
        <x:v>0.07</x:v>
      </x:c>
      <x:c r="C32" s="23" t="n">
        <x:f>'Assumptions'!B28</x:f>
        <x:v>0.07</x:v>
      </x:c>
      <x:c r="D32" s="23" t="n">
        <x:f>'Assumptions'!B28</x:f>
        <x:v>0.07</x:v>
      </x:c>
      <x:c r="E32" s="23" t="n">
        <x:f>'Assumptions'!B28</x:f>
        <x:v>0.07</x:v>
      </x:c>
      <x:c r="F32" s="23" t="n">
        <x:f>'Assumptions'!B28</x:f>
        <x:v>0.07</x:v>
      </x:c>
      <x:c r="H32" s="9" t="str">
        <x:v>Terminal value</x:v>
      </x:c>
      <x:c r="I32" s="32" t="n">
        <x:f>F40*(1+'Assumptions'!E28)/('Assumptions'!D28-'Assumptions'!E28)</x:f>
        <x:v>3305592.979072205</x:v>
      </x:c>
    </x:row>
    <x:row r="33">
      <x:c r="A33" s="9" t="str">
        <x:v>EBIT margin</x:v>
      </x:c>
      <x:c r="B33" s="23" t="n">
        <x:f>'Assumptions'!C28</x:f>
        <x:v>0.33</x:v>
      </x:c>
      <x:c r="C33" s="23" t="n">
        <x:f>'Assumptions'!C28</x:f>
        <x:v>0.33</x:v>
      </x:c>
      <x:c r="D33" s="23" t="n">
        <x:f>'Assumptions'!C28</x:f>
        <x:v>0.33</x:v>
      </x:c>
      <x:c r="E33" s="23" t="n">
        <x:f>'Assumptions'!C28</x:f>
        <x:v>0.33</x:v>
      </x:c>
      <x:c r="F33" s="23" t="n">
        <x:f>'Assumptions'!C28</x:f>
        <x:v>0.33</x:v>
      </x:c>
      <x:c r="H33" s="9" t="str">
        <x:v>PV terminal value</x:v>
      </x:c>
      <x:c r="I33" s="32" t="n">
        <x:f>I32*F41</x:f>
        <x:v>2198174.0399035574</x:v>
      </x:c>
    </x:row>
    <x:row r="34">
      <x:c r="A34" s="9" t="str">
        <x:v>EBIT</x:v>
      </x:c>
      <x:c r="B34" s="22" t="n">
        <x:f>B31*B33</x:f>
        <x:v>159404.17020000002</x:v>
      </x:c>
      <x:c r="C34" s="22" t="n">
        <x:f>C31*C33</x:f>
        <x:v>170562.46211400002</x:v>
      </x:c>
      <x:c r="D34" s="22" t="n">
        <x:f>D31*D33</x:f>
        <x:v>182501.83446198006</x:v>
      </x:c>
      <x:c r="E34" s="22" t="n">
        <x:f>E31*E33</x:f>
        <x:v>195276.96287431868</x:v>
      </x:c>
      <x:c r="F34" s="22" t="n">
        <x:f>F31*F33</x:f>
        <x:v>208946.350275521</x:v>
      </x:c>
      <x:c r="H34" s="9" t="str">
        <x:v>Enterprise value</x:v>
      </x:c>
      <x:c r="I34" s="32" t="n">
        <x:f>I31+I33</x:f>
        <x:v>2801985.8524914924</x:v>
      </x:c>
    </x:row>
    <x:row r="35">
      <x:c r="A35" s="9" t="str">
        <x:v>Cash taxes</x:v>
      </x:c>
      <x:c r="B35" s="22" t="n">
        <x:f>-B34*'Assumptions'!$C$5</x:f>
        <x:v>-25504.667232000003</x:v>
      </x:c>
      <x:c r="C35" s="22" t="n">
        <x:f>-C34*'Assumptions'!$C$5</x:f>
        <x:v>-27289.993938240004</x:v>
      </x:c>
      <x:c r="D35" s="22" t="n">
        <x:f>-D34*'Assumptions'!$C$5</x:f>
        <x:v>-29200.29351391681</x:v>
      </x:c>
      <x:c r="E35" s="22" t="n">
        <x:f>-E34*'Assumptions'!$C$5</x:f>
        <x:v>-31244.31405989099</x:v>
      </x:c>
      <x:c r="F35" s="22" t="n">
        <x:f>-F34*'Assumptions'!$C$5</x:f>
        <x:v>-33431.41604408336</x:v>
      </x:c>
      <x:c r="H35" s="9" t="str">
        <x:v>Net cash</x:v>
      </x:c>
      <x:c r="I35" s="32" t="n">
        <x:f>'Assumptions'!C23</x:f>
        <x:v>61884</x:v>
      </x:c>
    </x:row>
    <x:row r="36">
      <x:c r="A36" s="9" t="str">
        <x:v>NOPAT</x:v>
      </x:c>
      <x:c r="B36" s="22" t="n">
        <x:f>B34+B35</x:f>
        <x:v>133899.50296800002</x:v>
      </x:c>
      <x:c r="C36" s="22" t="n">
        <x:f>C34+C35</x:f>
        <x:v>143272.46817576</x:v>
      </x:c>
      <x:c r="D36" s="22" t="n">
        <x:f>D34+D35</x:f>
        <x:v>153301.54094806325</x:v>
      </x:c>
      <x:c r="E36" s="22" t="n">
        <x:f>E34+E35</x:f>
        <x:v>164032.6488144277</x:v>
      </x:c>
      <x:c r="F36" s="22" t="n">
        <x:f>F34+F35</x:f>
        <x:v>175514.93423143763</x:v>
      </x:c>
      <x:c r="H36" s="9" t="str">
        <x:v>Equity value</x:v>
      </x:c>
      <x:c r="I36" s="32" t="n">
        <x:f>I34+I35</x:f>
        <x:v>2863869.8524914924</x:v>
      </x:c>
    </x:row>
    <x:row r="37">
      <x:c r="A37" s="9" t="str">
        <x:v>D&amp;A</x:v>
      </x:c>
      <x:c r="B37" s="22" t="n">
        <x:f>B31*'Assumptions'!$C$6</x:f>
        <x:v>13525.20232</x:v>
      </x:c>
      <x:c r="C37" s="22" t="n">
        <x:f>C31*'Assumptions'!$C$6</x:f>
        <x:v>14471.966482400001</x:v>
      </x:c>
      <x:c r="D37" s="22" t="n">
        <x:f>D31*'Assumptions'!$C$6</x:f>
        <x:v>15485.004136168003</x:v>
      </x:c>
      <x:c r="E37" s="22" t="n">
        <x:f>E31*'Assumptions'!$C$6</x:f>
        <x:v>16568.954425699765</x:v>
      </x:c>
      <x:c r="F37" s="22" t="n">
        <x:f>F31*'Assumptions'!$C$6</x:f>
        <x:v>17728.78123549875</x:v>
      </x:c>
      <x:c r="H37" s="9" t="str">
        <x:v>Shares outstanding</x:v>
      </x:c>
      <x:c r="I37" s="32" t="n">
        <x:f>'Sources'!C13</x:f>
        <x:v>14667.688</x:v>
      </x:c>
    </x:row>
    <x:row r="38">
      <x:c r="A38" s="9" t="str">
        <x:v>Capital expenditures</x:v>
      </x:c>
      <x:c r="B38" s="22" t="n">
        <x:f>-B31*'Assumptions'!$C$7</x:f>
        <x:v>-12559.11644</x:v>
      </x:c>
      <x:c r="C38" s="22" t="n">
        <x:f>-C31*'Assumptions'!$C$7</x:f>
        <x:v>-13438.254590800001</x:v>
      </x:c>
      <x:c r="D38" s="22" t="n">
        <x:f>-D31*'Assumptions'!$C$7</x:f>
        <x:v>-14378.932412156002</x:v>
      </x:c>
      <x:c r="E38" s="22" t="n">
        <x:f>-E31*'Assumptions'!$C$7</x:f>
        <x:v>-15385.457681006925</x:v>
      </x:c>
      <x:c r="F38" s="22" t="n">
        <x:f>-F31*'Assumptions'!$C$7</x:f>
        <x:v>-16462.43971867741</x:v>
      </x:c>
      <x:c r="H38" s="9" t="str">
        <x:v>Implied value / share</x:v>
      </x:c>
      <x:c r="I38" s="33" t="n">
        <x:f>I36/I37</x:f>
        <x:v>195.2502570610646</x:v>
      </x:c>
    </x:row>
    <x:row r="39">
      <x:c r="A39" s="9" t="str">
        <x:v>Change in NWC</x:v>
      </x:c>
      <x:c r="B39" s="22" t="n">
        <x:f>-(B31-'Sources'!C3)*'Assumptions'!$C$8</x:f>
        <x:v>-158.0047</x:v>
      </x:c>
      <x:c r="C39" s="22" t="n">
        <x:f>-(C31-B31)*'Assumptions'!$C$8</x:f>
        <x:v>-169.0650290000002</x:v>
      </x:c>
      <x:c r="D39" s="22" t="n">
        <x:f>-(D31-C31)*'Assumptions'!$C$8</x:f>
        <x:v>-180.8995810300004</x:v>
      </x:c>
      <x:c r="E39" s="22" t="n">
        <x:f>-(E31-D31)*'Assumptions'!$C$8</x:f>
        <x:v>-193.56255170210034</x:v>
      </x:c>
      <x:c r="F39" s="22" t="n">
        <x:f>-(F31-E31)*'Assumptions'!$C$8</x:f>
        <x:v>-207.1119303212472</x:v>
      </x:c>
      <x:c r="H39" s="9" t="str">
        <x:v>Upside / (downside)</x:v>
      </x:c>
      <x:c r="I39" s="34" t="n">
        <x:f>I38/'Sources'!C14-1</x:f>
        <x:v>-0.403888816446649</x:v>
      </x:c>
    </x:row>
    <x:row r="40">
      <x:c r="A40" s="9" t="str">
        <x:v>Unlevered FCF</x:v>
      </x:c>
      <x:c r="B40" s="22" t="n">
        <x:f>B36+B37+B38+B39</x:f>
        <x:v>134707.58414800002</x:v>
      </x:c>
      <x:c r="C40" s="22" t="n">
        <x:f>C36+C37+C38+C39</x:f>
        <x:v>144137.11503836</x:v>
      </x:c>
      <x:c r="D40" s="22" t="n">
        <x:f>D36+D37+D38+D39</x:f>
        <x:v>154226.71309104524</x:v>
      </x:c>
      <x:c r="E40" s="22" t="n">
        <x:f>E36+E37+E38+E39</x:f>
        <x:v>165022.58300741843</x:v>
      </x:c>
      <x:c r="F40" s="22" t="n">
        <x:f>F36+F37+F38+F39</x:f>
        <x:v>176574.16381793772</x:v>
      </x:c>
    </x:row>
    <x:row r="41">
      <x:c r="A41" s="9" t="str">
        <x:v>Discount factor</x:v>
      </x:c>
      <x:c r="B41" s="30" t="n">
        <x:f>1/(1+'Assumptions'!$D$28)^1</x:f>
        <x:v>0.9216425979055914</x:v>
      </x:c>
      <x:c r="C41" s="30" t="n">
        <x:f>1/(1+'Assumptions'!$D$28)^2</x:f>
        <x:v>0.8494250782741676</x:v>
      </x:c>
      <x:c r="D41" s="30" t="n">
        <x:f>1/(1+'Assumptions'!$D$28)^3</x:f>
        <x:v>0.7828663358667642</x:v>
      </x:c>
      <x:c r="E41" s="30" t="n">
        <x:f>1/(1+'Assumptions'!$D$28)^4</x:f>
        <x:v>0.7215229636010759</x:v>
      </x:c>
      <x:c r="F41" s="30" t="n">
        <x:f>1/(1+'Assumptions'!$D$28)^5</x:f>
        <x:v>0.6649862986218371</x:v>
      </x:c>
    </x:row>
    <x:row r="42">
      <x:c r="A42" s="9" t="str">
        <x:v>PV of FCF</x:v>
      </x:c>
      <x:c r="B42" s="22" t="n">
        <x:f>B40*B41</x:f>
        <x:v>124152.2478117488</x:v>
      </x:c>
      <x:c r="C42" s="22" t="n">
        <x:f>C40*C41</x:f>
        <x:v>122433.68022367165</x:v>
      </x:c>
      <x:c r="D42" s="22" t="n">
        <x:f>D40*D41</x:f>
        <x:v>120738.9017703613</x:v>
      </x:c>
      <x:c r="E42" s="22" t="n">
        <x:f>E40*E41</x:f>
        <x:v>119067.5831526171</x:v>
      </x:c>
      <x:c r="F42" s="22" t="n">
        <x:f>F40*F41</x:f>
        <x:v>117419.39962953632</x:v>
      </x:c>
    </x:row>
    <x:row r="54" ht="22" customHeight="1">
      <x:c r="A54" s="16" t="str">
        <x:v>Bull case</x:v>
      </x:c>
      <x:c r="B54" s="16" t="str">
        <x:v>Bull case</x:v>
      </x:c>
      <x:c r="C54" s="16" t="str">
        <x:v>Bull case</x:v>
      </x:c>
      <x:c r="D54" s="16" t="str">
        <x:v>Bull case</x:v>
      </x:c>
      <x:c r="E54" s="16" t="str">
        <x:v>Bull case</x:v>
      </x:c>
      <x:c r="F54" s="16" t="str">
        <x:v>Bull case</x:v>
      </x:c>
      <x:c r="G54" s="16" t="str">
        <x:v>Bull case</x:v>
      </x:c>
      <x:c r="H54" s="16" t="str">
        <x:v>Bull case</x:v>
      </x:c>
      <x:c r="I54" s="16" t="str">
        <x:v>Bull case</x:v>
      </x:c>
    </x:row>
    <x:row r="55">
      <x:c r="A55" s="6" t="str">
        <x:v>Metric</x:v>
      </x:c>
      <x:c r="B55" s="6" t="str">
        <x:v>2027E</x:v>
      </x:c>
      <x:c r="C55" s="6" t="str">
        <x:v>2028E</x:v>
      </x:c>
      <x:c r="D55" s="6" t="str">
        <x:v>2029E</x:v>
      </x:c>
      <x:c r="E55" s="6" t="str">
        <x:v>2030E</x:v>
      </x:c>
      <x:c r="F55" s="6" t="str">
        <x:v>2031E</x:v>
      </x:c>
      <x:c r="H55" s="6" t="str">
        <x:v>Valuation bridge</x:v>
      </x:c>
      <x:c r="I55" s="6" t="str">
        <x:v>Value</x:v>
      </x:c>
    </x:row>
    <x:row r="56">
      <x:c r="A56" s="9" t="str">
        <x:v>Revenue</x:v>
      </x:c>
      <x:c r="B56" s="22" t="n">
        <x:f>'Sources'!C3*(1+'Assumptions'!B29)</x:f>
        <x:v>496586.2</x:v>
      </x:c>
      <x:c r="C56" s="22" t="n">
        <x:f>B56*(1+'Assumptions'!B29)</x:f>
        <x:v>546244.8200000001</x:v>
      </x:c>
      <x:c r="D56" s="22" t="n">
        <x:f>C56*(1+'Assumptions'!B29)</x:f>
        <x:v>600869.3020000001</x:v>
      </x:c>
      <x:c r="E56" s="22" t="n">
        <x:f>D56*(1+'Assumptions'!B29)</x:f>
        <x:v>660956.2322000002</x:v>
      </x:c>
      <x:c r="F56" s="22" t="n">
        <x:f>E56*(1+'Assumptions'!B29)</x:f>
        <x:v>727051.8554200003</x:v>
      </x:c>
      <x:c r="H56" s="9" t="str">
        <x:v>PV forecast FCF</x:v>
      </x:c>
      <x:c r="I56" s="32" t="n">
        <x:f>SUM(B67:F67)</x:f>
        <x:v>715080.07670086</x:v>
      </x:c>
    </x:row>
    <x:row r="57">
      <x:c r="A57" s="9" t="str">
        <x:v>Revenue growth</x:v>
      </x:c>
      <x:c r="B57" s="23" t="n">
        <x:f>'Assumptions'!B29</x:f>
        <x:v>0.1</x:v>
      </x:c>
      <x:c r="C57" s="23" t="n">
        <x:f>'Assumptions'!B29</x:f>
        <x:v>0.1</x:v>
      </x:c>
      <x:c r="D57" s="23" t="n">
        <x:f>'Assumptions'!B29</x:f>
        <x:v>0.1</x:v>
      </x:c>
      <x:c r="E57" s="23" t="n">
        <x:f>'Assumptions'!B29</x:f>
        <x:v>0.1</x:v>
      </x:c>
      <x:c r="F57" s="23" t="n">
        <x:f>'Assumptions'!B29</x:f>
        <x:v>0.1</x:v>
      </x:c>
      <x:c r="H57" s="9" t="str">
        <x:v>Terminal value</x:v>
      </x:c>
      <x:c r="I57" s="32" t="n">
        <x:f>F65*(1+'Assumptions'!E29)/('Assumptions'!D29-'Assumptions'!E29)</x:f>
        <x:v>5557258.6313533485</x:v>
      </x:c>
    </x:row>
    <x:row r="58">
      <x:c r="A58" s="9" t="str">
        <x:v>EBIT margin</x:v>
      </x:c>
      <x:c r="B58" s="23" t="n">
        <x:f>'Assumptions'!C29</x:f>
        <x:v>0.35</x:v>
      </x:c>
      <x:c r="C58" s="23" t="n">
        <x:f>'Assumptions'!C29</x:f>
        <x:v>0.35</x:v>
      </x:c>
      <x:c r="D58" s="23" t="n">
        <x:f>'Assumptions'!C29</x:f>
        <x:v>0.35</x:v>
      </x:c>
      <x:c r="E58" s="23" t="n">
        <x:f>'Assumptions'!C29</x:f>
        <x:v>0.35</x:v>
      </x:c>
      <x:c r="F58" s="23" t="n">
        <x:f>'Assumptions'!C29</x:f>
        <x:v>0.35</x:v>
      </x:c>
      <x:c r="H58" s="9" t="str">
        <x:v>PV terminal value</x:v>
      </x:c>
      <x:c r="I58" s="32" t="n">
        <x:f>I57*F66</x:f>
        <x:v>3870609.130318205</x:v>
      </x:c>
    </x:row>
    <x:row r="59">
      <x:c r="A59" s="9" t="str">
        <x:v>EBIT</x:v>
      </x:c>
      <x:c r="B59" s="22" t="n">
        <x:f>B56*B58</x:f>
        <x:v>173805.16999999998</x:v>
      </x:c>
      <x:c r="C59" s="22" t="n">
        <x:f>C56*C58</x:f>
        <x:v>191185.687</x:v>
      </x:c>
      <x:c r="D59" s="22" t="n">
        <x:f>D56*D58</x:f>
        <x:v>210304.25570000004</x:v>
      </x:c>
      <x:c r="E59" s="22" t="n">
        <x:f>E56*E58</x:f>
        <x:v>231334.68127000006</x:v>
      </x:c>
      <x:c r="F59" s="22" t="n">
        <x:f>F56*F58</x:f>
        <x:v>254468.1493970001</x:v>
      </x:c>
      <x:c r="H59" s="9" t="str">
        <x:v>Enterprise value</x:v>
      </x:c>
      <x:c r="I59" s="32" t="n">
        <x:f>I56+I58</x:f>
        <x:v>4585689.207019065</x:v>
      </x:c>
    </x:row>
    <x:row r="60">
      <x:c r="A60" s="9" t="str">
        <x:v>Cash taxes</x:v>
      </x:c>
      <x:c r="B60" s="22" t="n">
        <x:f>-B59*'Assumptions'!$C$5</x:f>
        <x:v>-27808.8272</x:v>
      </x:c>
      <x:c r="C60" s="22" t="n">
        <x:f>-C59*'Assumptions'!$C$5</x:f>
        <x:v>-30589.70992</x:v>
      </x:c>
      <x:c r="D60" s="22" t="n">
        <x:f>-D59*'Assumptions'!$C$5</x:f>
        <x:v>-33648.680912</x:v>
      </x:c>
      <x:c r="E60" s="22" t="n">
        <x:f>-E59*'Assumptions'!$C$5</x:f>
        <x:v>-37013.54900320001</x:v>
      </x:c>
      <x:c r="F60" s="22" t="n">
        <x:f>-F59*'Assumptions'!$C$5</x:f>
        <x:v>-40714.90390352002</x:v>
      </x:c>
      <x:c r="H60" s="9" t="str">
        <x:v>Net cash</x:v>
      </x:c>
      <x:c r="I60" s="32" t="n">
        <x:f>'Assumptions'!C23</x:f>
        <x:v>61884</x:v>
      </x:c>
    </x:row>
    <x:row r="61">
      <x:c r="A61" s="9" t="str">
        <x:v>NOPAT</x:v>
      </x:c>
      <x:c r="B61" s="22" t="n">
        <x:f>B59+B60</x:f>
        <x:v>145996.34279999998</x:v>
      </x:c>
      <x:c r="C61" s="22" t="n">
        <x:f>C59+C60</x:f>
        <x:v>160595.97708</x:v>
      </x:c>
      <x:c r="D61" s="22" t="n">
        <x:f>D59+D60</x:f>
        <x:v>176655.57478800003</x:v>
      </x:c>
      <x:c r="E61" s="22" t="n">
        <x:f>E59+E60</x:f>
        <x:v>194321.13226680004</x:v>
      </x:c>
      <x:c r="F61" s="22" t="n">
        <x:f>F59+F60</x:f>
        <x:v>213753.24549348006</x:v>
      </x:c>
      <x:c r="H61" s="9" t="str">
        <x:v>Equity value</x:v>
      </x:c>
      <x:c r="I61" s="32" t="n">
        <x:f>I59+I60</x:f>
        <x:v>4647573.207019065</x:v>
      </x:c>
    </x:row>
    <x:row r="62">
      <x:c r="A62" s="9" t="str">
        <x:v>D&amp;A</x:v>
      </x:c>
      <x:c r="B62" s="22" t="n">
        <x:f>B56*'Assumptions'!$C$6</x:f>
        <x:v>13904.4136</x:v>
      </x:c>
      <x:c r="C62" s="22" t="n">
        <x:f>C56*'Assumptions'!$C$6</x:f>
        <x:v>15294.854960000002</x:v>
      </x:c>
      <x:c r="D62" s="22" t="n">
        <x:f>D56*'Assumptions'!$C$6</x:f>
        <x:v>16824.340456000005</x:v>
      </x:c>
      <x:c r="E62" s="22" t="n">
        <x:f>E56*'Assumptions'!$C$6</x:f>
        <x:v>18506.774501600004</x:v>
      </x:c>
      <x:c r="F62" s="22" t="n">
        <x:f>F56*'Assumptions'!$C$6</x:f>
        <x:v>20357.45195176001</x:v>
      </x:c>
      <x:c r="H62" s="9" t="str">
        <x:v>Shares outstanding</x:v>
      </x:c>
      <x:c r="I62" s="32" t="n">
        <x:f>'Sources'!C13</x:f>
        <x:v>14667.688</x:v>
      </x:c>
    </x:row>
    <x:row r="63">
      <x:c r="A63" s="9" t="str">
        <x:v>Capital expenditures</x:v>
      </x:c>
      <x:c r="B63" s="22" t="n">
        <x:f>-B56*'Assumptions'!$C$7</x:f>
        <x:v>-12911.2412</x:v>
      </x:c>
      <x:c r="C63" s="22" t="n">
        <x:f>-C56*'Assumptions'!$C$7</x:f>
        <x:v>-14202.36532</x:v>
      </x:c>
      <x:c r="D63" s="22" t="n">
        <x:f>-D56*'Assumptions'!$C$7</x:f>
        <x:v>-15622.601852000003</x:v>
      </x:c>
      <x:c r="E63" s="22" t="n">
        <x:f>-E56*'Assumptions'!$C$7</x:f>
        <x:v>-17184.862037200004</x:v>
      </x:c>
      <x:c r="F63" s="22" t="n">
        <x:f>-F56*'Assumptions'!$C$7</x:f>
        <x:v>-18903.348240920008</x:v>
      </x:c>
      <x:c r="H63" s="9" t="str">
        <x:v>Implied value / share</x:v>
      </x:c>
      <x:c r="I63" s="33" t="n">
        <x:f>I61/I62</x:f>
        <x:v>316.85792655386894</x:v>
      </x:c>
    </x:row>
    <x:row r="64">
      <x:c r="A64" s="9" t="str">
        <x:v>Change in NWC</x:v>
      </x:c>
      <x:c r="B64" s="22" t="n">
        <x:f>-(B56-'Sources'!C3)*'Assumptions'!$C$8</x:f>
        <x:v>-225.72100000000006</x:v>
      </x:c>
      <x:c r="C64" s="22" t="n">
        <x:f>-(C56-B56)*'Assumptions'!$C$8</x:f>
        <x:v>-248.29310000000027</x:v>
      </x:c>
      <x:c r="D64" s="22" t="n">
        <x:f>-(D56-C56)*'Assumptions'!$C$8</x:f>
        <x:v>-273.1224100000004</x:v>
      </x:c>
      <x:c r="E64" s="22" t="n">
        <x:f>-(E56-D56)*'Assumptions'!$C$8</x:f>
        <x:v>-300.4346510000003</x:v>
      </x:c>
      <x:c r="F64" s="22" t="n">
        <x:f>-(F56-E56)*'Assumptions'!$C$8</x:f>
        <x:v>-330.47811610000036</x:v>
      </x:c>
      <x:c r="H64" s="9" t="str">
        <x:v>Upside / (downside)</x:v>
      </x:c>
      <x:c r="I64" s="34" t="n">
        <x:f>I63/'Sources'!C14-1</x:f>
        <x:v>-0.03261303488468914</x:v>
      </x:c>
    </x:row>
    <x:row r="65">
      <x:c r="A65" s="9" t="str">
        <x:v>Unlevered FCF</x:v>
      </x:c>
      <x:c r="B65" s="22" t="n">
        <x:f>B61+B62+B63+B64</x:f>
        <x:v>146763.7942</x:v>
      </x:c>
      <x:c r="C65" s="22" t="n">
        <x:f>C61+C62+C63+C64</x:f>
        <x:v>161440.17362</x:v>
      </x:c>
      <x:c r="D65" s="22" t="n">
        <x:f>D61+D62+D63+D64</x:f>
        <x:v>177584.19098200003</x:v>
      </x:c>
      <x:c r="E65" s="22" t="n">
        <x:f>E61+E62+E63+E64</x:f>
        <x:v>195342.61008020004</x:v>
      </x:c>
      <x:c r="F65" s="22" t="n">
        <x:f>F61+F62+F63+F64</x:f>
        <x:v>214876.87108822004</x:v>
      </x:c>
    </x:row>
    <x:row r="66">
      <x:c r="A66" s="9" t="str">
        <x:v>Discount factor</x:v>
      </x:c>
      <x:c r="B66" s="30" t="n">
        <x:f>1/(1+'Assumptions'!$D$29)^1</x:f>
        <x:v>0.9302158635566045</x:v>
      </x:c>
      <x:c r="C66" s="30" t="n">
        <x:f>1/(1+'Assumptions'!$D$29)^2</x:f>
        <x:v>0.8653015528123593</x:v>
      </x:c>
      <x:c r="D66" s="30" t="n">
        <x:f>1/(1+'Assumptions'!$D$29)^3</x:f>
        <x:v>0.8049172311862196</x:v>
      </x:c>
      <x:c r="E66" s="30" t="n">
        <x:f>1/(1+'Assumptions'!$D$29)^4</x:f>
        <x:v>0.7487467772994802</x:v>
      </x:c>
      <x:c r="F66" s="30" t="n">
        <x:f>1/(1+'Assumptions'!$D$29)^5</x:f>
        <x:v>0.6964961300308607</x:v>
      </x:c>
    </x:row>
    <x:row r="67">
      <x:c r="A67" s="9" t="str">
        <x:v>PV of FCF</x:v>
      </x:c>
      <x:c r="B67" s="22" t="n">
        <x:f>B65*B66</x:f>
        <x:v>136522.00956059678</x:v>
      </x:c>
      <x:c r="C67" s="22" t="n">
        <x:f>C65*C66</x:f>
        <x:v>139694.43291968288</x:v>
      </x:c>
      <x:c r="D67" s="22" t="n">
        <x:f>D65*D66</x:f>
        <x:v>142940.5753076763</x:v>
      </x:c>
      <x:c r="E67" s="22" t="n">
        <x:f>E65*E66</x:f>
        <x:v>146262.14976681874</x:v>
      </x:c>
      <x:c r="F67" s="22" t="n">
        <x:f>F65*F66</x:f>
        <x:v>149660.9091460854</x:v>
      </x:c>
    </x:row>
  </x:sheetData>
  <x:mergeCells>
    <x:mergeCell ref="A1:I1"/>
    <x:mergeCell ref="A2:I2"/>
    <x:mergeCell ref="A4:I4"/>
    <x:mergeCell ref="A29:I29"/>
    <x:mergeCell ref="A54:I5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3" t="str">
        <x:v>Base-Case DCF Sensitivity</x:v>
      </x:c>
      <x:c r="B1" s="3" t="str">
        <x:v>Base-Case DCF Sensitivity</x:v>
      </x:c>
      <x:c r="C1" s="3" t="str">
        <x:v>Base-Case DCF Sensitivity</x:v>
      </x:c>
      <x:c r="D1" s="3" t="str">
        <x:v>Base-Case DCF Sensitivity</x:v>
      </x:c>
      <x:c r="E1" s="3" t="str">
        <x:v>Base-Case DCF Sensitivity</x:v>
      </x:c>
      <x:c r="F1" s="3" t="str">
        <x:v>Base-Case DCF Sensitivity</x:v>
      </x:c>
      <x:c r="G1" s="3" t="str">
        <x:v>Base-Case DCF Sensitivity</x:v>
      </x:c>
    </x:row>
    <x:row r="2">
      <x:c r="A2" s="36" t="str">
        <x:v>Implied value per share by WACC and terminal growth. All cells recompute from base-case cash flows.</x:v>
      </x:c>
      <x:c r="B2" s="36"/>
      <x:c r="C2" s="36"/>
      <x:c r="D2" s="36"/>
      <x:c r="E2" s="36"/>
      <x:c r="F2" s="36"/>
      <x:c r="G2" s="36"/>
    </x:row>
    <x:row r="4">
      <x:c r="A4" s="6" t="str">
        <x:v>WACC / TGR</x:v>
      </x:c>
      <x:c r="B4" s="37" t="n">
        <x:v>0.025</x:v>
      </x:c>
      <x:c r="C4" s="37" t="n">
        <x:v>0.0275</x:v>
      </x:c>
      <x:c r="D4" s="37" t="n">
        <x:v>0.03</x:v>
      </x:c>
      <x:c r="E4" s="37" t="n">
        <x:v>0.0325</x:v>
      </x:c>
      <x:c r="F4" s="37" t="n">
        <x:v>0.035</x:v>
      </x:c>
    </x:row>
    <x:row r="5">
      <x:c r="A5" s="37" t="n">
        <x:v>0.075</x:v>
      </x:c>
      <x:c r="B5" s="31" t="n">
        <x:f>(SUM('DCF'!B42:F42)+'DCF'!F40*(1+B$4)/($A5-B$4)/(1+$A5)^5+'Assumptions'!$C$23)/'Sources'!$C$13</x:f>
        <x:v>217.2856487514863</x:v>
      </x:c>
      <x:c r="C5" s="31" t="n">
        <x:f>(SUM('DCF'!B42:F42)+'DCF'!F40*(1+C$4)/($A5-C$4)/(1+$A5)^5+'Assumptions'!$C$23)/'Sources'!$C$13</x:f>
        <x:v>226.77437751807443</x:v>
      </x:c>
      <x:c r="D5" s="31" t="n">
        <x:f>(SUM('DCF'!B42:F42)+'DCF'!F40*(1+D$4)/($A5-D$4)/(1+$A5)^5+'Assumptions'!$C$23)/'Sources'!$C$13</x:f>
        <x:v>237.31740948095015</x:v>
      </x:c>
      <x:c r="E5" s="31" t="n">
        <x:f>(SUM('DCF'!B42:F42)+'DCF'!F40*(1+E$4)/($A5-E$4)/(1+$A5)^5+'Assumptions'!$C$23)/'Sources'!$C$13</x:f>
        <x:v>249.10079814534055</x:v>
      </x:c>
      <x:c r="F5" s="31" t="n">
        <x:f>(SUM('DCF'!B42:F42)+'DCF'!F40*(1+F$4)/($A5-F$4)/(1+$A5)^5+'Assumptions'!$C$23)/'Sources'!$C$13</x:f>
        <x:v>262.3571103927798</x:v>
      </x:c>
    </x:row>
    <x:row r="6">
      <x:c r="A6" s="37" t="n">
        <x:v>0.08</x:v>
      </x:c>
      <x:c r="B6" s="31" t="n">
        <x:f>(SUM('DCF'!B42:F42)+'DCF'!F40*(1+B$4)/($A6-B$4)/(1+$A6)^5+'Assumptions'!$C$23)/'Sources'!$C$13</x:f>
        <x:v>198.07424051639524</x:v>
      </x:c>
      <x:c r="C6" s="31" t="n">
        <x:f>(SUM('DCF'!B42:F42)+'DCF'!F40*(1+C$4)/($A6-C$4)/(1+$A6)^5+'Assumptions'!$C$23)/'Sources'!$C$13</x:f>
        <x:v>205.73529390209418</x:v>
      </x:c>
      <x:c r="D6" s="31" t="n">
        <x:f>(SUM('DCF'!B42:F42)+'DCF'!F40*(1+D$4)/($A6-D$4)/(1+$A6)^5+'Assumptions'!$C$23)/'Sources'!$C$13</x:f>
        <x:v>214.162452626363</x:v>
      </x:c>
      <x:c r="E6" s="31" t="n">
        <x:f>(SUM('DCF'!B42:F42)+'DCF'!F40*(1+E$4)/($A6-E$4)/(1+$A6)^5+'Assumptions'!$C$23)/'Sources'!$C$13</x:f>
        <x:v>223.47668069002853</x:v>
      </x:c>
      <x:c r="F6" s="31" t="n">
        <x:f>(SUM('DCF'!B42:F42)+'DCF'!F40*(1+F$4)/($A6-F$4)/(1+$A6)^5+'Assumptions'!$C$23)/'Sources'!$C$13</x:f>
        <x:v>233.82582298299022</x:v>
      </x:c>
    </x:row>
    <x:row r="7">
      <x:c r="A7" s="37" t="n">
        <x:v>0.085</x:v>
      </x:c>
      <x:c r="B7" s="31" t="n">
        <x:f>(SUM('DCF'!B42:F42)+'DCF'!F40*(1+B$4)/($A7-B$4)/(1+$A7)^5+'Assumptions'!$C$23)/'Sources'!$C$13</x:f>
        <x:v>182.15474070320502</x:v>
      </x:c>
      <x:c r="C7" s="31" t="n">
        <x:f>(SUM('DCF'!B42:F42)+'DCF'!F40*(1+C$4)/($A7-C$4)/(1+$A7)^5+'Assumptions'!$C$23)/'Sources'!$C$13</x:f>
        <x:v>188.44933082326642</x:v>
      </x:c>
      <x:c r="D7" s="31" t="n">
        <x:f>(SUM('DCF'!B42:F42)+'DCF'!F40*(1+D$4)/($A7-D$4)/(1+$A7)^5+'Assumptions'!$C$23)/'Sources'!$C$13</x:f>
        <x:v>195.3161564087879</x:v>
      </x:c>
      <x:c r="E7" s="31" t="n">
        <x:f>(SUM('DCF'!B42:F42)+'DCF'!F40*(1+E$4)/($A7-E$4)/(1+$A7)^5+'Assumptions'!$C$23)/'Sources'!$C$13</x:f>
        <x:v>202.83696538340666</x:v>
      </x:c>
      <x:c r="F7" s="31" t="n">
        <x:f>(SUM('DCF'!B42:F42)+'DCF'!F40*(1+F$4)/($A7-F$4)/(1+$A7)^5+'Assumptions'!$C$23)/'Sources'!$C$13</x:f>
        <x:v>211.10985525548728</x:v>
      </x:c>
    </x:row>
    <x:row r="8">
      <x:c r="A8" s="37" t="n">
        <x:v>0.09</x:v>
      </x:c>
      <x:c r="B8" s="31" t="n">
        <x:f>(SUM('DCF'!B42:F42)+'DCF'!F40*(1+B$4)/($A8-B$4)/(1+$A8)^5+'Assumptions'!$C$23)/'Sources'!$C$13</x:f>
        <x:v>168.76483472194195</x:v>
      </x:c>
      <x:c r="C8" s="31" t="n">
        <x:f>(SUM('DCF'!B42:F42)+'DCF'!F40*(1+C$4)/($A8-C$4)/(1+$A8)^5+'Assumptions'!$C$23)/'Sources'!$C$13</x:f>
        <x:v>174.01298349510853</x:v>
      </x:c>
      <x:c r="D8" s="31" t="n">
        <x:f>(SUM('DCF'!B42:F42)+'DCF'!F40*(1+D$4)/($A8-D$4)/(1+$A8)^5+'Assumptions'!$C$23)/'Sources'!$C$13</x:f>
        <x:v>179.69847799937227</x:v>
      </x:c>
      <x:c r="E8" s="31" t="n">
        <x:f>(SUM('DCF'!B42:F42)+'DCF'!F40*(1+E$4)/($A8-E$4)/(1+$A8)^5+'Assumptions'!$C$23)/'Sources'!$C$13</x:f>
        <x:v>185.87836333009375</x:v>
      </x:c>
      <x:c r="F8" s="31" t="n">
        <x:f>(SUM('DCF'!B42:F42)+'DCF'!F40*(1+F$4)/($A8-F$4)/(1+$A8)^5+'Assumptions'!$C$23)/'Sources'!$C$13</x:f>
        <x:v>192.62005641815352</x:v>
      </x:c>
    </x:row>
    <x:row r="9">
      <x:c r="A9" s="37" t="n">
        <x:v>0.095</x:v>
      </x:c>
      <x:c r="B9" s="31" t="n">
        <x:f>(SUM('DCF'!B42:F42)+'DCF'!F40*(1+B$4)/($A9-B$4)/(1+$A9)^5+'Assumptions'!$C$23)/'Sources'!$C$13</x:f>
        <x:v>157.36010099994732</x:v>
      </x:c>
      <x:c r="C9" s="31" t="n">
        <x:f>(SUM('DCF'!B42:F42)+'DCF'!F40*(1+C$4)/($A9-C$4)/(1+$A9)^5+'Assumptions'!$C$23)/'Sources'!$C$13</x:f>
        <x:v>161.79054461723462</x:v>
      </x:c>
      <x:c r="D9" s="31" t="n">
        <x:f>(SUM('DCF'!B42:F42)+'DCF'!F40*(1+D$4)/($A9-D$4)/(1+$A9)^5+'Assumptions'!$C$23)/'Sources'!$C$13</x:f>
        <x:v>166.56179158969783</x:v>
      </x:c>
      <x:c r="E9" s="31" t="n">
        <x:f>(SUM('DCF'!B42:F42)+'DCF'!F40*(1+E$4)/($A9-E$4)/(1+$A9)^5+'Assumptions'!$C$23)/'Sources'!$C$13</x:f>
        <x:v>171.71473831995806</x:v>
      </x:c>
      <x:c r="F9" s="31" t="n">
        <x:f>(SUM('DCF'!B42:F42)+'DCF'!F40*(1+F$4)/($A9-F$4)/(1+$A9)^5+'Assumptions'!$C$23)/'Sources'!$C$13</x:f>
        <x:v>177.29709727774002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6" hidden="0" customWidth="1"/>
  </x:cols>
  <x:sheetData>
    <x:row r="1" ht="30" customHeight="1">
      <x:c r="A1" s="13" t="str">
        <x:v>Model Integrity Checks</x:v>
      </x:c>
      <x:c r="B1" s="13" t="str">
        <x:v>Model Integrity Checks</x:v>
      </x:c>
      <x:c r="C1" s="13" t="str">
        <x:v>Model Integrity Checks</x:v>
      </x:c>
      <x:c r="D1" s="13" t="str">
        <x:v>Model Integrity Checks</x:v>
      </x:c>
      <x:c r="E1" s="13" t="str">
        <x:v>Model Integrity Checks</x:v>
      </x:c>
      <x:c r="F1" s="13" t="str">
        <x:v>Model Integrity Checks</x:v>
      </x:c>
      <x:c r="G1" s="13" t="str">
        <x:v>Model Integrity Checks</x:v>
      </x:c>
    </x:row>
    <x:row r="3">
      <x:c r="A3" s="6" t="str">
        <x:v>Check</x:v>
      </x:c>
      <x:c r="B3" s="6" t="str">
        <x:v>Actual</x:v>
      </x:c>
      <x:c r="C3" s="6" t="str">
        <x:v>Expected</x:v>
      </x:c>
      <x:c r="D3" s="6" t="str">
        <x:v>Difference</x:v>
      </x:c>
      <x:c r="E3" s="6" t="str">
        <x:v>Tolerance</x:v>
      </x:c>
      <x:c r="F3" s="6" t="str">
        <x:v>Status</x:v>
      </x:c>
      <x:c r="G3" s="6" t="str">
        <x:v>Notes</x:v>
      </x:c>
    </x:row>
    <x:row r="4">
      <x:c r="A4" s="9" t="str">
        <x:v>Bear FCF tie</x:v>
      </x:c>
      <x:c r="B4" s="42" t="n">
        <x:f>'DCF'!F15-('DCF'!F11+'DCF'!F12+'DCF'!F13+'DCF'!F14)</x:f>
        <x:v>0</x:v>
      </x:c>
      <x:c r="C4" s="42" t="n">
        <x:v>0</x:v>
      </x:c>
      <x:c r="D4" s="42" t="n">
        <x:f>B4-C4</x:f>
        <x:v>0</x:v>
      </x:c>
      <x:c r="E4" s="42" t="n">
        <x:v>0.01</x:v>
      </x:c>
      <x:c r="F4" s="43" t="str">
        <x:f>IF(ABS(D4)&lt;=E4,"PASS","FAIL")</x:f>
        <x:v>PASS</x:v>
      </x:c>
      <x:c r="G4" s="9" t="str">
        <x:v>Terminal forecast FCF equals formula components</x:v>
      </x:c>
    </x:row>
    <x:row r="5">
      <x:c r="A5" s="9" t="str">
        <x:v>Base FCF tie</x:v>
      </x:c>
      <x:c r="B5" s="42" t="n">
        <x:f>'DCF'!F40-('DCF'!F36+'DCF'!F37+'DCF'!F38+'DCF'!F39)</x:f>
        <x:v>0</x:v>
      </x:c>
      <x:c r="C5" s="42" t="n">
        <x:v>0</x:v>
      </x:c>
      <x:c r="D5" s="42" t="n">
        <x:f>B5-C5</x:f>
        <x:v>0</x:v>
      </x:c>
      <x:c r="E5" s="42" t="n">
        <x:v>0.01</x:v>
      </x:c>
      <x:c r="F5" s="43" t="str">
        <x:f>IF(ABS(D5)&lt;=E5,"PASS","FAIL")</x:f>
        <x:v>PASS</x:v>
      </x:c>
      <x:c r="G5" s="9" t="str">
        <x:v>Terminal forecast FCF equals formula components</x:v>
      </x:c>
    </x:row>
    <x:row r="6">
      <x:c r="A6" s="9" t="str">
        <x:v>Bull FCF tie</x:v>
      </x:c>
      <x:c r="B6" s="42" t="n">
        <x:f>'DCF'!F65-('DCF'!F61+'DCF'!F62+'DCF'!F63+'DCF'!F64)</x:f>
        <x:v>0</x:v>
      </x:c>
      <x:c r="C6" s="42" t="n">
        <x:v>0</x:v>
      </x:c>
      <x:c r="D6" s="42" t="n">
        <x:f>B6-C6</x:f>
        <x:v>0</x:v>
      </x:c>
      <x:c r="E6" s="42" t="n">
        <x:v>0.01</x:v>
      </x:c>
      <x:c r="F6" s="43" t="str">
        <x:f>IF(ABS(D6)&lt;=E6,"PASS","FAIL")</x:f>
        <x:v>PASS</x:v>
      </x:c>
      <x:c r="G6" s="9" t="str">
        <x:v>Terminal forecast FCF equals formula components</x:v>
      </x:c>
    </x:row>
    <x:row r="7">
      <x:c r="A7" s="9" t="str">
        <x:v>Net cash tie</x:v>
      </x:c>
      <x:c r="B7" s="42" t="n">
        <x:f>'Assumptions'!C23</x:f>
        <x:v>61884</x:v>
      </x:c>
      <x:c r="C7" s="42" t="n">
        <x:v>61884</x:v>
      </x:c>
      <x:c r="D7" s="42" t="n">
        <x:f>B7-C7</x:f>
        <x:v>0</x:v>
      </x:c>
      <x:c r="E7" s="42" t="n">
        <x:v>0.01</x:v>
      </x:c>
      <x:c r="F7" s="43" t="str">
        <x:f>IF(ABS(D7)&lt;=E7,"PASS","FAIL")</x:f>
        <x:v>PASS</x:v>
      </x:c>
      <x:c r="G7" s="9" t="str">
        <x:v>Cash + securities − funded debt</x:v>
      </x:c>
    </x:row>
    <x:row r="8">
      <x:c r="A8" s="9" t="str">
        <x:v>Bear terminal spread</x:v>
      </x:c>
      <x:c r="B8" s="42" t="n">
        <x:f>'Assumptions'!D27-'Assumptions'!E27</x:f>
        <x:v>0.07001929302364457</x:v>
      </x:c>
      <x:c r="C8" s="42" t="n">
        <x:v>0</x:v>
      </x:c>
      <x:c r="D8" s="42" t="n">
        <x:f>B8-C8</x:f>
        <x:v>0.07001929302364457</x:v>
      </x:c>
      <x:c r="E8" s="42" t="n">
        <x:v>0</x:v>
      </x:c>
      <x:c r="F8" s="43" t="str">
        <x:f>IF(B8&gt;C8,"PASS","FAIL")</x:f>
        <x:v>PASS</x:v>
      </x:c>
      <x:c r="G8" s="9" t="str">
        <x:v>WACC must exceed TGR</x:v>
      </x:c>
    </x:row>
    <x:row r="9">
      <x:c r="A9" s="9" t="str">
        <x:v>Base terminal spread</x:v>
      </x:c>
      <x:c r="B9" s="42" t="n">
        <x:f>'Assumptions'!D28-'Assumptions'!E28</x:f>
        <x:v>0.05501929302364458</x:v>
      </x:c>
      <x:c r="C9" s="42" t="n">
        <x:v>0</x:v>
      </x:c>
      <x:c r="D9" s="42" t="n">
        <x:f>B9-C9</x:f>
        <x:v>0.05501929302364458</x:v>
      </x:c>
      <x:c r="E9" s="42" t="n">
        <x:v>0</x:v>
      </x:c>
      <x:c r="F9" s="43" t="str">
        <x:f>IF(B9&gt;C9,"PASS","FAIL")</x:f>
        <x:v>PASS</x:v>
      </x:c>
      <x:c r="G9" s="9" t="str">
        <x:v>WACC must exceed TGR</x:v>
      </x:c>
    </x:row>
    <x:row r="10">
      <x:c r="A10" s="9" t="str">
        <x:v>Bull terminal spread</x:v>
      </x:c>
      <x:c r="B10" s="42" t="n">
        <x:f>'Assumptions'!D29-'Assumptions'!E29</x:f>
        <x:v>0.040019293023644584</x:v>
      </x:c>
      <x:c r="C10" s="42" t="n">
        <x:v>0</x:v>
      </x:c>
      <x:c r="D10" s="42" t="n">
        <x:f>B10-C10</x:f>
        <x:v>0.040019293023644584</x:v>
      </x:c>
      <x:c r="E10" s="42" t="n">
        <x:v>0</x:v>
      </x:c>
      <x:c r="F10" s="43" t="str">
        <x:f>IF(B10&gt;C10,"PASS","FAIL")</x:f>
        <x:v>PASS</x:v>
      </x:c>
      <x:c r="G10" s="9" t="str">
        <x:v>WACC must exceed TGR</x:v>
      </x:c>
    </x:row>
    <x:row r="11">
      <x:c r="A11" s="9" t="str">
        <x:v>Scenario value ordering</x:v>
      </x:c>
      <x:c r="B11" s="9" t="b">
        <x:f>'DCF'!I13&lt;'DCF'!I38</x:f>
        <x:v>1</x:v>
      </x:c>
      <x:c r="C11" s="41" t="b">
        <x:v>1</x:v>
      </x:c>
      <x:c r="D11" s="9" t="n">
        <x:f>IF(B11=C11,0,1)</x:f>
        <x:v>0</x:v>
      </x:c>
      <x:c r="E11" s="9" t="n">
        <x:v>0</x:v>
      </x:c>
      <x:c r="F11" s="43" t="str">
        <x:f>IF(B11=C11,"PASS","FAIL")</x:f>
        <x:v>PASS</x:v>
      </x:c>
      <x:c r="G11" s="9" t="str">
        <x:v>Bear &lt; Base &lt; Bull</x:v>
      </x:c>
    </x:row>
    <x:row r="12">
      <x:c r="A12" s="9" t="str">
        <x:v>Overall model status</x:v>
      </x:c>
      <x:c r="B12" s="9" t="b">
        <x:f>COUNTIF(F4:F11,"PASS")=8</x:f>
        <x:v>1</x:v>
      </x:c>
      <x:c r="C12" s="41" t="b">
        <x:v>1</x:v>
      </x:c>
      <x:c r="D12" s="9" t="n">
        <x:f>IF(B12=C12,0,1)</x:f>
        <x:v>0</x:v>
      </x:c>
      <x:c r="E12" s="9" t="n">
        <x:v>0</x:v>
      </x:c>
      <x:c r="F12" s="43" t="str">
        <x:f>IF(B12=C12,"PASS","FAIL")</x:f>
        <x:v>PASS</x:v>
      </x:c>
      <x:c r="G12" s="9" t="str">
        <x:v>All eight preceding checks pass</x:v>
      </x:c>
    </x:row>
  </x:sheetData>
  <x:mergeCells>
    <x:mergeCell ref="A1:G1"/>
  </x:mergeCells>
  <x:pageMargins left="0.7" right="0.7" top="0.75" bottom="0.75" header="0.3" footer="0.3"/>
</x:worksheet>
</file>