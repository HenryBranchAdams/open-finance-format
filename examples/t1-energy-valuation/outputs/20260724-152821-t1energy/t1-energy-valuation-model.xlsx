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8d524a9a3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be3db629cc44b18"/>
    <x:sheet xmlns:r="http://schemas.openxmlformats.org/officeDocument/2006/relationships" name="Sources" sheetId="2" r:id="Re1a89e30ca9b4a20"/>
    <x:sheet xmlns:r="http://schemas.openxmlformats.org/officeDocument/2006/relationships" name="Assumptions" sheetId="3" r:id="R00aa167b575f45a8"/>
    <x:sheet xmlns:r="http://schemas.openxmlformats.org/officeDocument/2006/relationships" name="Historicals" sheetId="4" r:id="R2db4aeb311f44730"/>
    <x:sheet xmlns:r="http://schemas.openxmlformats.org/officeDocument/2006/relationships" name="Forecast" sheetId="5" r:id="R4791a819e9cc4b36"/>
    <x:sheet xmlns:r="http://schemas.openxmlformats.org/officeDocument/2006/relationships" name="DCF" sheetId="6" r:id="R6c2a2ff0c6d94c7a"/>
    <x:sheet xmlns:r="http://schemas.openxmlformats.org/officeDocument/2006/relationships" name="Sensitivities" sheetId="7" r:id="Re627fd4c85dc4d7c"/>
    <x:sheet xmlns:r="http://schemas.openxmlformats.org/officeDocument/2006/relationships" name="Reverse DCF" sheetId="8" r:id="R8371af69c37d48e2"/>
    <x:sheet xmlns:r="http://schemas.openxmlformats.org/officeDocument/2006/relationships" name="Checks" sheetId="9" r:id="R3f6025bd6903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-"/>
    <x:numFmt numFmtId="201" formatCode="$#,##0.0;($#,##0.0);-"/>
    <x:numFmt numFmtId="202" formatCode="0.0"/>
    <x:numFmt numFmtId="203" formatCode="$0.00;($0.00);-"/>
  </x:numFmts>
  <x:fonts count="10">
    <x:font>
      <x:sz val="11"/>
      <x:name val="Carlito"/>
    </x:font>
    <x:font>
      <x:b/>
      <x:sz val="16"/>
      <x:color rgb="FFFFFFFF"/>
      <x:name val="Arial"/>
    </x:font>
    <x:font>
      <x:b/>
      <x:sz val="11"/>
      <x:color rgb="FF404040"/>
      <x:name val="Arial"/>
    </x:font>
    <x:font>
      <x:sz val="11"/>
      <x:color rgb="FF0000FF"/>
      <x:name val="Carlito"/>
    </x:font>
    <x:font>
      <x:i/>
      <x:sz val="11"/>
      <x:color rgb="FF404040"/>
      <x:name val="Carlito"/>
    </x:font>
    <x:font>
      <x:sz val="11"/>
      <x:color rgb="FF008000"/>
      <x:name val="Carlito"/>
    </x:font>
    <x:font>
      <x:sz val="11"/>
      <x:color rgb="FF404040"/>
      <x:name val="Carlito"/>
    </x:font>
    <x:font>
      <x:b/>
      <x:sz val="11"/>
      <x:color rgb="FFFFFFFF"/>
      <x:name val="Arial"/>
    </x:font>
    <x:font>
      <x:b/>
      <x:sz val="11"/>
      <x:color rgb="FF404040"/>
      <x:name val="Carlito"/>
    </x:font>
    <x:font>
      <x:b/>
      <x:sz val="22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24">
    <x:border/>
    <x:border>
      <x:bottom style="medium">
        <x:color rgb="FFB7C9D6"/>
      </x:bottom>
    </x:border>
    <x:border>
      <x:bottom style="thin">
        <x:color rgb="FFE0E6EB"/>
      </x:bottom>
    </x:border>
    <x:border>
      <x:top style="thin">
        <x:color rgb="FFE0E6EB"/>
      </x:top>
      <x:bottom style="thin">
        <x:color rgb="FFE0E6EB"/>
      </x:bottom>
    </x:border>
    <x:border>
      <x:top style="thin">
        <x:color rgb="FFE0E6EB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bottom style="thin">
        <x:color rgb="FFE0E6EB"/>
      </x:bottom>
    </x:border>
    <x:border>
      <x:left style="thin">
        <x:color rgb="FFD6B656"/>
      </x:left>
      <x:bottom style="thin">
        <x:color rgb="FFE0E6EB"/>
      </x:bottom>
    </x:border>
    <x:border>
      <x:left style="thin">
        <x:color rgb="FFD6B656"/>
      </x:left>
      <x:right style="thin">
        <x:color rgb="FFD6B656"/>
      </x:right>
      <x:top style="thin">
        <x:color rgb="FFE0E6EB"/>
      </x:top>
      <x:bottom style="thin">
        <x:color rgb="FFE0E6EB"/>
      </x:bottom>
    </x:border>
    <x:border>
      <x:left style="thin">
        <x:color rgb="FFD6B656"/>
      </x:left>
      <x:top style="thin">
        <x:color rgb="FFE0E6EB"/>
      </x:top>
      <x:bottom style="thin">
        <x:color rgb="FFE0E6EB"/>
      </x:bottom>
    </x:border>
    <x:border>
      <x:left style="thin">
        <x:color rgb="FFD6B656"/>
      </x:left>
      <x:right style="thin">
        <x:color rgb="FFD6B656"/>
      </x:right>
      <x:top style="thin">
        <x:color rgb="FFE0E6EB"/>
      </x:top>
    </x:border>
    <x:border>
      <x:left style="thin">
        <x:color rgb="FFD6B656"/>
      </x:left>
      <x:top style="thin">
        <x:color rgb="FFE0E6EB"/>
      </x:top>
    </x:border>
    <x:border>
      <x:top style="thin">
        <x:color rgb="FF404040"/>
      </x:top>
      <x:bottom style="double">
        <x:color rgb="FF404040"/>
      </x:bottom>
    </x:border>
    <x:border>
      <x:top style="thin">
        <x:color rgb="FF404040"/>
      </x:top>
    </x:border>
    <x:border>
      <x:bottom style="double">
        <x:color rgb="FF404040"/>
      </x:bottom>
    </x:border>
    <x:border>
      <x:top style="thin">
        <x:color rgb="FF404040"/>
      </x:top>
      <x:bottom style="medium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200" fontId="3" fillId="4" borderId="8" xfId="0" applyNumberFormat="1" applyFont="1" applyFill="1" applyBorder="1"/>
    <x:xf numFmtId="200" fontId="3" fillId="4" borderId="9" xfId="0" applyNumberFormat="1" applyFont="1" applyFill="1" applyBorder="1"/>
    <x:xf numFmtId="201" fontId="3" fillId="4" borderId="6" xfId="0" applyNumberFormat="1" applyFont="1" applyFill="1" applyBorder="1"/>
    <x:xf numFmtId="201" fontId="3" fillId="4" borderId="7" xfId="0" applyNumberFormat="1" applyFont="1" applyFill="1" applyBorder="1"/>
    <x:xf numFmtId="201" fontId="3" fillId="4" borderId="8" xfId="0" applyNumberFormat="1" applyFont="1" applyFill="1" applyBorder="1"/>
    <x:xf numFmtId="201" fontId="3" fillId="4" borderId="9" xfId="0" applyNumberFormat="1" applyFont="1" applyFill="1" applyBorder="1"/>
    <x:xf numFmtId="202" fontId="3" fillId="4" borderId="8" xfId="0" applyNumberFormat="1" applyFont="1" applyFill="1" applyBorder="1"/>
    <x:xf numFmtId="202" fontId="3" fillId="4" borderId="9" xfId="0" applyNumberFormat="1" applyFont="1" applyFill="1" applyBorder="1"/>
    <x:xf numFmtId="201" fontId="3" fillId="4" borderId="10" xfId="0" applyNumberFormat="1" applyFont="1" applyFill="1" applyBorder="1"/>
    <x:xf numFmtId="201" fontId="3" fillId="4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2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5" fillId="0" borderId="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3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12" xfId="0" applyNumberFormat="1" applyFont="1" applyFill="1" applyBorder="1"/>
    <x:xf numFmtId="201" fontId="8" fillId="0" borderId="12" xfId="0" applyNumberFormat="1" applyFont="1" applyFill="1" applyBorder="1"/>
    <x:xf numFmtId="203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3" xfId="0" applyNumberFormat="1" applyFont="1" applyFill="1" applyBorder="1"/>
    <x:xf numFmtId="203" fontId="5" fillId="0" borderId="3" xfId="0" applyNumberFormat="1" applyFont="1" applyFill="1" applyBorder="1"/>
    <x:xf numFmtId="0" fontId="8" fillId="0" borderId="3" xfId="0" applyNumberFormat="1" applyFont="1" applyFill="1" applyBorder="1"/>
    <x:xf numFmtId="201" fontId="8" fillId="0" borderId="3" xfId="0" applyNumberFormat="1" applyFont="1" applyFill="1" applyBorder="1"/>
    <x:xf numFmtId="201" fontId="0" fillId="0" borderId="4" xfId="0" applyNumberFormat="1" applyFont="1" applyFill="1" applyBorder="1"/>
    <x:xf numFmtId="203" fontId="8" fillId="0" borderId="0" xfId="0" applyNumberFormat="1" applyFont="1" applyFill="1" applyBorder="1"/>
    <x:xf numFmtId="0" fontId="8" fillId="0" borderId="13" xfId="0" applyNumberFormat="1" applyFont="1" applyFill="1" applyBorder="1"/>
    <x:xf numFmtId="203" fontId="8" fillId="0" borderId="13" xfId="0" applyNumberFormat="1" applyFont="1" applyFill="1" applyBorder="1"/>
    <x:xf numFmtId="201" fontId="8" fillId="0" borderId="13" xfId="0" applyNumberFormat="1" applyFont="1" applyFill="1" applyBorder="1"/>
    <x:xf numFmtId="0" fontId="8" fillId="0" borderId="14" xfId="0" applyNumberFormat="1" applyFont="1" applyFill="1" applyBorder="1"/>
    <x:xf numFmtId="203" fontId="8" fillId="0" borderId="14" xfId="0" applyNumberFormat="1" applyFont="1" applyFill="1" applyBorder="1"/>
    <x:xf numFmtId="201" fontId="8" fillId="0" borderId="14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/>
    </x:xf>
    <x:xf numFmtId="203" fontId="0" fillId="7" borderId="0" xfId="0" applyNumberFormat="1" applyFont="1" applyFill="1" applyBorder="1"/>
    <x:xf numFmtId="200" fontId="8" fillId="0" borderId="0" xfId="0" applyNumberFormat="1" applyFont="1" applyFill="1" applyBorder="1"/>
    <x:xf numFmtId="203" fontId="8" fillId="7" borderId="0" xfId="0" applyNumberFormat="1" applyFont="1" applyFill="1" applyBorder="1"/>
    <x:xf numFmtId="0" fontId="2" fillId="3" borderId="15" xfId="0" applyNumberFormat="1" applyFont="1" applyFill="1" applyBorder="1" applyAlignment="1">
      <x:alignment horizontal="center" vertical="center"/>
    </x:xf>
    <x:xf numFmtId="200" fontId="2" fillId="3" borderId="15" xfId="0" applyNumberFormat="1" applyFont="1" applyFill="1" applyBorder="1" applyAlignment="1">
      <x:alignment horizontal="center" vertical="center"/>
    </x:xf>
    <x:xf numFmtId="200" fontId="8" fillId="0" borderId="14" xfId="0" applyNumberFormat="1" applyFont="1" applyFill="1" applyBorder="1"/>
    <x:xf numFmtId="0" fontId="8" fillId="6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203" fontId="0" fillId="0" borderId="3" xfId="0" applyNumberFormat="1" applyFont="1" applyFill="1" applyBorder="1"/>
    <x:xf numFmtId="0" fontId="0" fillId="7" borderId="4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21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203" fontId="9" fillId="6" borderId="16" xfId="0" applyNumberFormat="1" applyFont="1" applyFill="1" applyBorder="1"/>
    <x:xf numFmtId="203" fontId="9" fillId="6" borderId="17" xfId="0" applyNumberFormat="1" applyFont="1" applyFill="1" applyBorder="1"/>
    <x:xf numFmtId="203" fontId="9" fillId="6" borderId="18" xfId="0" applyNumberFormat="1" applyFont="1" applyFill="1" applyBorder="1"/>
    <x:xf numFmtId="203" fontId="9" fillId="6" borderId="19" xfId="0" applyNumberFormat="1" applyFont="1" applyFill="1" applyBorder="1"/>
    <x:xf numFmtId="203" fontId="9" fillId="6" borderId="0" xfId="0" applyNumberFormat="1" applyFont="1" applyFill="1" applyBorder="1"/>
    <x:xf numFmtId="203" fontId="9" fillId="6" borderId="20" xfId="0" applyNumberFormat="1" applyFont="1" applyFill="1" applyBorder="1"/>
    <x:xf numFmtId="203" fontId="9" fillId="6" borderId="21" xfId="0" applyNumberFormat="1" applyFont="1" applyFill="1" applyBorder="1"/>
    <x:xf numFmtId="203" fontId="9" fillId="6" borderId="22" xfId="0" applyNumberFormat="1" applyFont="1" applyFill="1" applyBorder="1"/>
    <x:xf numFmtId="203" fontId="9" fillId="6" borderId="23" xfId="0" applyNumberFormat="1" applyFont="1" applyFill="1" applyBorder="1"/>
    <x:xf numFmtId="203" fontId="9" fillId="6" borderId="16" xfId="0" applyNumberFormat="1" applyFont="1" applyFill="1" applyBorder="1" applyAlignment="1">
      <x:alignment horizontal="center"/>
    </x:xf>
    <x:xf numFmtId="203" fontId="9" fillId="6" borderId="17" xfId="0" applyNumberFormat="1" applyFont="1" applyFill="1" applyBorder="1" applyAlignment="1">
      <x:alignment horizontal="center"/>
    </x:xf>
    <x:xf numFmtId="203" fontId="9" fillId="6" borderId="18" xfId="0" applyNumberFormat="1" applyFont="1" applyFill="1" applyBorder="1" applyAlignment="1">
      <x:alignment horizontal="center"/>
    </x:xf>
    <x:xf numFmtId="203" fontId="9" fillId="6" borderId="19" xfId="0" applyNumberFormat="1" applyFont="1" applyFill="1" applyBorder="1" applyAlignment="1">
      <x:alignment horizontal="center"/>
    </x:xf>
    <x:xf numFmtId="203" fontId="9" fillId="6" borderId="0" xfId="0" applyNumberFormat="1" applyFont="1" applyFill="1" applyBorder="1" applyAlignment="1">
      <x:alignment horizontal="center"/>
    </x:xf>
    <x:xf numFmtId="203" fontId="9" fillId="6" borderId="20" xfId="0" applyNumberFormat="1" applyFont="1" applyFill="1" applyBorder="1" applyAlignment="1">
      <x:alignment horizontal="center"/>
    </x:xf>
    <x:xf numFmtId="203" fontId="9" fillId="6" borderId="21" xfId="0" applyNumberFormat="1" applyFont="1" applyFill="1" applyBorder="1" applyAlignment="1">
      <x:alignment horizontal="center"/>
    </x:xf>
    <x:xf numFmtId="203" fontId="9" fillId="6" borderId="22" xfId="0" applyNumberFormat="1" applyFont="1" applyFill="1" applyBorder="1" applyAlignment="1">
      <x:alignment horizontal="center"/>
    </x:xf>
    <x:xf numFmtId="203" fontId="9" fillId="6" borderId="23" xfId="0" applyNumberFormat="1" applyFont="1" applyFill="1" applyBorder="1" applyAlignment="1">
      <x:alignment horizontal="center"/>
    </x:xf>
    <x:xf numFmtId="203" fontId="9" fillId="6" borderId="16" xfId="0" applyNumberFormat="1" applyFont="1" applyFill="1" applyBorder="1" applyAlignment="1">
      <x:alignment horizontal="center" vertical="center"/>
    </x:xf>
    <x:xf numFmtId="203" fontId="9" fillId="6" borderId="17" xfId="0" applyNumberFormat="1" applyFont="1" applyFill="1" applyBorder="1" applyAlignment="1">
      <x:alignment horizontal="center" vertical="center"/>
    </x:xf>
    <x:xf numFmtId="203" fontId="9" fillId="6" borderId="18" xfId="0" applyNumberFormat="1" applyFont="1" applyFill="1" applyBorder="1" applyAlignment="1">
      <x:alignment horizontal="center" vertical="center"/>
    </x:xf>
    <x:xf numFmtId="203" fontId="9" fillId="6" borderId="19" xfId="0" applyNumberFormat="1" applyFont="1" applyFill="1" applyBorder="1" applyAlignment="1">
      <x:alignment horizontal="center" vertical="center"/>
    </x:xf>
    <x:xf numFmtId="203" fontId="9" fillId="6" borderId="0" xfId="0" applyNumberFormat="1" applyFont="1" applyFill="1" applyBorder="1" applyAlignment="1">
      <x:alignment horizontal="center" vertical="center"/>
    </x:xf>
    <x:xf numFmtId="203" fontId="9" fillId="6" borderId="20" xfId="0" applyNumberFormat="1" applyFont="1" applyFill="1" applyBorder="1" applyAlignment="1">
      <x:alignment horizontal="center" vertical="center"/>
    </x:xf>
    <x:xf numFmtId="203" fontId="9" fillId="6" borderId="21" xfId="0" applyNumberFormat="1" applyFont="1" applyFill="1" applyBorder="1" applyAlignment="1">
      <x:alignment horizontal="center" vertical="center"/>
    </x:xf>
    <x:xf numFmtId="203" fontId="9" fillId="6" borderId="22" xfId="0" applyNumberFormat="1" applyFont="1" applyFill="1" applyBorder="1" applyAlignment="1">
      <x:alignment horizontal="center" vertical="center"/>
    </x:xf>
    <x:xf numFmtId="203" fontId="9" fillId="6" borderId="2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9" xfId="0" applyNumberFormat="1" applyFont="1" applyFill="1" applyBorder="1"/>
    <x:xf numFmtId="0" fontId="6" fillId="8" borderId="20" xfId="0" applyNumberFormat="1" applyFont="1" applyFill="1" applyBorder="1"/>
    <x:xf numFmtId="0" fontId="6" fillId="8" borderId="21" xfId="0" applyNumberFormat="1" applyFont="1" applyFill="1" applyBorder="1"/>
    <x:xf numFmtId="0" fontId="6" fillId="8" borderId="22" xfId="0" applyNumberFormat="1" applyFont="1" applyFill="1" applyBorder="1"/>
    <x:xf numFmtId="0" fontId="6" fillId="8" borderId="23" xfId="0" applyNumberFormat="1" applyFont="1" applyFill="1" applyBorder="1"/>
    <x:xf numFmtId="0" fontId="6" fillId="8" borderId="16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9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20" xfId="0" applyNumberFormat="1" applyFont="1" applyFill="1" applyBorder="1" applyAlignment="1">
      <x:alignment wrapText="1"/>
    </x:xf>
    <x:xf numFmtId="0" fontId="6" fillId="8" borderId="21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vertical="top" wrapText="1"/>
    </x:xf>
    <x:xf numFmtId="0" fontId="6" fillId="8" borderId="17" xfId="0" applyNumberFormat="1" applyFont="1" applyFill="1" applyBorder="1" applyAlignment="1">
      <x:alignment vertical="top" wrapText="1"/>
    </x:xf>
    <x:xf numFmtId="0" fontId="6" fillId="8" borderId="18" xfId="0" applyNumberFormat="1" applyFont="1" applyFill="1" applyBorder="1" applyAlignment="1">
      <x:alignment vertical="top" wrapText="1"/>
    </x:xf>
    <x:xf numFmtId="0" fontId="6" fillId="8" borderId="19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20" xfId="0" applyNumberFormat="1" applyFont="1" applyFill="1" applyBorder="1" applyAlignment="1">
      <x:alignment vertical="top" wrapText="1"/>
    </x:xf>
    <x:xf numFmtId="0" fontId="6" fillId="8" borderId="21" xfId="0" applyNumberFormat="1" applyFont="1" applyFill="1" applyBorder="1" applyAlignment="1">
      <x:alignment vertical="top" wrapText="1"/>
    </x:xf>
    <x:xf numFmtId="0" fontId="6" fillId="8" borderId="22" xfId="0" applyNumberFormat="1" applyFont="1" applyFill="1" applyBorder="1" applyAlignment="1">
      <x:alignment vertical="top" wrapText="1"/>
    </x:xf>
    <x:xf numFmtId="0" fontId="6" fillId="8" borderId="2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8" xfId="0" applyNumberFormat="1" applyFont="1" applyFill="1" applyBorder="1"/>
    <x:xf numFmtId="0" fontId="6" fillId="4" borderId="19" xfId="0" applyNumberFormat="1" applyFont="1" applyFill="1" applyBorder="1"/>
    <x:xf numFmtId="0" fontId="6" fillId="4" borderId="20" xfId="0" applyNumberFormat="1" applyFont="1" applyFill="1" applyBorder="1"/>
    <x:xf numFmtId="0" fontId="6" fillId="4" borderId="21" xfId="0" applyNumberFormat="1" applyFont="1" applyFill="1" applyBorder="1"/>
    <x:xf numFmtId="0" fontId="6" fillId="4" borderId="22" xfId="0" applyNumberFormat="1" applyFont="1" applyFill="1" applyBorder="1"/>
    <x:xf numFmtId="0" fontId="6" fillId="4" borderId="23" xfId="0" applyNumberFormat="1" applyFont="1" applyFill="1" applyBorder="1"/>
    <x:xf numFmtId="0" fontId="6" fillId="4" borderId="16" xfId="0" applyNumberFormat="1" applyFont="1" applyFill="1" applyBorder="1" applyAlignment="1">
      <x:alignment wrapText="1"/>
    </x:xf>
    <x:xf numFmtId="0" fontId="6" fillId="4" borderId="17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20" xfId="0" applyNumberFormat="1" applyFont="1" applyFill="1" applyBorder="1" applyAlignment="1">
      <x:alignment wrapText="1"/>
    </x:xf>
    <x:xf numFmtId="0" fontId="6" fillId="4" borderId="21" xfId="0" applyNumberFormat="1" applyFont="1" applyFill="1" applyBorder="1" applyAlignment="1">
      <x:alignment wrapText="1"/>
    </x:xf>
    <x:xf numFmtId="0" fontId="6" fillId="4" borderId="22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vertical="center" wrapText="1"/>
    </x:xf>
    <x:xf numFmtId="0" fontId="6" fillId="4" borderId="17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20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6" fillId="4" borderId="2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cf73797a24ac6" /><Relationship Type="http://schemas.openxmlformats.org/officeDocument/2006/relationships/theme" Target="/xl/theme/theme1.xml" Id="Ra81b9f08038b4775" /><Relationship Type="http://schemas.openxmlformats.org/officeDocument/2006/relationships/sharedStrings" Target="/xl/sharedStrings.xml" Id="R8d666e2f05e54eb0" /><Relationship Type="http://schemas.openxmlformats.org/officeDocument/2006/relationships/worksheet" Target="/xl/worksheets/sheet1.xml" Id="R9be3db629cc44b18" /><Relationship Type="http://schemas.openxmlformats.org/officeDocument/2006/relationships/worksheet" Target="/xl/worksheets/sheet2.xml" Id="Re1a89e30ca9b4a20" /><Relationship Type="http://schemas.openxmlformats.org/officeDocument/2006/relationships/worksheet" Target="/xl/worksheets/sheet3.xml" Id="R00aa167b575f45a8" /><Relationship Type="http://schemas.openxmlformats.org/officeDocument/2006/relationships/worksheet" Target="/xl/worksheets/sheet4.xml" Id="R2db4aeb311f44730" /><Relationship Type="http://schemas.openxmlformats.org/officeDocument/2006/relationships/worksheet" Target="/xl/worksheets/sheet5.xml" Id="R4791a819e9cc4b36" /><Relationship Type="http://schemas.openxmlformats.org/officeDocument/2006/relationships/worksheet" Target="/xl/worksheets/sheet6.xml" Id="R6c2a2ff0c6d94c7a" /><Relationship Type="http://schemas.openxmlformats.org/officeDocument/2006/relationships/worksheet" Target="/xl/worksheets/sheet7.xml" Id="Re627fd4c85dc4d7c" /><Relationship Type="http://schemas.openxmlformats.org/officeDocument/2006/relationships/worksheet" Target="/xl/worksheets/sheet8.xml" Id="R8371af69c37d48e2" /><Relationship Type="http://schemas.openxmlformats.org/officeDocument/2006/relationships/worksheet" Target="/xl/worksheets/sheet9.xml" Id="R3f6025bd6903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T1 Energy (NYSE: TE) — First-Principles Valuation</x:v>
      </x:c>
      <x:c r="B1" s="4" t="str">
        <x:v>T1 Energy (NYSE: TE) — First-Principles Valuation</x:v>
      </x:c>
      <x:c r="C1" s="4" t="str">
        <x:v>T1 Energy (NYSE: TE) — First-Principles Valuation</x:v>
      </x:c>
      <x:c r="D1" s="4" t="str">
        <x:v>T1 Energy (NYSE: TE) — First-Principles Valuation</x:v>
      </x:c>
      <x:c r="E1" s="4" t="str">
        <x:v>T1 Energy (NYSE: TE) — First-Principles Valuation</x:v>
      </x:c>
      <x:c r="F1" s="4" t="str">
        <x:v>T1 Energy (NYSE: TE) — First-Principles Valuation</x:v>
      </x:c>
      <x:c r="G1" s="4" t="str">
        <x:v>T1 Energy (NYSE: TE) — First-Principles Valuation</x:v>
      </x:c>
      <x:c r="H1" s="4" t="str">
        <x:v>T1 Energy (NYSE: TE) — First-Principles Valuation</x:v>
      </x:c>
      <x:c r="I1" s="4" t="str">
        <x:v>T1 Energy (NYSE: TE) — First-Principles Valuation</x:v>
      </x:c>
      <x:c r="J1" s="4" t="str">
        <x:v>T1 Energy (NYSE: TE) — First-Principles Valuation</x:v>
      </x:c>
      <x:c r="K1" s="4" t="str">
        <x:v>T1 Energy (NYSE: TE) — First-Principles Valuation</x:v>
      </x:c>
      <x:c r="L1" s="4" t="str">
        <x:v>T1 Energy (NYSE: TE) — First-Principles Valuation</x:v>
      </x:c>
    </x:row>
    <x:row r="3" ht="28" customHeight="1">
      <x:c r="A3" s="93" t="str">
        <x:v>Screen-grade / partial confidence: formula model uses primary-source anchors and explicit analyst assumptions; it is not investment advice or an independent audit.</x:v>
      </x:c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93"/>
    </x:row>
    <x:row r="5">
      <x:c r="A5" s="9" t="str">
        <x:v>Valuation date</x:v>
      </x:c>
      <x:c r="B5" s="9" t="str">
        <x:v>2026-07-24</x:v>
      </x:c>
      <x:c r="C5" s="9" t="str">
        <x:v>Market reference</x:v>
      </x:c>
      <x:c r="D5" s="9" t="str">
        <x:v>$5.68 July 23 close</x:v>
      </x:c>
      <x:c r="E5" s="9" t="str">
        <x:v>Reference timestamp</x:v>
      </x:c>
      <x:c r="F5" s="9" t="str">
        <x:v>2026-07-24T15:35Z</x:v>
      </x:c>
      <x:c r="G5" s="9" t="str">
        <x:v>Method</x:v>
      </x:c>
      <x:c r="H5" s="9" t="str">
        <x:v>Capacity-driven FCFF DCF</x:v>
      </x:c>
      <x:c r="I5" s="9" t="str">
        <x:v>Status</x:v>
      </x:c>
      <x:c r="J5" s="9" t="str">
        <x:v>Screen-grade</x:v>
      </x:c>
      <x:c r="K5" s="9" t="str">
        <x:v>Confidence</x:v>
      </x:c>
      <x:c r="L5" s="9" t="str">
        <x:v>Limited</x:v>
      </x:c>
    </x:row>
    <x:row r="6" ht="30" customHeight="1">
      <x:c r="A6" s="35" t="str">
        <x:v>Market-data freshness</x:v>
      </x:c>
      <x:c r="B6" s="35" t="str">
        <x:v>One trading day stale; issuer page was at least 15-minute delayed</x:v>
      </x:c>
      <x:c r="C6" s="35" t="str">
        <x:v>Accounting basis</x:v>
      </x:c>
      <x:c r="D6" s="35" t="str">
        <x:v>US GAAP / Dec. year-end</x:v>
      </x:c>
      <x:c r="E6" s="35" t="str">
        <x:v>Primary method</x:v>
      </x:c>
      <x:c r="F6" s="35" t="str">
        <x:v>Probability-weighted DCF</x:v>
      </x:c>
      <x:c r="G6" s="35" t="str">
        <x:v>Secondary method</x:v>
      </x:c>
      <x:c r="H6" s="35" t="str">
        <x:v>Reverse DCF</x:v>
      </x:c>
      <x:c r="I6" s="35" t="str">
        <x:v>Consensus</x:v>
      </x:c>
      <x:c r="J6" s="35" t="str">
        <x:v>Comparison only; excluded</x:v>
      </x:c>
      <x:c r="K6" s="35" t="str">
        <x:v>Source ledger</x:v>
      </x:c>
      <x:c r="L6" s="35" t="str">
        <x:v>Sources tab</x:v>
      </x:c>
    </x:row>
    <x:row r="8">
      <x:c r="A8" s="95" t="str">
        <x:v>Bear per share</x:v>
      </x:c>
      <x:c r="B8" s="95"/>
      <x:c r="C8" s="95"/>
      <x:c r="D8" s="95"/>
      <x:c r="E8" s="95" t="str">
        <x:v>Base per share</x:v>
      </x:c>
      <x:c r="F8" s="95"/>
      <x:c r="G8" s="95"/>
      <x:c r="H8" s="95"/>
      <x:c r="I8" s="95" t="str">
        <x:v>Bull per share</x:v>
      </x:c>
      <x:c r="J8" s="95"/>
      <x:c r="K8" s="95"/>
      <x:c r="L8" s="95"/>
    </x:row>
    <x:row r="9">
      <x:c r="A9" s="123" t="n">
        <x:f>DCF!H11</x:f>
        <x:v>0</x:v>
      </x:c>
      <x:c r="B9" s="124"/>
      <x:c r="C9" s="124"/>
      <x:c r="D9" s="125"/>
      <x:c r="E9" s="123" t="n">
        <x:f>DCF!H25</x:f>
        <x:v>1.0106462667493898</x:v>
      </x:c>
      <x:c r="F9" s="124"/>
      <x:c r="G9" s="124"/>
      <x:c r="H9" s="125"/>
      <x:c r="I9" s="123" t="n">
        <x:f>DCF!H39</x:f>
        <x:v>5.2611754860718</x:v>
      </x:c>
      <x:c r="J9" s="124"/>
      <x:c r="K9" s="124"/>
      <x:c r="L9" s="125"/>
    </x:row>
    <x:row r="10">
      <x:c r="A10" s="126"/>
      <x:c r="B10" s="127"/>
      <x:c r="C10" s="127"/>
      <x:c r="D10" s="128"/>
      <x:c r="E10" s="126"/>
      <x:c r="F10" s="127"/>
      <x:c r="G10" s="127"/>
      <x:c r="H10" s="128"/>
      <x:c r="I10" s="126"/>
      <x:c r="J10" s="127"/>
      <x:c r="K10" s="127"/>
      <x:c r="L10" s="128"/>
    </x:row>
    <x:row r="11">
      <x:c r="A11" s="129"/>
      <x:c r="B11" s="130"/>
      <x:c r="C11" s="130"/>
      <x:c r="D11" s="131"/>
      <x:c r="E11" s="129"/>
      <x:c r="F11" s="130"/>
      <x:c r="G11" s="130"/>
      <x:c r="H11" s="131"/>
      <x:c r="I11" s="129"/>
      <x:c r="J11" s="130"/>
      <x:c r="K11" s="130"/>
      <x:c r="L11" s="131"/>
    </x:row>
    <x:row r="13" ht="20" customHeight="1">
      <x:c r="A13" s="52" t="str">
        <x:v>Decision frame</x:v>
      </x:c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</x:row>
    <x:row r="14">
      <x:c r="A14" s="95" t="str">
        <x:v>Thesis</x:v>
      </x:c>
      <x:c r="B14" s="95"/>
      <x:c r="C14" s="95"/>
      <x:c r="D14" s="95"/>
      <x:c r="E14" s="95" t="str">
        <x:v>Catalysts</x:v>
      </x:c>
      <x:c r="F14" s="95"/>
      <x:c r="G14" s="95"/>
      <x:c r="H14" s="95"/>
      <x:c r="I14" s="95" t="str">
        <x:v>Risks</x:v>
      </x:c>
      <x:c r="J14" s="95"/>
      <x:c r="K14" s="95"/>
      <x:c r="L14" s="95"/>
    </x:row>
    <x:row r="15">
      <x:c r="A15" s="151" t="str">
        <x:v>Value depends on converting G1 capacity into durable revenue and margin while funding and commissioning G2 without a damaging recapitalization.</x:v>
      </x:c>
      <x:c r="B15" s="152"/>
      <x:c r="C15" s="152"/>
      <x:c r="D15" s="153"/>
      <x:c r="E15" s="151" t="str">
        <x:v>G1 utilization/customer diversification; disclosed G2 funding and commissioning; durable domestic-manufacturing/45X economics.</x:v>
      </x:c>
      <x:c r="F15" s="152"/>
      <x:c r="G15" s="152"/>
      <x:c r="H15" s="153"/>
      <x:c r="I15" s="151" t="str">
        <x:v>Related-party and one-customer concentration; G2 construction/financing; policy/45X risk; working capital; uncertain dilution.</x:v>
      </x:c>
      <x:c r="J15" s="152"/>
      <x:c r="K15" s="152"/>
      <x:c r="L15" s="153"/>
    </x:row>
    <x:row r="16">
      <x:c r="A16" s="154"/>
      <x:c r="B16" s="155"/>
      <x:c r="C16" s="155"/>
      <x:c r="D16" s="156"/>
      <x:c r="E16" s="154"/>
      <x:c r="F16" s="155"/>
      <x:c r="G16" s="155"/>
      <x:c r="H16" s="156"/>
      <x:c r="I16" s="154"/>
      <x:c r="J16" s="155"/>
      <x:c r="K16" s="155"/>
      <x:c r="L16" s="156"/>
    </x:row>
    <x:row r="17">
      <x:c r="A17" s="154"/>
      <x:c r="B17" s="155"/>
      <x:c r="C17" s="155"/>
      <x:c r="D17" s="156"/>
      <x:c r="E17" s="154"/>
      <x:c r="F17" s="155"/>
      <x:c r="G17" s="155"/>
      <x:c r="H17" s="156"/>
      <x:c r="I17" s="154"/>
      <x:c r="J17" s="155"/>
      <x:c r="K17" s="155"/>
      <x:c r="L17" s="156"/>
    </x:row>
    <x:row r="18">
      <x:c r="A18" s="157"/>
      <x:c r="B18" s="158"/>
      <x:c r="C18" s="158"/>
      <x:c r="D18" s="159"/>
      <x:c r="E18" s="157"/>
      <x:c r="F18" s="158"/>
      <x:c r="G18" s="158"/>
      <x:c r="H18" s="159"/>
      <x:c r="I18" s="157"/>
      <x:c r="J18" s="158"/>
      <x:c r="K18" s="158"/>
      <x:c r="L18" s="159"/>
    </x:row>
    <x:row r="20" ht="20" customHeight="1">
      <x:c r="A20" s="52" t="str">
        <x:v>What must be true / reverse-implied expectation</x:v>
      </x:c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</x:row>
    <x:row r="21">
      <x:c r="A21" s="178" t="str">
        <x:f>"Base case requires about $900m of 2026 revenue, 65% G2 financed-completion probability, 11.0% 2030 EBIT margin, and no value-destructive financing beyond the 360m diluted-share reserve. The $5.68 reference requires "&amp;TEXT('Reverse DCF'!B9,"$#,##0")&amp;"m of 2030 FCFF versus base "&amp;TEXT('Reverse DCF'!B10,"$#,##0")&amp;"m."</x:f>
        <x:v>Base case requires about $900m of 2026 revenue, 65% G2 financed-completion probability, 11.0% 2030 EBIT margin, and no value-destructive financing beyond the 360m diluted-share reserve. The $5.68 reference requires $473m of 2030 FCFF versus base $134m.</x:v>
      </x:c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80"/>
    </x:row>
    <x:row r="22">
      <x:c r="A22" s="181"/>
      <x:c r="B22" s="182"/>
      <x:c r="C22" s="182"/>
      <x:c r="D22" s="182"/>
      <x:c r="E22" s="182"/>
      <x:c r="F22" s="182"/>
      <x:c r="G22" s="182"/>
      <x:c r="H22" s="182"/>
      <x:c r="I22" s="182"/>
      <x:c r="J22" s="182"/>
      <x:c r="K22" s="182"/>
      <x:c r="L22" s="183"/>
    </x:row>
    <x:row r="23">
      <x:c r="A23" s="181"/>
      <x:c r="B23" s="182"/>
      <x:c r="C23" s="182"/>
      <x:c r="D23" s="182"/>
      <x:c r="E23" s="182"/>
      <x:c r="F23" s="182"/>
      <x:c r="G23" s="182"/>
      <x:c r="H23" s="182"/>
      <x:c r="I23" s="182"/>
      <x:c r="J23" s="182"/>
      <x:c r="K23" s="182"/>
      <x:c r="L23" s="183"/>
    </x:row>
    <x:row r="24">
      <x:c r="A24" s="184"/>
      <x:c r="B24" s="185"/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6"/>
    </x:row>
    <x:row r="26" ht="20" customHeight="1">
      <x:c r="A26" s="52" t="str">
        <x:v>Model status and limits</x:v>
      </x:c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>
      <x:c r="A27" s="187" t="str">
        <x:v>Reported facts are blue/linked in the supporting schedules; yellow cells are analyst inputs; formula-driven outputs are green. Market data is not a verified July 24 close. The model excludes unverified project-level G2 NAV, standalone real-options value, KORE transaction economics, and consensus forecast logic. Historical depth, financing visibility, 45X durability, and instrument-level dilution constrain confidence.</x:v>
      </x:c>
      <x:c r="B27" s="187"/>
      <x:c r="C27" s="187"/>
      <x:c r="D27" s="187"/>
      <x:c r="E27" s="187"/>
      <x:c r="F27" s="187"/>
      <x:c r="G27" s="187"/>
      <x:c r="H27" s="187"/>
      <x:c r="I27" s="187"/>
      <x:c r="J27" s="187"/>
      <x:c r="K27" s="187"/>
      <x:c r="L27" s="187"/>
    </x:row>
    <x:row r="28">
      <x:c r="A28" s="187"/>
      <x:c r="B28" s="187"/>
      <x:c r="C28" s="187"/>
      <x:c r="D28" s="187"/>
      <x:c r="E28" s="187"/>
      <x:c r="F28" s="187"/>
      <x:c r="G28" s="187"/>
      <x:c r="H28" s="187"/>
      <x:c r="I28" s="187"/>
      <x:c r="J28" s="187"/>
      <x:c r="K28" s="187"/>
      <x:c r="L28" s="187"/>
    </x:row>
    <x:row r="29">
      <x:c r="A29" s="187"/>
      <x:c r="B29" s="187"/>
      <x:c r="C29" s="187"/>
      <x:c r="D29" s="187"/>
      <x:c r="E29" s="187"/>
      <x:c r="F29" s="187"/>
      <x:c r="G29" s="187"/>
      <x:c r="H29" s="187"/>
      <x:c r="I29" s="187"/>
      <x:c r="J29" s="187"/>
      <x:c r="K29" s="187"/>
      <x:c r="L29" s="187"/>
    </x:row>
    <x:row r="30">
      <x:c r="A30" s="187"/>
      <x:c r="B30" s="187"/>
      <x:c r="C30" s="187"/>
      <x:c r="D30" s="187"/>
      <x:c r="E30" s="187"/>
      <x:c r="F30" s="187"/>
      <x:c r="G30" s="187"/>
      <x:c r="H30" s="187"/>
      <x:c r="I30" s="187"/>
      <x:c r="J30" s="187"/>
      <x:c r="K30" s="187"/>
      <x:c r="L30" s="187"/>
    </x:row>
    <x:row r="31">
      <x:c r="A31" s="187"/>
      <x:c r="B31" s="187"/>
      <x:c r="C31" s="187"/>
      <x:c r="D31" s="187"/>
      <x:c r="E31" s="187"/>
      <x:c r="F31" s="187"/>
      <x:c r="G31" s="187"/>
      <x:c r="H31" s="187"/>
      <x:c r="I31" s="187"/>
      <x:c r="J31" s="187"/>
      <x:c r="K31" s="187"/>
      <x:c r="L31" s="187"/>
    </x:row>
  </x:sheetData>
  <x:mergeCells>
    <x:mergeCell ref="A1:L1"/>
    <x:mergeCell ref="A3:L3"/>
    <x:mergeCell ref="A8:D8"/>
    <x:mergeCell ref="E8:H8"/>
    <x:mergeCell ref="I8:L8"/>
    <x:mergeCell ref="A9:D11"/>
    <x:mergeCell ref="E9:H11"/>
    <x:mergeCell ref="I9:L11"/>
    <x:mergeCell ref="A14:D14"/>
    <x:mergeCell ref="E14:H14"/>
    <x:mergeCell ref="I14:L14"/>
    <x:mergeCell ref="A15:D18"/>
    <x:mergeCell ref="E15:H18"/>
    <x:mergeCell ref="I15:L18"/>
    <x:mergeCell ref="A21:L24"/>
    <x:mergeCell ref="A27:L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8" hidden="0" customWidth="1"/>
    <x:col min="4" max="4" width="24" hidden="0" customWidth="1"/>
    <x:col min="5" max="5" width="24" hidden="0" customWidth="1"/>
    <x:col min="6" max="6" width="25" hidden="0" customWidth="1"/>
    <x:col min="7" max="7" width="55" hidden="0" customWidth="1"/>
    <x:col min="8" max="8" width="48" hidden="0" customWidth="1"/>
    <x:col min="9" max="9" width="24" hidden="0" customWidth="1"/>
    <x:col min="10" max="10" width="28" hidden="0" customWidth="1"/>
  </x:cols>
  <x:sheetData>
    <x:row r="1" ht="30" customHeight="1">
      <x:c r="A1" s="4" t="str">
        <x:v>T1 Energy (TE) — Primary-Source Register</x:v>
      </x:c>
      <x:c r="B1" s="4" t="str">
        <x:v>T1 Energy (TE) — Primary-Source Register</x:v>
      </x:c>
      <x:c r="C1" s="4" t="str">
        <x:v>T1 Energy (TE) — Primary-Source Register</x:v>
      </x:c>
      <x:c r="D1" s="4" t="str">
        <x:v>T1 Energy (TE) — Primary-Source Register</x:v>
      </x:c>
      <x:c r="E1" s="4" t="str">
        <x:v>T1 Energy (TE) — Primary-Source Register</x:v>
      </x:c>
      <x:c r="F1" s="4" t="str">
        <x:v>T1 Energy (TE) — Primary-Source Register</x:v>
      </x:c>
      <x:c r="G1" s="4" t="str">
        <x:v>T1 Energy (TE) — Primary-Source Register</x:v>
      </x:c>
      <x:c r="H1" s="4" t="str">
        <x:v>T1 Energy (TE) — Primary-Source Register</x:v>
      </x:c>
      <x:c r="I1" s="4" t="str">
        <x:v>T1 Energy (TE) — Primary-Source Register</x:v>
      </x:c>
      <x:c r="J1" s="4" t="str">
        <x:v>T1 Energy (TE) — Primary-Source Register</x:v>
      </x:c>
    </x:row>
    <x:row r="3">
      <x:c r="A3" s="9" t="str">
        <x:v>ID</x:v>
      </x:c>
      <x:c r="B3" s="9" t="str">
        <x:v>Type</x:v>
      </x:c>
      <x:c r="C3" s="9" t="str">
        <x:v>Publisher</x:v>
      </x:c>
      <x:c r="D3" s="9" t="str">
        <x:v>Document</x:v>
      </x:c>
      <x:c r="E3" s="9" t="str">
        <x:v>Date / period</x:v>
      </x:c>
      <x:c r="F3" s="9" t="str">
        <x:v>Location</x:v>
      </x:c>
      <x:c r="G3" s="9" t="str">
        <x:v>Canonical URL</x:v>
      </x:c>
      <x:c r="H3" s="9" t="str">
        <x:v>Used for</x:v>
      </x:c>
      <x:c r="I3" s="9" t="str">
        <x:v>Retrieved</x:v>
      </x:c>
      <x:c r="J3" s="9" t="str">
        <x:v>Status</x:v>
      </x:c>
    </x:row>
    <x:row r="4" ht="44" customHeight="1">
      <x:c r="A4" s="13" t="str">
        <x:v>SEC-10K-2025</x:v>
      </x:c>
      <x:c r="B4" s="13" t="str">
        <x:v>SEC filing</x:v>
      </x:c>
      <x:c r="C4" s="13" t="str">
        <x:v>T1 Energy / SEC</x:v>
      </x:c>
      <x:c r="D4" s="13" t="str">
        <x:v>Form 10-K</x:v>
      </x:c>
      <x:c r="E4" s="13" t="str">
        <x:v>Filed 2026-03-31; FY ended 2025-12-31</x:v>
      </x:c>
      <x:c r="F4" s="13" t="str">
        <x:v>Item 1; financial statements; notes</x:v>
      </x:c>
      <x:c r="G4" s="13" t="str">
        <x:v>https://www.sec.gov/Archives/edgar/data/1992243/000199224326000007/t1-20251231.htm</x:v>
      </x:c>
      <x:c r="H4" s="13" t="str">
        <x:v>Issuer, segment, G1/G2, FY25 financials, debt, warrants, discontinued operations</x:v>
      </x:c>
      <x:c r="I4" s="13" t="str">
        <x:v>Retrieved 2026-07-24 15:35 UTC</x:v>
      </x:c>
      <x:c r="J4" s="13" t="str">
        <x:v>Verified primary</x:v>
      </x:c>
    </x:row>
    <x:row r="5" ht="44" customHeight="1">
      <x:c r="A5" s="14" t="str">
        <x:v>SEC-10Q-Q1-2026</x:v>
      </x:c>
      <x:c r="B5" s="14" t="str">
        <x:v>SEC filing</x:v>
      </x:c>
      <x:c r="C5" s="14" t="str">
        <x:v>T1 Energy / SEC</x:v>
      </x:c>
      <x:c r="D5" s="14" t="str">
        <x:v>Form 10-Q</x:v>
      </x:c>
      <x:c r="E5" s="14" t="str">
        <x:v>Filed 2026-05-12; quarter ended 2026-03-31</x:v>
      </x:c>
      <x:c r="F5" s="14" t="str">
        <x:v>pp. 1-4; MD&amp;A; notes 13-17</x:v>
      </x:c>
      <x:c r="G5" s="14" t="str">
        <x:v>https://www.sec.gov/Archives/edgar/data/1992243/000199224326000014/t1-20260331.htm</x:v>
      </x:c>
      <x:c r="H5" s="14" t="str">
        <x:v>Q1 financials, cash/debt/shares, G1 capacity, G2 timing, April notes</x:v>
      </x:c>
      <x:c r="I5" s="14" t="str">
        <x:v>Retrieved 2026-07-24 15:35 UTC</x:v>
      </x:c>
      <x:c r="J5" s="14" t="str">
        <x:v>Verified primary</x:v>
      </x:c>
    </x:row>
    <x:row r="6" ht="44" customHeight="1">
      <x:c r="A6" s="14" t="str">
        <x:v>IR-Q1-2026</x:v>
      </x:c>
      <x:c r="B6" s="14" t="str">
        <x:v>Issuer IR</x:v>
      </x:c>
      <x:c r="C6" s="14" t="str">
        <x:v>T1 Energy</x:v>
      </x:c>
      <x:c r="D6" s="14" t="str">
        <x:v>Q1 2026 results</x:v>
      </x:c>
      <x:c r="E6" s="14" t="str">
        <x:v>2026-05-12</x:v>
      </x:c>
      <x:c r="F6" s="14" t="str">
        <x:v>Results overview</x:v>
      </x:c>
      <x:c r="G6" s="14" t="str">
        <x:v>https://ir.t1energy.com/news-releases/news-release-details/t1-energy-reports-first-quarter-2026-results</x:v>
      </x:c>
      <x:c r="H6" s="14" t="str">
        <x:v>Management G2 schedule and remaining financing requirement</x:v>
      </x:c>
      <x:c r="I6" s="14" t="str">
        <x:v>Retrieved 2026-07-24 15:35 UTC</x:v>
      </x:c>
      <x:c r="J6" s="14" t="str">
        <x:v>Search-result verified; direct page blocked</x:v>
      </x:c>
    </x:row>
    <x:row r="7" ht="44" customHeight="1">
      <x:c r="A7" s="14" t="str">
        <x:v>IR-MARKET-2026-07-23</x:v>
      </x:c>
      <x:c r="B7" s="14" t="str">
        <x:v>Issuer IR / LSEG</x:v>
      </x:c>
      <x:c r="C7" s="14" t="str">
        <x:v>T1 Energy</x:v>
      </x:c>
      <x:c r="D7" s="14" t="str">
        <x:v>Historical Price Lookup</x:v>
      </x:c>
      <x:c r="E7" s="14" t="str">
        <x:v>2026-07-23 close</x:v>
      </x:c>
      <x:c r="F7" s="14" t="str">
        <x:v>Week of July 20 table</x:v>
      </x:c>
      <x:c r="G7" s="14" t="str">
        <x:v>https://ir.t1energy.com/stock-information/historical-price-lookup</x:v>
      </x:c>
      <x:c r="H7" s="14" t="str">
        <x:v>$5.68 close; page labels data at least 15 minutes delayed</x:v>
      </x:c>
      <x:c r="I7" s="14" t="str">
        <x:v>Retrieved 2026-07-24 15:35 UTC</x:v>
      </x:c>
      <x:c r="J7" s="14" t="str">
        <x:v>Verified; one trading day stale</x:v>
      </x:c>
    </x:row>
    <x:row r="8" ht="44" customHeight="1">
      <x:c r="A8" s="15" t="str">
        <x:v>TREASURY-2026-07-24</x:v>
      </x:c>
      <x:c r="B8" s="15" t="str">
        <x:v>Government data</x:v>
      </x:c>
      <x:c r="C8" s="15" t="str">
        <x:v>U.S. Treasury</x:v>
      </x:c>
      <x:c r="D8" s="15" t="str">
        <x:v>Daily Treasury Par Yield Curve</x:v>
      </x:c>
      <x:c r="E8" s="15" t="str">
        <x:v>2026 daily curve</x:v>
      </x:c>
      <x:c r="F8" s="15" t="str">
        <x:v>Reference page</x:v>
      </x:c>
      <x:c r="G8" s="15" t="str">
        <x:v>https://home.treasury.gov/resource-center/data-chart-center/interest-rates/TextView?field_tdr_date_value=2026&amp;type=daily_treasury_yield_curve</x:v>
      </x:c>
      <x:c r="H8" s="15" t="str">
        <x:v>Discount-rate context only; 4.67% is analyst input</x:v>
      </x:c>
      <x:c r="I8" s="15" t="str">
        <x:v>Retrieved 2026-07-24 15:35 UTC</x:v>
      </x:c>
      <x:c r="J8" s="15" t="str">
        <x:v>Partial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42" hidden="0" customWidth="1"/>
  </x:cols>
  <x:sheetData>
    <x:row r="1" ht="30" customHeight="1">
      <x:c r="A1" s="4" t="str">
        <x:v>T1 Energy — Assumptions and Scenario Inputs</x:v>
      </x:c>
      <x:c r="B1" s="4" t="str">
        <x:v>T1 Energy — Assumptions and Scenario Inputs</x:v>
      </x:c>
      <x:c r="C1" s="4" t="str">
        <x:v>T1 Energy — Assumptions and Scenario Inputs</x:v>
      </x:c>
      <x:c r="D1" s="4" t="str">
        <x:v>T1 Energy — Assumptions and Scenario Inputs</x:v>
      </x:c>
      <x:c r="E1" s="4" t="str">
        <x:v>T1 Energy — Assumptions and Scenario Inputs</x:v>
      </x:c>
      <x:c r="F1" s="4" t="str">
        <x:v>T1 Energy — Assumptions and Scenario Inputs</x:v>
      </x:c>
    </x:row>
    <x:row r="3">
      <x:c r="A3" s="9" t="str">
        <x:v>Analyst input (USD m except per-share, GW and %)</x:v>
      </x:c>
      <x:c r="B3" s="9" t="str">
        <x:v>Bear</x:v>
      </x:c>
      <x:c r="C3" s="9" t="str">
        <x:v>Base</x:v>
      </x:c>
      <x:c r="D3" s="9" t="str">
        <x:v>Bull</x:v>
      </x:c>
      <x:c r="F3" s="9" t="str">
        <x:v>Lineage / classification</x:v>
      </x:c>
    </x:row>
    <x:row r="4">
      <x:c r="A4" s="10" t="str">
        <x:v>2026 revenue</x:v>
      </x:c>
      <x:c r="B4" s="27" t="n">
        <x:v>720</x:v>
      </x:c>
      <x:c r="C4" s="27" t="n">
        <x:v>900</x:v>
      </x:c>
      <x:c r="D4" s="28" t="n">
        <x:v>1120</x:v>
      </x:c>
      <x:c r="F4" s="35" t="str">
        <x:v>Revenue: analyst capacity/ASP/mix</x:v>
      </x:c>
    </x:row>
    <x:row r="5">
      <x:c r="A5" s="11" t="str">
        <x:v>2027 revenue</x:v>
      </x:c>
      <x:c r="B5" s="29" t="n">
        <x:v>760</x:v>
      </x:c>
      <x:c r="C5" s="29" t="n">
        <x:v>1020</x:v>
      </x:c>
      <x:c r="D5" s="30" t="n">
        <x:v>1300</x:v>
      </x:c>
      <x:c r="F5" s="35" t="str">
        <x:v>Margins: analyst G1/G2/45X policy case</x:v>
      </x:c>
    </x:row>
    <x:row r="6">
      <x:c r="A6" s="11" t="str">
        <x:v>2028 revenue</x:v>
      </x:c>
      <x:c r="B6" s="29" t="n">
        <x:v>800</x:v>
      </x:c>
      <x:c r="C6" s="29" t="n">
        <x:v>1150</x:v>
      </x:c>
      <x:c r="D6" s="30" t="n">
        <x:v>1450</x:v>
      </x:c>
      <x:c r="F6" s="35" t="str">
        <x:v>Capex/NWC: analyst capital allocation</x:v>
      </x:c>
    </x:row>
    <x:row r="7">
      <x:c r="A7" s="11" t="str">
        <x:v>2029 revenue</x:v>
      </x:c>
      <x:c r="B7" s="29" t="n">
        <x:v>850</x:v>
      </x:c>
      <x:c r="C7" s="29" t="n">
        <x:v>1250</x:v>
      </x:c>
      <x:c r="D7" s="30" t="n">
        <x:v>1550</x:v>
      </x:c>
      <x:c r="F7" s="35" t="str">
        <x:v>WACC: analyst judgment</x:v>
      </x:c>
    </x:row>
    <x:row r="8">
      <x:c r="A8" s="11" t="str">
        <x:v>2030 revenue</x:v>
      </x:c>
      <x:c r="B8" s="29" t="n">
        <x:v>900</x:v>
      </x:c>
      <x:c r="C8" s="29" t="n">
        <x:v>1325</x:v>
      </x:c>
      <x:c r="D8" s="30" t="n">
        <x:v>1650</x:v>
      </x:c>
      <x:c r="F8" s="35" t="str">
        <x:v>Cash/debt: SEC Q1 reported</x:v>
      </x:c>
    </x:row>
    <x:row r="9">
      <x:c r="A9" s="11" t="str">
        <x:v>2026 EBIT margin</x:v>
      </x:c>
      <x:c r="B9" s="25" t="n">
        <x:v>-0.04</x:v>
      </x:c>
      <x:c r="C9" s="25" t="n">
        <x:v>-0.02</x:v>
      </x:c>
      <x:c r="D9" s="26" t="n">
        <x:v>0.02</x:v>
      </x:c>
      <x:c r="F9" s="35" t="str">
        <x:v>April notes: SEC Q1 subsequent event</x:v>
      </x:c>
    </x:row>
    <x:row r="10">
      <x:c r="A10" s="11" t="str">
        <x:v>2027 EBIT margin</x:v>
      </x:c>
      <x:c r="B10" s="25" t="n">
        <x:v>-0.02</x:v>
      </x:c>
      <x:c r="C10" s="25" t="n">
        <x:v>0.05</x:v>
      </x:c>
      <x:c r="D10" s="26" t="n">
        <x:v>0.08</x:v>
      </x:c>
      <x:c r="F10" s="35" t="str">
        <x:v>Shares: conservative analyst reserve</x:v>
      </x:c>
    </x:row>
    <x:row r="11">
      <x:c r="A11" s="11" t="str">
        <x:v>2028 EBIT margin</x:v>
      </x:c>
      <x:c r="B11" s="25" t="n">
        <x:v>0</x:v>
      </x:c>
      <x:c r="C11" s="25" t="n">
        <x:v>0.08</x:v>
      </x:c>
      <x:c r="D11" s="26" t="n">
        <x:v>0.12</x:v>
      </x:c>
    </x:row>
    <x:row r="12">
      <x:c r="A12" s="11" t="str">
        <x:v>2029 EBIT margin</x:v>
      </x:c>
      <x:c r="B12" s="25" t="n">
        <x:v>0.02</x:v>
      </x:c>
      <x:c r="C12" s="25" t="n">
        <x:v>0.1</x:v>
      </x:c>
      <x:c r="D12" s="26" t="n">
        <x:v>0.16</x:v>
      </x:c>
    </x:row>
    <x:row r="13">
      <x:c r="A13" s="11" t="str">
        <x:v>2030 EBIT margin</x:v>
      </x:c>
      <x:c r="B13" s="25" t="n">
        <x:v>0.04</x:v>
      </x:c>
      <x:c r="C13" s="25" t="n">
        <x:v>0.11</x:v>
      </x:c>
      <x:c r="D13" s="26" t="n">
        <x:v>0.2</x:v>
      </x:c>
    </x:row>
    <x:row r="14">
      <x:c r="A14" s="11" t="str">
        <x:v>D&amp;A as % revenue</x:v>
      </x:c>
      <x:c r="B14" s="25" t="n">
        <x:v>0.05</x:v>
      </x:c>
      <x:c r="C14" s="25" t="n">
        <x:v>0.05</x:v>
      </x:c>
      <x:c r="D14" s="26" t="n">
        <x:v>0.045</x:v>
      </x:c>
    </x:row>
    <x:row r="15">
      <x:c r="A15" s="11" t="str">
        <x:v>Maintenance capex as % revenue</x:v>
      </x:c>
      <x:c r="B15" s="25" t="n">
        <x:v>0.03</x:v>
      </x:c>
      <x:c r="C15" s="25" t="n">
        <x:v>0.03</x:v>
      </x:c>
      <x:c r="D15" s="26" t="n">
        <x:v>0.025</x:v>
      </x:c>
    </x:row>
    <x:row r="16">
      <x:c r="A16" s="11" t="str">
        <x:v>2026 growth capex</x:v>
      </x:c>
      <x:c r="B16" s="29" t="n">
        <x:v>120</x:v>
      </x:c>
      <x:c r="C16" s="29" t="n">
        <x:v>120</x:v>
      </x:c>
      <x:c r="D16" s="30" t="n">
        <x:v>100</x:v>
      </x:c>
    </x:row>
    <x:row r="17">
      <x:c r="A17" s="11" t="str">
        <x:v>2027 growth capex</x:v>
      </x:c>
      <x:c r="B17" s="29" t="n">
        <x:v>80</x:v>
      </x:c>
      <x:c r="C17" s="29" t="n">
        <x:v>70</x:v>
      </x:c>
      <x:c r="D17" s="30" t="n">
        <x:v>30</x:v>
      </x:c>
    </x:row>
    <x:row r="18">
      <x:c r="A18" s="11" t="str">
        <x:v>2028 growth capex</x:v>
      </x:c>
      <x:c r="B18" s="29" t="n">
        <x:v>30</x:v>
      </x:c>
      <x:c r="C18" s="29" t="n">
        <x:v>20</x:v>
      </x:c>
      <x:c r="D18" s="30" t="n">
        <x:v>0</x:v>
      </x:c>
    </x:row>
    <x:row r="19">
      <x:c r="A19" s="11" t="str">
        <x:v>2029 growth capex</x:v>
      </x:c>
      <x:c r="B19" s="29" t="n">
        <x:v>0</x:v>
      </x:c>
      <x:c r="C19" s="29" t="n">
        <x:v>0</x:v>
      </x:c>
      <x:c r="D19" s="30" t="n">
        <x:v>0</x:v>
      </x:c>
    </x:row>
    <x:row r="20">
      <x:c r="A20" s="11" t="str">
        <x:v>2030 growth capex</x:v>
      </x:c>
      <x:c r="B20" s="29" t="n">
        <x:v>0</x:v>
      </x:c>
      <x:c r="C20" s="29" t="n">
        <x:v>0</x:v>
      </x:c>
      <x:c r="D20" s="30" t="n">
        <x:v>0</x:v>
      </x:c>
    </x:row>
    <x:row r="21">
      <x:c r="A21" s="11" t="str">
        <x:v>2026 increase in operating NWC</x:v>
      </x:c>
      <x:c r="B21" s="29" t="n">
        <x:v>20</x:v>
      </x:c>
      <x:c r="C21" s="29" t="n">
        <x:v>20</x:v>
      </x:c>
      <x:c r="D21" s="30" t="n">
        <x:v>10</x:v>
      </x:c>
    </x:row>
    <x:row r="22">
      <x:c r="A22" s="11" t="str">
        <x:v>2027 increase in operating NWC</x:v>
      </x:c>
      <x:c r="B22" s="29" t="n">
        <x:v>10</x:v>
      </x:c>
      <x:c r="C22" s="29" t="n">
        <x:v>10</x:v>
      </x:c>
      <x:c r="D22" s="30" t="n">
        <x:v>15</x:v>
      </x:c>
    </x:row>
    <x:row r="23">
      <x:c r="A23" s="11" t="str">
        <x:v>2028 increase in operating NWC</x:v>
      </x:c>
      <x:c r="B23" s="29" t="n">
        <x:v>5</x:v>
      </x:c>
      <x:c r="C23" s="29" t="n">
        <x:v>13</x:v>
      </x:c>
      <x:c r="D23" s="30" t="n">
        <x:v>15</x:v>
      </x:c>
    </x:row>
    <x:row r="24">
      <x:c r="A24" s="11" t="str">
        <x:v>2029 increase in operating NWC</x:v>
      </x:c>
      <x:c r="B24" s="29" t="n">
        <x:v>0</x:v>
      </x:c>
      <x:c r="C24" s="29" t="n">
        <x:v>10</x:v>
      </x:c>
      <x:c r="D24" s="30" t="n">
        <x:v>10</x:v>
      </x:c>
    </x:row>
    <x:row r="25">
      <x:c r="A25" s="11" t="str">
        <x:v>2030 increase in operating NWC</x:v>
      </x:c>
      <x:c r="B25" s="29" t="n">
        <x:v>0</x:v>
      </x:c>
      <x:c r="C25" s="29" t="n">
        <x:v>8</x:v>
      </x:c>
      <x:c r="D25" s="30" t="n">
        <x:v>10</x:v>
      </x:c>
    </x:row>
    <x:row r="26">
      <x:c r="A26" s="11" t="str">
        <x:v>WACC</x:v>
      </x:c>
      <x:c r="B26" s="25" t="n">
        <x:v>0.155</x:v>
      </x:c>
      <x:c r="C26" s="25" t="n">
        <x:v>0.135</x:v>
      </x:c>
      <x:c r="D26" s="26" t="n">
        <x:v>0.12</x:v>
      </x:c>
    </x:row>
    <x:row r="27">
      <x:c r="A27" s="11" t="str">
        <x:v>Terminal growth</x:v>
      </x:c>
      <x:c r="B27" s="25" t="n">
        <x:v>0.02</x:v>
      </x:c>
      <x:c r="C27" s="25" t="n">
        <x:v>0.025</x:v>
      </x:c>
      <x:c r="D27" s="26" t="n">
        <x:v>0.0275</x:v>
      </x:c>
    </x:row>
    <x:row r="28">
      <x:c r="A28" s="11" t="str">
        <x:v>Cash tax rate</x:v>
      </x:c>
      <x:c r="B28" s="25" t="n">
        <x:v>0.21</x:v>
      </x:c>
      <x:c r="C28" s="25" t="n">
        <x:v>0.21</x:v>
      </x:c>
      <x:c r="D28" s="26" t="n">
        <x:v>0.21</x:v>
      </x:c>
    </x:row>
    <x:row r="29">
      <x:c r="A29" s="11" t="str">
        <x:v>Fully diluted shares (m)</x:v>
      </x:c>
      <x:c r="B29" s="31" t="n">
        <x:v>360</x:v>
      </x:c>
      <x:c r="C29" s="31" t="n">
        <x:v>360</x:v>
      </x:c>
      <x:c r="D29" s="32" t="n">
        <x:v>350</x:v>
      </x:c>
    </x:row>
    <x:row r="30">
      <x:c r="A30" s="11" t="str">
        <x:v>G2 financing/completion probability</x:v>
      </x:c>
      <x:c r="B30" s="25" t="n">
        <x:v>0.25</x:v>
      </x:c>
      <x:c r="C30" s="25" t="n">
        <x:v>0.65</x:v>
      </x:c>
      <x:c r="D30" s="26" t="n">
        <x:v>0.9</x:v>
      </x:c>
    </x:row>
    <x:row r="31">
      <x:c r="A31" s="11" t="str">
        <x:v>Unrestricted cash at 2026-03-31</x:v>
      </x:c>
      <x:c r="B31" s="29" t="n">
        <x:v>46.367</x:v>
      </x:c>
      <x:c r="C31" s="29" t="n">
        <x:v>46.367</x:v>
      </x:c>
      <x:c r="D31" s="30" t="n">
        <x:v>46.367</x:v>
      </x:c>
    </x:row>
    <x:row r="32">
      <x:c r="A32" s="11" t="str">
        <x:v>Estimated April convertible net proceeds</x:v>
      </x:c>
      <x:c r="B32" s="29" t="n">
        <x:v>174.7</x:v>
      </x:c>
      <x:c r="C32" s="29" t="n">
        <x:v>174.7</x:v>
      </x:c>
      <x:c r="D32" s="30" t="n">
        <x:v>174.7</x:v>
      </x:c>
    </x:row>
    <x:row r="33">
      <x:c r="A33" s="11" t="str">
        <x:v>Current debt</x:v>
      </x:c>
      <x:c r="B33" s="29" t="n">
        <x:v>48.236</x:v>
      </x:c>
      <x:c r="C33" s="29" t="n">
        <x:v>48.236</x:v>
      </x:c>
      <x:c r="D33" s="30" t="n">
        <x:v>48.236</x:v>
      </x:c>
    </x:row>
    <x:row r="34">
      <x:c r="A34" s="11" t="str">
        <x:v>Long-term debt</x:v>
      </x:c>
      <x:c r="B34" s="29" t="n">
        <x:v>122.604</x:v>
      </x:c>
      <x:c r="C34" s="29" t="n">
        <x:v>122.604</x:v>
      </x:c>
      <x:c r="D34" s="30" t="n">
        <x:v>122.604</x:v>
      </x:c>
    </x:row>
    <x:row r="35">
      <x:c r="A35" s="11" t="str">
        <x:v>Related-party debt</x:v>
      </x:c>
      <x:c r="B35" s="29" t="n">
        <x:v>54.185</x:v>
      </x:c>
      <x:c r="C35" s="29" t="n">
        <x:v>54.185</x:v>
      </x:c>
      <x:c r="D35" s="30" t="n">
        <x:v>54.185</x:v>
      </x:c>
    </x:row>
    <x:row r="36">
      <x:c r="A36" s="11" t="str">
        <x:v>December convertible notes</x:v>
      </x:c>
      <x:c r="B36" s="29" t="n">
        <x:v>153.381</x:v>
      </x:c>
      <x:c r="C36" s="29" t="n">
        <x:v>153.381</x:v>
      </x:c>
      <x:c r="D36" s="30" t="n">
        <x:v>153.381</x:v>
      </x:c>
    </x:row>
    <x:row r="37">
      <x:c r="A37" s="12" t="str">
        <x:v>April 2031 convertible principal</x:v>
      </x:c>
      <x:c r="B37" s="33" t="n">
        <x:v>184</x:v>
      </x:c>
      <x:c r="C37" s="33" t="n">
        <x:v>184</x:v>
      </x:c>
      <x:c r="D37" s="34" t="n">
        <x:v>184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4" hidden="0" customWidth="1"/>
  </x:cols>
  <x:sheetData>
    <x:row r="1" ht="30" customHeight="1">
      <x:c r="A1" s="4" t="str">
        <x:v>T1 Energy — Reported Historical Anchors</x:v>
      </x:c>
      <x:c r="B1" s="4" t="str">
        <x:v>T1 Energy — Reported Historical Anchors</x:v>
      </x:c>
      <x:c r="C1" s="4" t="str">
        <x:v>T1 Energy — Reported Historical Anchors</x:v>
      </x:c>
      <x:c r="D1" s="4" t="str">
        <x:v>T1 Energy — Reported Historical Anchors</x:v>
      </x:c>
    </x:row>
    <x:row r="3">
      <x:c r="A3" s="9" t="str">
        <x:v>USD millions except shares</x:v>
      </x:c>
      <x:c r="B3" s="9" t="str">
        <x:v>FY2025</x:v>
      </x:c>
      <x:c r="C3" s="9" t="str">
        <x:v>Q1 2026</x:v>
      </x:c>
      <x:c r="D3" s="9" t="str">
        <x:v>Treatment</x:v>
      </x:c>
    </x:row>
    <x:row r="4">
      <x:c r="A4" s="10" t="str">
        <x:v>Revenue</x:v>
      </x:c>
      <x:c r="B4" s="36" t="n">
        <x:v>755.295</x:v>
      </x:c>
      <x:c r="C4" s="36" t="n">
        <x:v>177.647</x:v>
      </x:c>
      <x:c r="D4" s="10" t="str">
        <x:v>Reported; Q1 concentrated with related party</x:v>
      </x:c>
    </x:row>
    <x:row r="5">
      <x:c r="A5" s="11" t="str">
        <x:v>Gross profit</x:v>
      </x:c>
      <x:c r="B5" s="37" t="n">
        <x:v>55.581</x:v>
      </x:c>
      <x:c r="C5" s="37" t="n">
        <x:v>29.084</x:v>
      </x:c>
      <x:c r="D5" s="11" t="str">
        <x:v>Reported</x:v>
      </x:c>
    </x:row>
    <x:row r="6">
      <x:c r="A6" s="11" t="str">
        <x:v>Continuing operating income (loss)</x:v>
      </x:c>
      <x:c r="B6" s="37" t="n">
        <x:v>-234.567</x:v>
      </x:c>
      <x:c r="C6" s="37" t="n">
        <x:v>-22.505</x:v>
      </x:c>
      <x:c r="D6" s="11" t="str">
        <x:v>Reported</x:v>
      </x:c>
    </x:row>
    <x:row r="7">
      <x:c r="A7" s="11" t="str">
        <x:v>Operating cash flow</x:v>
      </x:c>
      <x:c r="B7" s="37" t="n">
        <x:v>95.463</x:v>
      </x:c>
      <x:c r="C7" s="37" t="n">
        <x:v>-72.874</x:v>
      </x:c>
      <x:c r="D7" s="11" t="str">
        <x:v>Reported</x:v>
      </x:c>
    </x:row>
    <x:row r="8">
      <x:c r="A8" s="11" t="str">
        <x:v>Capex</x:v>
      </x:c>
      <x:c r="B8" s="37" t="n">
        <x:v>78.799</x:v>
      </x:c>
      <x:c r="C8" s="37" t="n">
        <x:v>60.724</x:v>
      </x:c>
      <x:c r="D8" s="11" t="str">
        <x:v>Reported</x:v>
      </x:c>
    </x:row>
    <x:row r="9">
      <x:c r="A9" s="11" t="str">
        <x:v>Unrestricted cash</x:v>
      </x:c>
      <x:c r="B9" s="37" t="n">
        <x:v>182.45</x:v>
      </x:c>
      <x:c r="C9" s="37" t="n">
        <x:v>46.367</x:v>
      </x:c>
      <x:c r="D9" s="11" t="str">
        <x:v>Reported</x:v>
      </x:c>
    </x:row>
    <x:row r="10">
      <x:c r="A10" s="11" t="str">
        <x:v>Restricted cash</x:v>
      </x:c>
      <x:c r="B10" s="37" t="n">
        <x:v>88.323</x:v>
      </x:c>
      <x:c r="C10" s="37" t="n">
        <x:v>77.298</x:v>
      </x:c>
      <x:c r="D10" s="11" t="str">
        <x:v>Excluded from excess cash</x:v>
      </x:c>
    </x:row>
    <x:row r="11">
      <x:c r="A11" s="11" t="str">
        <x:v>Current debt</x:v>
      </x:c>
      <x:c r="B11" s="37" t="n">
        <x:v>46.357</x:v>
      </x:c>
      <x:c r="C11" s="37" t="n">
        <x:v>48.236</x:v>
      </x:c>
      <x:c r="D11" s="11" t="str">
        <x:v>Debt-like bridge</x:v>
      </x:c>
    </x:row>
    <x:row r="12">
      <x:c r="A12" s="11" t="str">
        <x:v>Long-term debt</x:v>
      </x:c>
      <x:c r="B12" s="37" t="n">
        <x:v>137.303</x:v>
      </x:c>
      <x:c r="C12" s="37" t="n">
        <x:v>122.604</x:v>
      </x:c>
      <x:c r="D12" s="11" t="str">
        <x:v>Debt-like bridge</x:v>
      </x:c>
    </x:row>
    <x:row r="13">
      <x:c r="A13" s="11" t="str">
        <x:v>Related-party debt</x:v>
      </x:c>
      <x:c r="B13" s="37" t="n">
        <x:v>53.538</x:v>
      </x:c>
      <x:c r="C13" s="37" t="n">
        <x:v>54.185</x:v>
      </x:c>
      <x:c r="D13" s="11" t="str">
        <x:v>Debt-like bridge</x:v>
      </x:c>
    </x:row>
    <x:row r="14">
      <x:c r="A14" s="12" t="str">
        <x:v>Common shares (m)</x:v>
      </x:c>
      <x:c r="B14" s="38" t="n">
        <x:v>266.267</x:v>
      </x:c>
      <x:c r="C14" s="38" t="n">
        <x:v>279.037</x:v>
      </x:c>
      <x:c r="D14" s="12" t="str">
        <x:v>Reported; not fully diluted</x:v>
      </x:c>
    </x:row>
    <x:row r="17" ht="32" customHeight="1">
      <x:c r="A17" s="41" t="str">
        <x:v>Comparability caveat: FY2024 is not a comparable operating period because G1 was acquired in December 2024 and the European business is discontinued/held for sale.</x:v>
      </x:c>
      <x:c r="B17" s="41"/>
      <x:c r="C17" s="41"/>
      <x:c r="D17" s="41"/>
    </x:row>
  </x:sheetData>
  <x:mergeCells>
    <x:mergeCell ref="A1:D1"/>
    <x:mergeCell ref="A17:D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30" customHeight="1">
      <x:c r="A1" s="4" t="str">
        <x:v>T1 Energy — Capacity-Driven Forecast Design</x:v>
      </x:c>
      <x:c r="B1" s="4" t="str">
        <x:v>T1 Energy — Capacity-Driven Forecast Design</x:v>
      </x:c>
      <x:c r="C1" s="4" t="str">
        <x:v>T1 Energy — Capacity-Driven Forecast Design</x:v>
      </x:c>
      <x:c r="D1" s="4" t="str">
        <x:v>T1 Energy — Capacity-Driven Forecast Design</x:v>
      </x:c>
      <x:c r="E1" s="4" t="str">
        <x:v>T1 Energy — Capacity-Driven Forecast Design</x:v>
      </x:c>
      <x:c r="F1" s="4" t="str">
        <x:v>T1 Energy — Capacity-Driven Forecast Design</x:v>
      </x:c>
      <x:c r="G1" s="4" t="str">
        <x:v>T1 Energy — Capacity-Driven Forecast Design</x:v>
      </x:c>
    </x:row>
    <x:row r="3">
      <x:c r="A3" s="9" t="str">
        <x:v>Driver</x:v>
      </x:c>
      <x:c r="B3" s="9" t="str">
        <x:v>2026</x:v>
      </x:c>
      <x:c r="C3" s="9" t="str">
        <x:v>2027</x:v>
      </x:c>
      <x:c r="D3" s="9" t="str">
        <x:v>2028</x:v>
      </x:c>
      <x:c r="E3" s="9" t="str">
        <x:v>2029</x:v>
      </x:c>
      <x:c r="F3" s="9" t="str">
        <x:v>2030</x:v>
      </x:c>
      <x:c r="G3" s="9" t="str">
        <x:v>Lineage</x:v>
      </x:c>
    </x:row>
    <x:row r="4">
      <x:c r="A4" s="10" t="str">
        <x:v>Base revenue</x:v>
      </x:c>
      <x:c r="B4" s="45" t="n">
        <x:f>'Assumptions'!C4</x:f>
        <x:v>900</x:v>
      </x:c>
      <x:c r="C4" s="45" t="n">
        <x:f>'Assumptions'!C5</x:f>
        <x:v>1020</x:v>
      </x:c>
      <x:c r="D4" s="45" t="n">
        <x:f>'Assumptions'!C6</x:f>
        <x:v>1150</x:v>
      </x:c>
      <x:c r="E4" s="45" t="n">
        <x:f>'Assumptions'!C7</x:f>
        <x:v>1250</x:v>
      </x:c>
      <x:c r="F4" s="45" t="n">
        <x:f>'Assumptions'!C8</x:f>
        <x:v>1325</x:v>
      </x:c>
      <x:c r="G4" s="10" t="str">
        <x:v>Analyst: volume × ASP/mix</x:v>
      </x:c>
    </x:row>
    <x:row r="5">
      <x:c r="A5" s="11" t="str">
        <x:v>Base EBIT margin</x:v>
      </x:c>
      <x:c r="B5" s="46" t="n">
        <x:f>'Assumptions'!C9</x:f>
        <x:v>-0.02</x:v>
      </x:c>
      <x:c r="C5" s="46" t="n">
        <x:f>'Assumptions'!C10</x:f>
        <x:v>0.05</x:v>
      </x:c>
      <x:c r="D5" s="46" t="n">
        <x:f>'Assumptions'!C11</x:f>
        <x:v>0.08</x:v>
      </x:c>
      <x:c r="E5" s="46" t="n">
        <x:f>'Assumptions'!C12</x:f>
        <x:v>0.1</x:v>
      </x:c>
      <x:c r="F5" s="46" t="n">
        <x:f>'Assumptions'!C13</x:f>
        <x:v>0.11</x:v>
      </x:c>
      <x:c r="G5" s="11" t="str">
        <x:v>Analyst: G1/G2 scale, 45X, policy</x:v>
      </x:c>
    </x:row>
    <x:row r="6">
      <x:c r="A6" s="11" t="str">
        <x:v>Base D&amp;A</x:v>
      </x:c>
      <x:c r="B6" s="47" t="n">
        <x:f>B4*'Assumptions'!$C$14</x:f>
        <x:v>45</x:v>
      </x:c>
      <x:c r="C6" s="47" t="n">
        <x:f>C4*'Assumptions'!$C$14</x:f>
        <x:v>51</x:v>
      </x:c>
      <x:c r="D6" s="47" t="n">
        <x:f>D4*'Assumptions'!$C$14</x:f>
        <x:v>57.5</x:v>
      </x:c>
      <x:c r="E6" s="47" t="n">
        <x:f>E4*'Assumptions'!$C$14</x:f>
        <x:v>62.5</x:v>
      </x:c>
      <x:c r="F6" s="47" t="n">
        <x:f>F4*'Assumptions'!$C$14</x:f>
        <x:v>66.25</x:v>
      </x:c>
      <x:c r="G6" s="11" t="str">
        <x:v>Formula: revenue × D&amp;A %</x:v>
      </x:c>
    </x:row>
    <x:row r="7">
      <x:c r="A7" s="11" t="str">
        <x:v>Base maintenance capex</x:v>
      </x:c>
      <x:c r="B7" s="47" t="n">
        <x:f>B4*'Assumptions'!$C$15</x:f>
        <x:v>27</x:v>
      </x:c>
      <x:c r="C7" s="47" t="n">
        <x:f>C4*'Assumptions'!$C$15</x:f>
        <x:v>30.599999999999998</x:v>
      </x:c>
      <x:c r="D7" s="47" t="n">
        <x:f>D4*'Assumptions'!$C$15</x:f>
        <x:v>34.5</x:v>
      </x:c>
      <x:c r="E7" s="47" t="n">
        <x:f>E4*'Assumptions'!$C$15</x:f>
        <x:v>37.5</x:v>
      </x:c>
      <x:c r="F7" s="47" t="n">
        <x:f>F4*'Assumptions'!$C$15</x:f>
        <x:v>39.75</x:v>
      </x:c>
      <x:c r="G7" s="11" t="str">
        <x:v>Formula: revenue × maintenance %</x:v>
      </x:c>
    </x:row>
    <x:row r="8">
      <x:c r="A8" s="12" t="str">
        <x:v>Base growth capex</x:v>
      </x:c>
      <x:c r="B8" s="48" t="n">
        <x:f>'Assumptions'!C16</x:f>
        <x:v>120</x:v>
      </x:c>
      <x:c r="C8" s="48" t="n">
        <x:f>'Assumptions'!C17</x:f>
        <x:v>70</x:v>
      </x:c>
      <x:c r="D8" s="48" t="n">
        <x:f>'Assumptions'!C18</x:f>
        <x:v>20</x:v>
      </x:c>
      <x:c r="E8" s="48" t="n">
        <x:f>'Assumptions'!C19</x:f>
        <x:v>0</x:v>
      </x:c>
      <x:c r="F8" s="48" t="n">
        <x:f>'Assumptions'!C20</x:f>
        <x:v>0</x:v>
      </x:c>
      <x:c r="G8" s="12" t="str">
        <x:v>Analyst: G2 build path</x:v>
      </x:c>
    </x:row>
    <x:row r="11" ht="36" customHeight="1">
      <x:c r="A11" s="51" t="str">
        <x:v>Forecast design: G1 operating output is modeled as the proven base; G2 economics are represented through coherent scenario revenue, margin, capex, NWC and financing/completion assumptions—not as an unsupported standalone project NAV.</x:v>
      </x:c>
      <x:c r="B11" s="51"/>
      <x:c r="C11" s="51"/>
      <x:c r="D11" s="51"/>
      <x:c r="E11" s="51"/>
      <x:c r="F11" s="51"/>
      <x:c r="G11" s="51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20" hidden="0" customWidth="1"/>
    <x:col min="5" max="5" width="14" hidden="0" customWidth="1"/>
    <x:col min="6" max="6" width="14" hidden="0" customWidth="1"/>
    <x:col min="7" max="7" width="22" hidden="0" customWidth="1"/>
    <x:col min="8" max="8" width="18" hidden="0" customWidth="1"/>
  </x:cols>
  <x:sheetData>
    <x:row r="1" ht="30" customHeight="1">
      <x:c r="A1" s="4" t="str">
        <x:v>T1 Energy — Probability-Weighted Capacity-Driven FCFF DCF</x:v>
      </x:c>
      <x:c r="B1" s="4" t="str">
        <x:v>T1 Energy — Probability-Weighted Capacity-Driven FCFF DCF</x:v>
      </x:c>
      <x:c r="C1" s="4" t="str">
        <x:v>T1 Energy — Probability-Weighted Capacity-Driven FCFF DCF</x:v>
      </x:c>
      <x:c r="D1" s="4" t="str">
        <x:v>T1 Energy — Probability-Weighted Capacity-Driven FCFF DCF</x:v>
      </x:c>
      <x:c r="E1" s="4" t="str">
        <x:v>T1 Energy — Probability-Weighted Capacity-Driven FCFF DCF</x:v>
      </x:c>
      <x:c r="F1" s="4" t="str">
        <x:v>T1 Energy — Probability-Weighted Capacity-Driven FCFF DCF</x:v>
      </x:c>
      <x:c r="G1" s="4" t="str">
        <x:v>T1 Energy — Probability-Weighted Capacity-Driven FCFF DCF</x:v>
      </x:c>
      <x:c r="H1" s="4" t="str">
        <x:v>T1 Energy — Probability-Weighted Capacity-Driven FCFF DCF</x:v>
      </x:c>
    </x:row>
    <x:row r="4" ht="20" customHeight="1">
      <x:c r="A4" s="52" t="str">
        <x:v>Bear case — analyst assumptions</x:v>
      </x:c>
      <x:c r="B4" s="9" t="n">
        <x:v>2026</x:v>
      </x:c>
      <x:c r="C4" s="9" t="n">
        <x:v>2027</x:v>
      </x:c>
      <x:c r="D4" s="9" t="n">
        <x:v>2028</x:v>
      </x:c>
      <x:c r="E4" s="9" t="n">
        <x:v>2029</x:v>
      </x:c>
      <x:c r="F4" s="9" t="n">
        <x:v>2030</x:v>
      </x:c>
      <x:c r="G4" s="52"/>
      <x:c r="H4" s="52"/>
    </x:row>
    <x:row r="5">
      <x:c r="A5" s="10" t="str">
        <x:v>Revenue</x:v>
      </x:c>
      <x:c r="B5" s="45" t="n">
        <x:f>'Assumptions'!B4</x:f>
        <x:v>720</x:v>
      </x:c>
      <x:c r="C5" s="45" t="n">
        <x:f>'Assumptions'!B5</x:f>
        <x:v>760</x:v>
      </x:c>
      <x:c r="D5" s="45" t="n">
        <x:f>'Assumptions'!B6</x:f>
        <x:v>800</x:v>
      </x:c>
      <x:c r="E5" s="45" t="n">
        <x:f>'Assumptions'!B7</x:f>
        <x:v>850</x:v>
      </x:c>
      <x:c r="F5" s="45" t="n">
        <x:f>'Assumptions'!B8</x:f>
        <x:v>900</x:v>
      </x:c>
      <x:c r="G5" s="62" t="str">
        <x:v>WACC</x:v>
      </x:c>
      <x:c r="H5" s="63" t="n">
        <x:f>'Assumptions'!B26</x:f>
        <x:v>0.155</x:v>
      </x:c>
    </x:row>
    <x:row r="6">
      <x:c r="A6" s="11" t="str">
        <x:v>EBIT</x:v>
      </x:c>
      <x:c r="B6" s="47" t="n">
        <x:f>B5*'Assumptions'!$B$9</x:f>
        <x:v>-28.8</x:v>
      </x:c>
      <x:c r="C6" s="47" t="n">
        <x:f>C5*'Assumptions'!$B$10</x:f>
        <x:v>-15.200000000000001</x:v>
      </x:c>
      <x:c r="D6" s="47" t="n">
        <x:f>D5*'Assumptions'!$B$11</x:f>
        <x:v>0</x:v>
      </x:c>
      <x:c r="E6" s="47" t="n">
        <x:f>E5*'Assumptions'!$B$12</x:f>
        <x:v>17</x:v>
      </x:c>
      <x:c r="F6" s="47" t="n">
        <x:f>F5*'Assumptions'!$B$13</x:f>
        <x:v>36</x:v>
      </x:c>
      <x:c r="G6" s="64" t="str">
        <x:v>Terminal growth</x:v>
      </x:c>
      <x:c r="H6" s="46" t="n">
        <x:f>'Assumptions'!B27</x:f>
        <x:v>0.02</x:v>
      </x:c>
    </x:row>
    <x:row r="7">
      <x:c r="A7" s="11" t="str">
        <x:v>Cash tax</x:v>
      </x:c>
      <x:c r="B7" s="47" t="n">
        <x:f>IF(B6&gt;0,B6*'Assumptions'!$B$28,0)</x:f>
        <x:v>0</x:v>
      </x:c>
      <x:c r="C7" s="47" t="n">
        <x:f>IF(C6&gt;0,C6*'Assumptions'!$B$28,0)</x:f>
        <x:v>0</x:v>
      </x:c>
      <x:c r="D7" s="47" t="n">
        <x:f>IF(D6&gt;0,D6*'Assumptions'!$B$28,0)</x:f>
        <x:v>0</x:v>
      </x:c>
      <x:c r="E7" s="47" t="n">
        <x:f>IF(E6&gt;0,E6*'Assumptions'!$B$28,0)</x:f>
        <x:v>3.57</x:v>
      </x:c>
      <x:c r="F7" s="47" t="n">
        <x:f>IF(F6&gt;0,F6*'Assumptions'!$B$28,0)</x:f>
        <x:v>7.56</x:v>
      </x:c>
      <x:c r="G7" s="64" t="str">
        <x:v>PV explicit FCFF</x:v>
      </x:c>
      <x:c r="H7" s="47" t="n">
        <x:f>SUM(B13:F13)</x:f>
        <x:v>-173.78335530536515</x:v>
      </x:c>
    </x:row>
    <x:row r="8">
      <x:c r="A8" s="11" t="str">
        <x:v>D&amp;A</x:v>
      </x:c>
      <x:c r="B8" s="47" t="n">
        <x:f>B5*'Assumptions'!$B$14</x:f>
        <x:v>36</x:v>
      </x:c>
      <x:c r="C8" s="47" t="n">
        <x:f>C5*'Assumptions'!$B$14</x:f>
        <x:v>38</x:v>
      </x:c>
      <x:c r="D8" s="47" t="n">
        <x:f>D5*'Assumptions'!$B$14</x:f>
        <x:v>40</x:v>
      </x:c>
      <x:c r="E8" s="47" t="n">
        <x:f>E5*'Assumptions'!$B$14</x:f>
        <x:v>42.5</x:v>
      </x:c>
      <x:c r="F8" s="47" t="n">
        <x:f>F5*'Assumptions'!$B$14</x:f>
        <x:v>45</x:v>
      </x:c>
      <x:c r="G8" s="64" t="str">
        <x:v>Terminal value</x:v>
      </x:c>
      <x:c r="H8" s="47" t="n">
        <x:f>F12*(1+H6)/(H5-H6)</x:f>
        <x:v>350.88</x:v>
      </x:c>
    </x:row>
    <x:row r="9">
      <x:c r="A9" s="11" t="str">
        <x:v>Maintenance capex</x:v>
      </x:c>
      <x:c r="B9" s="47" t="n">
        <x:f>B5*'Assumptions'!$B$15</x:f>
        <x:v>21.599999999999998</x:v>
      </x:c>
      <x:c r="C9" s="47" t="n">
        <x:f>C5*'Assumptions'!$B$15</x:f>
        <x:v>22.8</x:v>
      </x:c>
      <x:c r="D9" s="47" t="n">
        <x:f>D5*'Assumptions'!$B$15</x:f>
        <x:v>24</x:v>
      </x:c>
      <x:c r="E9" s="47" t="n">
        <x:f>E5*'Assumptions'!$B$15</x:f>
        <x:v>25.5</x:v>
      </x:c>
      <x:c r="F9" s="47" t="n">
        <x:f>F5*'Assumptions'!$B$15</x:f>
        <x:v>27</x:v>
      </x:c>
      <x:c r="G9" s="64" t="str">
        <x:v>PV terminal value</x:v>
      </x:c>
      <x:c r="H9" s="47" t="n">
        <x:f>H8/(1+H5)^5</x:f>
        <x:v>170.70596350873507</x:v>
      </x:c>
    </x:row>
    <x:row r="10">
      <x:c r="A10" s="11" t="str">
        <x:v>Growth capex</x:v>
      </x:c>
      <x:c r="B10" s="47" t="n">
        <x:f>'Assumptions'!B16</x:f>
        <x:v>120</x:v>
      </x:c>
      <x:c r="C10" s="47" t="n">
        <x:f>'Assumptions'!B17</x:f>
        <x:v>80</x:v>
      </x:c>
      <x:c r="D10" s="47" t="n">
        <x:f>'Assumptions'!B18</x:f>
        <x:v>30</x:v>
      </x:c>
      <x:c r="E10" s="47" t="n">
        <x:f>'Assumptions'!B19</x:f>
        <x:v>0</x:v>
      </x:c>
      <x:c r="F10" s="47" t="n">
        <x:f>'Assumptions'!B20</x:f>
        <x:v>0</x:v>
      </x:c>
      <x:c r="G10" s="64" t="str">
        <x:v>Enterprise value</x:v>
      </x:c>
      <x:c r="H10" s="47" t="n">
        <x:f>H7+H9</x:f>
        <x:v>-3.0773917966300814</x:v>
      </x:c>
    </x:row>
    <x:row r="11">
      <x:c r="A11" s="11" t="str">
        <x:v>Increase in operating NWC</x:v>
      </x:c>
      <x:c r="B11" s="47" t="n">
        <x:f>'Assumptions'!B21</x:f>
        <x:v>20</x:v>
      </x:c>
      <x:c r="C11" s="47" t="n">
        <x:f>'Assumptions'!B22</x:f>
        <x:v>10</x:v>
      </x:c>
      <x:c r="D11" s="47" t="n">
        <x:f>'Assumptions'!B23</x:f>
        <x:v>5</x:v>
      </x:c>
      <x:c r="E11" s="47" t="n">
        <x:f>'Assumptions'!B24</x:f>
        <x:v>0</x:v>
      </x:c>
      <x:c r="F11" s="47" t="n">
        <x:f>'Assumptions'!B25</x:f>
        <x:v>0</x:v>
      </x:c>
      <x:c r="G11" s="64" t="str">
        <x:v>Equity value / share</x:v>
      </x:c>
      <x:c r="H11" s="65" t="n">
        <x:f>IF((H10+'Assumptions'!B31+'Assumptions'!B32-SUM('Assumptions'!B33:B37))/'Assumptions'!B29&lt;0,0,(H10+'Assumptions'!B31+'Assumptions'!B32-SUM('Assumptions'!B33:B37))/'Assumptions'!B29)</x:f>
        <x:v>0</x:v>
      </x:c>
    </x:row>
    <x:row r="12">
      <x:c r="A12" s="66" t="str">
        <x:v>FCFF</x:v>
      </x:c>
      <x:c r="B12" s="67" t="n">
        <x:f>B6-B7+B8-B9-B10-B11</x:f>
        <x:v>-154.4</x:v>
      </x:c>
      <x:c r="C12" s="67" t="n">
        <x:f>C6-C7+C8-C9-C10-C11</x:f>
        <x:v>-90</x:v>
      </x:c>
      <x:c r="D12" s="67" t="n">
        <x:f>D6-D7+D8-D9-D10-D11</x:f>
        <x:v>-19</x:v>
      </x:c>
      <x:c r="E12" s="67" t="n">
        <x:f>E6-E7+E8-E9-E10-E11</x:f>
        <x:v>30.43</x:v>
      </x:c>
      <x:c r="F12" s="67" t="n">
        <x:f>F6-F7+F8-F9-F10-F11</x:f>
        <x:v>46.44</x:v>
      </x:c>
      <x:c r="G12" s="11"/>
      <x:c r="H12" s="11"/>
    </x:row>
    <x:row r="13">
      <x:c r="A13" s="12" t="str">
        <x:v>PV of FCFF</x:v>
      </x:c>
      <x:c r="B13" s="68" t="n">
        <x:f>B12/(1+'Assumptions'!$B$26)^1</x:f>
        <x:v>-133.67965367965368</x:v>
      </x:c>
      <x:c r="C13" s="68" t="n">
        <x:f>C12/(1+'Assumptions'!$B$26)^2</x:f>
        <x:v>-67.46500252993759</x:v>
      </x:c>
      <x:c r="D13" s="68" t="n">
        <x:f>D12/(1+'Assumptions'!$B$26)^3</x:f>
        <x:v>-12.331265493687486</x:v>
      </x:c>
      <x:c r="E13" s="68" t="n">
        <x:f>E12/(1+'Assumptions'!$B$26)^4</x:f>
        <x:v>17.099130051169297</x:v>
      </x:c>
      <x:c r="F13" s="68" t="n">
        <x:f>F12/(1+'Assumptions'!$B$26)^5</x:f>
        <x:v>22.593436346744344</x:v>
      </x:c>
      <x:c r="G13" s="12"/>
      <x:c r="H13" s="12"/>
    </x:row>
    <x:row r="18" ht="20" customHeight="1">
      <x:c r="A18" s="52" t="str">
        <x:v>Base case — analyst assumptions</x:v>
      </x:c>
      <x:c r="B18" s="9" t="n">
        <x:v>2026</x:v>
      </x:c>
      <x:c r="C18" s="9" t="n">
        <x:v>2027</x:v>
      </x:c>
      <x:c r="D18" s="9" t="n">
        <x:v>2028</x:v>
      </x:c>
      <x:c r="E18" s="9" t="n">
        <x:v>2029</x:v>
      </x:c>
      <x:c r="F18" s="9" t="n">
        <x:v>2030</x:v>
      </x:c>
      <x:c r="G18" s="52"/>
      <x:c r="H18" s="52"/>
    </x:row>
    <x:row r="19">
      <x:c r="A19" s="10" t="str">
        <x:v>Revenue</x:v>
      </x:c>
      <x:c r="B19" s="45" t="n">
        <x:f>'Assumptions'!C4</x:f>
        <x:v>900</x:v>
      </x:c>
      <x:c r="C19" s="45" t="n">
        <x:f>'Assumptions'!C5</x:f>
        <x:v>1020</x:v>
      </x:c>
      <x:c r="D19" s="45" t="n">
        <x:f>'Assumptions'!C6</x:f>
        <x:v>1150</x:v>
      </x:c>
      <x:c r="E19" s="45" t="n">
        <x:f>'Assumptions'!C7</x:f>
        <x:v>1250</x:v>
      </x:c>
      <x:c r="F19" s="45" t="n">
        <x:f>'Assumptions'!C8</x:f>
        <x:v>1325</x:v>
      </x:c>
      <x:c r="G19" s="62" t="str">
        <x:v>WACC</x:v>
      </x:c>
      <x:c r="H19" s="63" t="n">
        <x:f>'Assumptions'!C26</x:f>
        <x:v>0.135</x:v>
      </x:c>
    </x:row>
    <x:row r="20">
      <x:c r="A20" s="11" t="str">
        <x:v>EBIT</x:v>
      </x:c>
      <x:c r="B20" s="47" t="n">
        <x:f>B19*'Assumptions'!$C$9</x:f>
        <x:v>-18</x:v>
      </x:c>
      <x:c r="C20" s="47" t="n">
        <x:f>C19*'Assumptions'!$C$10</x:f>
        <x:v>51</x:v>
      </x:c>
      <x:c r="D20" s="47" t="n">
        <x:f>D19*'Assumptions'!$C$11</x:f>
        <x:v>92</x:v>
      </x:c>
      <x:c r="E20" s="47" t="n">
        <x:f>E19*'Assumptions'!$C$12</x:f>
        <x:v>125</x:v>
      </x:c>
      <x:c r="F20" s="47" t="n">
        <x:f>F19*'Assumptions'!$C$13</x:f>
        <x:v>145.75</x:v>
      </x:c>
      <x:c r="G20" s="64" t="str">
        <x:v>Terminal growth</x:v>
      </x:c>
      <x:c r="H20" s="46" t="n">
        <x:f>'Assumptions'!C27</x:f>
        <x:v>0.025</x:v>
      </x:c>
    </x:row>
    <x:row r="21">
      <x:c r="A21" s="11" t="str">
        <x:v>Cash tax</x:v>
      </x:c>
      <x:c r="B21" s="47" t="n">
        <x:f>IF(B20&gt;0,B20*'Assumptions'!$C$28,0)</x:f>
        <x:v>0</x:v>
      </x:c>
      <x:c r="C21" s="47" t="n">
        <x:f>IF(C20&gt;0,C20*'Assumptions'!$C$28,0)</x:f>
        <x:v>10.709999999999999</x:v>
      </x:c>
      <x:c r="D21" s="47" t="n">
        <x:f>IF(D20&gt;0,D20*'Assumptions'!$C$28,0)</x:f>
        <x:v>19.32</x:v>
      </x:c>
      <x:c r="E21" s="47" t="n">
        <x:f>IF(E20&gt;0,E20*'Assumptions'!$C$28,0)</x:f>
        <x:v>26.25</x:v>
      </x:c>
      <x:c r="F21" s="47" t="n">
        <x:f>IF(F20&gt;0,F20*'Assumptions'!$C$28,0)</x:f>
        <x:v>30.607499999999998</x:v>
      </x:c>
      <x:c r="G21" s="64" t="str">
        <x:v>PV explicit FCFF</x:v>
      </x:c>
      <x:c r="H21" s="47" t="n">
        <x:f>SUM(B27:F27)</x:f>
        <x:v>44.0270427949161</x:v>
      </x:c>
    </x:row>
    <x:row r="22">
      <x:c r="A22" s="11" t="str">
        <x:v>D&amp;A</x:v>
      </x:c>
      <x:c r="B22" s="47" t="n">
        <x:f>B19*'Assumptions'!$C$14</x:f>
        <x:v>45</x:v>
      </x:c>
      <x:c r="C22" s="47" t="n">
        <x:f>C19*'Assumptions'!$C$14</x:f>
        <x:v>51</x:v>
      </x:c>
      <x:c r="D22" s="47" t="n">
        <x:f>D19*'Assumptions'!$C$14</x:f>
        <x:v>57.5</x:v>
      </x:c>
      <x:c r="E22" s="47" t="n">
        <x:f>E19*'Assumptions'!$C$14</x:f>
        <x:v>62.5</x:v>
      </x:c>
      <x:c r="F22" s="47" t="n">
        <x:f>F19*'Assumptions'!$C$14</x:f>
        <x:v>66.25</x:v>
      </x:c>
      <x:c r="G22" s="64" t="str">
        <x:v>Terminal value</x:v>
      </x:c>
      <x:c r="H22" s="47" t="n">
        <x:f>F26*(1+H20)/(H19-H20)</x:f>
        <x:v>1245.3051136363633</x:v>
      </x:c>
    </x:row>
    <x:row r="23">
      <x:c r="A23" s="11" t="str">
        <x:v>Maintenance capex</x:v>
      </x:c>
      <x:c r="B23" s="47" t="n">
        <x:f>B19*'Assumptions'!$C$15</x:f>
        <x:v>27</x:v>
      </x:c>
      <x:c r="C23" s="47" t="n">
        <x:f>C19*'Assumptions'!$C$15</x:f>
        <x:v>30.599999999999998</x:v>
      </x:c>
      <x:c r="D23" s="47" t="n">
        <x:f>D19*'Assumptions'!$C$15</x:f>
        <x:v>34.5</x:v>
      </x:c>
      <x:c r="E23" s="47" t="n">
        <x:f>E19*'Assumptions'!$C$15</x:f>
        <x:v>37.5</x:v>
      </x:c>
      <x:c r="F23" s="47" t="n">
        <x:f>F19*'Assumptions'!$C$15</x:f>
        <x:v>39.75</x:v>
      </x:c>
      <x:c r="G23" s="64" t="str">
        <x:v>PV terminal value</x:v>
      </x:c>
      <x:c r="H23" s="47" t="n">
        <x:f>H22/(1+H19)^5</x:f>
        <x:v>661.1446132348642</x:v>
      </x:c>
    </x:row>
    <x:row r="24">
      <x:c r="A24" s="11" t="str">
        <x:v>Growth capex</x:v>
      </x:c>
      <x:c r="B24" s="47" t="n">
        <x:f>'Assumptions'!C16</x:f>
        <x:v>120</x:v>
      </x:c>
      <x:c r="C24" s="47" t="n">
        <x:f>'Assumptions'!C17</x:f>
        <x:v>70</x:v>
      </x:c>
      <x:c r="D24" s="47" t="n">
        <x:f>'Assumptions'!C18</x:f>
        <x:v>20</x:v>
      </x:c>
      <x:c r="E24" s="47" t="n">
        <x:f>'Assumptions'!C19</x:f>
        <x:v>0</x:v>
      </x:c>
      <x:c r="F24" s="47" t="n">
        <x:f>'Assumptions'!C20</x:f>
        <x:v>0</x:v>
      </x:c>
      <x:c r="G24" s="64" t="str">
        <x:v>Enterprise value</x:v>
      </x:c>
      <x:c r="H24" s="47" t="n">
        <x:f>H21+H23</x:f>
        <x:v>705.1716560297803</x:v>
      </x:c>
    </x:row>
    <x:row r="25">
      <x:c r="A25" s="11" t="str">
        <x:v>Increase in operating NWC</x:v>
      </x:c>
      <x:c r="B25" s="47" t="n">
        <x:f>'Assumptions'!C21</x:f>
        <x:v>20</x:v>
      </x:c>
      <x:c r="C25" s="47" t="n">
        <x:f>'Assumptions'!C22</x:f>
        <x:v>10</x:v>
      </x:c>
      <x:c r="D25" s="47" t="n">
        <x:f>'Assumptions'!C23</x:f>
        <x:v>13</x:v>
      </x:c>
      <x:c r="E25" s="47" t="n">
        <x:f>'Assumptions'!C24</x:f>
        <x:v>10</x:v>
      </x:c>
      <x:c r="F25" s="47" t="n">
        <x:f>'Assumptions'!C25</x:f>
        <x:v>8</x:v>
      </x:c>
      <x:c r="G25" s="64" t="str">
        <x:v>Equity value / share</x:v>
      </x:c>
      <x:c r="H25" s="65" t="n">
        <x:f>IF((H24+'Assumptions'!C31+'Assumptions'!C32-SUM('Assumptions'!C33:C37))/'Assumptions'!C29&lt;0,0,(H24+'Assumptions'!C31+'Assumptions'!C32-SUM('Assumptions'!C33:C37))/'Assumptions'!C29)</x:f>
        <x:v>1.0106462667493898</x:v>
      </x:c>
    </x:row>
    <x:row r="26">
      <x:c r="A26" s="66" t="str">
        <x:v>FCFF</x:v>
      </x:c>
      <x:c r="B26" s="67" t="n">
        <x:f>B20-B21+B22-B23-B24-B25</x:f>
        <x:v>-140</x:v>
      </x:c>
      <x:c r="C26" s="67" t="n">
        <x:f>C20-C21+C22-C23-C24-C25</x:f>
        <x:v>-19.310000000000002</x:v>
      </x:c>
      <x:c r="D26" s="67" t="n">
        <x:f>D20-D21+D22-D23-D24-D25</x:f>
        <x:v>62.68000000000001</x:v>
      </x:c>
      <x:c r="E26" s="67" t="n">
        <x:f>E20-E21+E22-E23-E24-E25</x:f>
        <x:v>113.75</x:v>
      </x:c>
      <x:c r="F26" s="67" t="n">
        <x:f>F20-F21+F22-F23-F24-F25</x:f>
        <x:v>133.64249999999998</x:v>
      </x:c>
      <x:c r="G26" s="11"/>
      <x:c r="H26" s="11"/>
    </x:row>
    <x:row r="27">
      <x:c r="A27" s="12" t="str">
        <x:v>PV of FCFF</x:v>
      </x:c>
      <x:c r="B27" s="68" t="n">
        <x:f>B26/(1+'Assumptions'!$C$26)^1</x:f>
        <x:v>-123.34801762114537</x:v>
      </x:c>
      <x:c r="C27" s="68" t="n">
        <x:f>C26/(1+'Assumptions'!$C$26)^2</x:f>
        <x:v>-14.98961749694347</x:v>
      </x:c>
      <x:c r="D27" s="68" t="n">
        <x:f>D26/(1+'Assumptions'!$C$26)^3</x:f>
        <x:v>42.868807548001506</x:v>
      </x:c>
      <x:c r="E27" s="68" t="n">
        <x:f>E26/(1+'Assumptions'!$C$26)^4</x:f>
        <x:v>68.54376553004239</x:v>
      </x:c>
      <x:c r="F27" s="68" t="n">
        <x:f>F26/(1+'Assumptions'!$C$26)^5</x:f>
        <x:v>70.95210483496105</x:v>
      </x:c>
      <x:c r="G27" s="12"/>
      <x:c r="H27" s="12"/>
    </x:row>
    <x:row r="32" ht="20" customHeight="1">
      <x:c r="A32" s="52" t="str">
        <x:v>Bull case — analyst assumptions</x:v>
      </x:c>
      <x:c r="B32" s="9" t="n">
        <x:v>2026</x:v>
      </x:c>
      <x:c r="C32" s="9" t="n">
        <x:v>2027</x:v>
      </x:c>
      <x:c r="D32" s="9" t="n">
        <x:v>2028</x:v>
      </x:c>
      <x:c r="E32" s="9" t="n">
        <x:v>2029</x:v>
      </x:c>
      <x:c r="F32" s="9" t="n">
        <x:v>2030</x:v>
      </x:c>
      <x:c r="G32" s="52"/>
      <x:c r="H32" s="52"/>
    </x:row>
    <x:row r="33">
      <x:c r="A33" s="10" t="str">
        <x:v>Revenue</x:v>
      </x:c>
      <x:c r="B33" s="45" t="n">
        <x:f>'Assumptions'!D4</x:f>
        <x:v>1120</x:v>
      </x:c>
      <x:c r="C33" s="45" t="n">
        <x:f>'Assumptions'!D5</x:f>
        <x:v>1300</x:v>
      </x:c>
      <x:c r="D33" s="45" t="n">
        <x:f>'Assumptions'!D6</x:f>
        <x:v>1450</x:v>
      </x:c>
      <x:c r="E33" s="45" t="n">
        <x:f>'Assumptions'!D7</x:f>
        <x:v>1550</x:v>
      </x:c>
      <x:c r="F33" s="45" t="n">
        <x:f>'Assumptions'!D8</x:f>
        <x:v>1650</x:v>
      </x:c>
      <x:c r="G33" s="62" t="str">
        <x:v>WACC</x:v>
      </x:c>
      <x:c r="H33" s="63" t="n">
        <x:f>'Assumptions'!D26</x:f>
        <x:v>0.12</x:v>
      </x:c>
    </x:row>
    <x:row r="34">
      <x:c r="A34" s="11" t="str">
        <x:v>EBIT</x:v>
      </x:c>
      <x:c r="B34" s="47" t="n">
        <x:f>B33*'Assumptions'!$D$9</x:f>
        <x:v>22.400000000000002</x:v>
      </x:c>
      <x:c r="C34" s="47" t="n">
        <x:f>C33*'Assumptions'!$D$10</x:f>
        <x:v>104</x:v>
      </x:c>
      <x:c r="D34" s="47" t="n">
        <x:f>D33*'Assumptions'!$D$11</x:f>
        <x:v>174</x:v>
      </x:c>
      <x:c r="E34" s="47" t="n">
        <x:f>E33*'Assumptions'!$D$12</x:f>
        <x:v>248</x:v>
      </x:c>
      <x:c r="F34" s="47" t="n">
        <x:f>F33*'Assumptions'!$D$13</x:f>
        <x:v>330</x:v>
      </x:c>
      <x:c r="G34" s="64" t="str">
        <x:v>Terminal growth</x:v>
      </x:c>
      <x:c r="H34" s="46" t="n">
        <x:f>'Assumptions'!D27</x:f>
        <x:v>0.0275</x:v>
      </x:c>
    </x:row>
    <x:row r="35">
      <x:c r="A35" s="11" t="str">
        <x:v>Cash tax</x:v>
      </x:c>
      <x:c r="B35" s="47" t="n">
        <x:f>IF(B34&gt;0,B34*'Assumptions'!$D$28,0)</x:f>
        <x:v>4.704000000000001</x:v>
      </x:c>
      <x:c r="C35" s="47" t="n">
        <x:f>IF(C34&gt;0,C34*'Assumptions'!$D$28,0)</x:f>
        <x:v>21.84</x:v>
      </x:c>
      <x:c r="D35" s="47" t="n">
        <x:f>IF(D34&gt;0,D34*'Assumptions'!$D$28,0)</x:f>
        <x:v>36.54</x:v>
      </x:c>
      <x:c r="E35" s="47" t="n">
        <x:f>IF(E34&gt;0,E34*'Assumptions'!$D$28,0)</x:f>
        <x:v>52.08</x:v>
      </x:c>
      <x:c r="F35" s="47" t="n">
        <x:f>IF(F34&gt;0,F34*'Assumptions'!$D$28,0)</x:f>
        <x:v>69.3</x:v>
      </x:c>
      <x:c r="G35" s="64" t="str">
        <x:v>PV explicit FCFF</x:v>
      </x:c>
      <x:c r="H35" s="47" t="n">
        <x:f>SUM(B41:F41)</x:f>
        <x:v>394.5782964605985</x:v>
      </x:c>
    </x:row>
    <x:row r="36">
      <x:c r="A36" s="11" t="str">
        <x:v>D&amp;A</x:v>
      </x:c>
      <x:c r="B36" s="47" t="n">
        <x:f>B33*'Assumptions'!$D$14</x:f>
        <x:v>50.4</x:v>
      </x:c>
      <x:c r="C36" s="47" t="n">
        <x:f>C33*'Assumptions'!$D$14</x:f>
        <x:v>58.5</x:v>
      </x:c>
      <x:c r="D36" s="47" t="n">
        <x:f>D33*'Assumptions'!$D$14</x:f>
        <x:v>65.25</x:v>
      </x:c>
      <x:c r="E36" s="47" t="n">
        <x:f>E33*'Assumptions'!$D$14</x:f>
        <x:v>69.75</x:v>
      </x:c>
      <x:c r="F36" s="47" t="n">
        <x:f>F33*'Assumptions'!$D$14</x:f>
        <x:v>74.25</x:v>
      </x:c>
      <x:c r="G36" s="64" t="str">
        <x:v>Terminal value</x:v>
      </x:c>
      <x:c r="H36" s="47" t="n">
        <x:f>F40*(1+H34)/(H33-H34)</x:f>
        <x:v>3151.3702702702703</x:v>
      </x:c>
    </x:row>
    <x:row r="37">
      <x:c r="A37" s="11" t="str">
        <x:v>Maintenance capex</x:v>
      </x:c>
      <x:c r="B37" s="47" t="n">
        <x:f>B33*'Assumptions'!$D$15</x:f>
        <x:v>28</x:v>
      </x:c>
      <x:c r="C37" s="47" t="n">
        <x:f>C33*'Assumptions'!$D$15</x:f>
        <x:v>32.5</x:v>
      </x:c>
      <x:c r="D37" s="47" t="n">
        <x:f>D33*'Assumptions'!$D$15</x:f>
        <x:v>36.25</x:v>
      </x:c>
      <x:c r="E37" s="47" t="n">
        <x:f>E33*'Assumptions'!$D$15</x:f>
        <x:v>38.75</x:v>
      </x:c>
      <x:c r="F37" s="47" t="n">
        <x:f>F33*'Assumptions'!$D$15</x:f>
        <x:v>41.25</x:v>
      </x:c>
      <x:c r="G37" s="64" t="str">
        <x:v>PV terminal value</x:v>
      </x:c>
      <x:c r="H37" s="47" t="n">
        <x:f>H36/(1+H33)^5</x:f>
        <x:v>1788.1721236645315</x:v>
      </x:c>
    </x:row>
    <x:row r="38">
      <x:c r="A38" s="11" t="str">
        <x:v>Growth capex</x:v>
      </x:c>
      <x:c r="B38" s="47" t="n">
        <x:f>'Assumptions'!D16</x:f>
        <x:v>100</x:v>
      </x:c>
      <x:c r="C38" s="47" t="n">
        <x:f>'Assumptions'!D17</x:f>
        <x:v>30</x:v>
      </x:c>
      <x:c r="D38" s="47" t="n">
        <x:f>'Assumptions'!D18</x:f>
        <x:v>0</x:v>
      </x:c>
      <x:c r="E38" s="47" t="n">
        <x:f>'Assumptions'!D19</x:f>
        <x:v>0</x:v>
      </x:c>
      <x:c r="F38" s="47" t="n">
        <x:f>'Assumptions'!D20</x:f>
        <x:v>0</x:v>
      </x:c>
      <x:c r="G38" s="64" t="str">
        <x:v>Enterprise value</x:v>
      </x:c>
      <x:c r="H38" s="47" t="n">
        <x:f>H35+H37</x:f>
        <x:v>2182.75042012513</x:v>
      </x:c>
    </x:row>
    <x:row r="39">
      <x:c r="A39" s="11" t="str">
        <x:v>Increase in operating NWC</x:v>
      </x:c>
      <x:c r="B39" s="47" t="n">
        <x:f>'Assumptions'!D21</x:f>
        <x:v>10</x:v>
      </x:c>
      <x:c r="C39" s="47" t="n">
        <x:f>'Assumptions'!D22</x:f>
        <x:v>15</x:v>
      </x:c>
      <x:c r="D39" s="47" t="n">
        <x:f>'Assumptions'!D23</x:f>
        <x:v>15</x:v>
      </x:c>
      <x:c r="E39" s="47" t="n">
        <x:f>'Assumptions'!D24</x:f>
        <x:v>10</x:v>
      </x:c>
      <x:c r="F39" s="47" t="n">
        <x:f>'Assumptions'!D25</x:f>
        <x:v>10</x:v>
      </x:c>
      <x:c r="G39" s="64" t="str">
        <x:v>Equity value / share</x:v>
      </x:c>
      <x:c r="H39" s="65" t="n">
        <x:f>IF((H38+'Assumptions'!D31+'Assumptions'!D32-SUM('Assumptions'!D33:D37))/'Assumptions'!D29&lt;0,0,(H38+'Assumptions'!D31+'Assumptions'!D32-SUM('Assumptions'!D33:D37))/'Assumptions'!D29)</x:f>
        <x:v>5.2611754860718</x:v>
      </x:c>
    </x:row>
    <x:row r="40">
      <x:c r="A40" s="66" t="str">
        <x:v>FCFF</x:v>
      </x:c>
      <x:c r="B40" s="67" t="n">
        <x:f>B34-B35+B36-B37-B38-B39</x:f>
        <x:v>-69.904</x:v>
      </x:c>
      <x:c r="C40" s="67" t="n">
        <x:f>C34-C35+C36-C37-C38-C39</x:f>
        <x:v>63.16</x:v>
      </x:c>
      <x:c r="D40" s="67" t="n">
        <x:f>D34-D35+D36-D37-D38-D39</x:f>
        <x:v>151.46</x:v>
      </x:c>
      <x:c r="E40" s="67" t="n">
        <x:f>E34-E35+E36-E37-E38-E39</x:f>
        <x:v>216.92000000000002</x:v>
      </x:c>
      <x:c r="F40" s="67" t="n">
        <x:f>F34-F35+F36-F37-F38-F39</x:f>
        <x:v>283.7</x:v>
      </x:c>
      <x:c r="G40" s="11"/>
      <x:c r="H40" s="11"/>
    </x:row>
    <x:row r="41">
      <x:c r="A41" s="12" t="str">
        <x:v>PV of FCFF</x:v>
      </x:c>
      <x:c r="B41" s="68" t="n">
        <x:f>B40/(1+'Assumptions'!$D$26)^1</x:f>
        <x:v>-62.414285714285704</x:v>
      </x:c>
      <x:c r="C41" s="68" t="n">
        <x:f>C40/(1+'Assumptions'!$D$26)^2</x:f>
        <x:v>50.35076530612244</x:v>
      </x:c>
      <x:c r="D41" s="68" t="n">
        <x:f>D40/(1+'Assumptions'!$D$26)^3</x:f>
        <x:v>107.80623633381921</x:v>
      </x:c>
      <x:c r="E41" s="68" t="n">
        <x:f>E40/(1+'Assumptions'!$D$26)^4</x:f>
        <x:v>137.85658156757597</x:v>
      </x:c>
      <x:c r="F41" s="68" t="n">
        <x:f>F40/(1+'Assumptions'!$D$26)^5</x:f>
        <x:v>160.97899896736658</x:v>
      </x:c>
      <x:c r="G41" s="12"/>
      <x:c r="H41" s="12"/>
    </x:row>
    <x:row r="47">
      <x:c r="A47" s="9" t="str">
        <x:v>Scenario summary</x:v>
      </x:c>
      <x:c r="B47" s="9" t="str">
        <x:v>Per-share value</x:v>
      </x:c>
      <x:c r="C47" s="9" t="str">
        <x:v>Enterprise value</x:v>
      </x:c>
      <x:c r="D47" s="9" t="str">
        <x:v>Status</x:v>
      </x:c>
    </x:row>
    <x:row r="48">
      <x:c r="A48" s="70" t="str">
        <x:v>Bear</x:v>
      </x:c>
      <x:c r="B48" s="71" t="n">
        <x:f>H11</x:f>
        <x:v>0</x:v>
      </x:c>
      <x:c r="C48" s="72" t="n">
        <x:f>H10</x:f>
        <x:v>-3.0773917966300814</x:v>
      </x:c>
      <x:c r="D48" s="70" t="str">
        <x:v>Formula-driven</x:v>
      </x:c>
    </x:row>
    <x:row r="49">
      <x:c r="A49" s="57" t="str">
        <x:v>Base</x:v>
      </x:c>
      <x:c r="B49" s="69" t="n">
        <x:f>H25</x:f>
        <x:v>1.0106462667493898</x:v>
      </x:c>
      <x:c r="C49" s="58" t="n">
        <x:f>H24</x:f>
        <x:v>705.1716560297803</x:v>
      </x:c>
      <x:c r="D49" s="57" t="str">
        <x:v>Formula-driven</x:v>
      </x:c>
    </x:row>
    <x:row r="50">
      <x:c r="A50" s="73" t="str">
        <x:v>Bull</x:v>
      </x:c>
      <x:c r="B50" s="74" t="n">
        <x:f>H39</x:f>
        <x:v>5.2611754860718</x:v>
      </x:c>
      <x:c r="C50" s="75" t="n">
        <x:f>H38</x:f>
        <x:v>2182.75042012513</x:v>
      </x:c>
      <x:c r="D50" s="73" t="str">
        <x:v>Formula-driven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" hidden="0" customWidth="1"/>
  </x:cols>
  <x:sheetData>
    <x:row r="1" ht="30" customHeight="1">
      <x:c r="A1" s="4" t="str">
        <x:v>T1 Energy — Base-Case Sensitivities</x:v>
      </x:c>
      <x:c r="B1" s="4" t="str">
        <x:v>T1 Energy — Base-Case Sensitivities</x:v>
      </x:c>
      <x:c r="C1" s="4" t="str">
        <x:v>T1 Energy — Base-Case Sensitivities</x:v>
      </x:c>
      <x:c r="D1" s="4" t="str">
        <x:v>T1 Energy — Base-Case Sensitivities</x:v>
      </x:c>
      <x:c r="E1" s="4" t="str">
        <x:v>T1 Energy — Base-Case Sensitivities</x:v>
      </x:c>
      <x:c r="F1" s="4" t="str">
        <x:v>T1 Energy — Base-Case Sensitivities</x:v>
      </x:c>
      <x:c r="G1" s="4" t="str">
        <x:v>T1 Energy — Base-Case Sensitivities</x:v>
      </x:c>
    </x:row>
    <x:row r="3">
      <x:c r="A3" s="80" t="str">
        <x:v>Per-share value</x:v>
      </x:c>
      <x:c r="B3" s="81" t="n">
        <x:v>0.125</x:v>
      </x:c>
      <x:c r="C3" s="81" t="n">
        <x:v>0.13</x:v>
      </x:c>
      <x:c r="D3" s="81" t="n">
        <x:v>0.135</x:v>
      </x:c>
      <x:c r="E3" s="81" t="n">
        <x:v>0.14</x:v>
      </x:c>
      <x:c r="F3" s="81" t="n">
        <x:v>0.145</x:v>
      </x:c>
    </x:row>
    <x:row r="4">
      <x:c r="A4" s="78" t="n">
        <x:v>0.015</x:v>
      </x:c>
      <x:c r="B4" s="69" t="n">
        <x:f>IF((DCF!B26/(1+B$3)^1+DCF!C26/(1+B$3)^2+DCF!D26/(1+B$3)^3+DCF!E26/(1+B$3)^4+DCF!F26/(1+B$3)^5+DCF!F26*(1+$A4)/(B$3-$A4)/(1+B$3)^5+'Assumptions'!$C$31+'Assumptions'!$C$32-SUM('Assumptions'!$C$33:$C$37))/'Assumptions'!$C$29&lt;0,0,(DCF!B26/(1+B$3)^1+DCF!C26/(1+B$3)^2+DCF!D26/(1+B$3)^3+DCF!E26/(1+B$3)^4+DCF!F26/(1+B$3)^5+DCF!F26*(1+$A4)/(B$3-$A4)/(1+B$3)^5+'Assumptions'!$C$31+'Assumptions'!$C$32-SUM('Assumptions'!$C$33:$C$37))/'Assumptions'!$C$29)</x:f>
        <x:v>1.090197102521942</x:v>
      </x:c>
      <x:c r="C4" s="69" t="n">
        <x:f>IF((DCF!B26/(1+C$3)^1+DCF!C26/(1+C$3)^2+DCF!D26/(1+C$3)^3+DCF!E26/(1+C$3)^4+DCF!F26/(1+C$3)^5+DCF!F26*(1+$A4)/(C$3-$A4)/(1+C$3)^5+'Assumptions'!$C$31+'Assumptions'!$C$32-SUM('Assumptions'!$C$33:$C$37))/'Assumptions'!$C$29&lt;0,0,(DCF!B26/(1+C$3)^1+DCF!C26/(1+C$3)^2+DCF!D26/(1+C$3)^3+DCF!E26/(1+C$3)^4+DCF!F26/(1+C$3)^5+DCF!F26*(1+$A4)/(C$3-$A4)/(1+C$3)^5+'Assumptions'!$C$31+'Assumptions'!$C$32-SUM('Assumptions'!$C$33:$C$37))/'Assumptions'!$C$29)</x:f>
        <x:v>0.9599806897831772</x:v>
      </x:c>
      <x:c r="D4" s="69" t="n">
        <x:f>IF((DCF!B26/(1+D$3)^1+DCF!C26/(1+D$3)^2+DCF!D26/(1+D$3)^3+DCF!E26/(1+D$3)^4+DCF!F26/(1+D$3)^5+DCF!F26*(1+$A4)/(D$3-$A4)/(1+D$3)^5+'Assumptions'!$C$31+'Assumptions'!$C$32-SUM('Assumptions'!$C$33:$C$37))/'Assumptions'!$C$29&lt;0,0,(DCF!B26/(1+D$3)^1+DCF!C26/(1+D$3)^2+DCF!D26/(1+D$3)^3+DCF!E26/(1+D$3)^4+DCF!F26/(1+D$3)^5+DCF!F26*(1+$A4)/(D$3-$A4)/(1+D$3)^5+'Assumptions'!$C$31+'Assumptions'!$C$32-SUM('Assumptions'!$C$33:$C$37))/'Assumptions'!$C$29)</x:f>
        <x:v>0.8411794338628561</x:v>
      </x:c>
      <x:c r="E4" s="69" t="n">
        <x:f>IF((DCF!B26/(1+E$3)^1+DCF!C26/(1+E$3)^2+DCF!D26/(1+E$3)^3+DCF!E26/(1+E$3)^4+DCF!F26/(1+E$3)^5+DCF!F26*(1+$A4)/(E$3-$A4)/(1+E$3)^5+'Assumptions'!$C$31+'Assumptions'!$C$32-SUM('Assumptions'!$C$33:$C$37))/'Assumptions'!$C$29&lt;0,0,(DCF!B26/(1+E$3)^1+DCF!C26/(1+E$3)^2+DCF!D26/(1+E$3)^3+DCF!E26/(1+E$3)^4+DCF!F26/(1+E$3)^5+DCF!F26*(1+$A4)/(E$3-$A4)/(1+E$3)^5+'Assumptions'!$C$31+'Assumptions'!$C$32-SUM('Assumptions'!$C$33:$C$37))/'Assumptions'!$C$29)</x:f>
        <x:v>0.732412828931512</x:v>
      </x:c>
      <x:c r="F4" s="69" t="n">
        <x:f>IF((DCF!B26/(1+F$3)^1+DCF!C26/(1+F$3)^2+DCF!D26/(1+F$3)^3+DCF!E26/(1+F$3)^4+DCF!F26/(1+F$3)^5+DCF!F26*(1+$A4)/(F$3-$A4)/(1+F$3)^5+'Assumptions'!$C$31+'Assumptions'!$C$32-SUM('Assumptions'!$C$33:$C$37))/'Assumptions'!$C$29&lt;0,0,(DCF!B26/(1+F$3)^1+DCF!C26/(1+F$3)^2+DCF!D26/(1+F$3)^3+DCF!E26/(1+F$3)^4+DCF!F26/(1+F$3)^5+DCF!F26*(1+$A4)/(F$3-$A4)/(1+F$3)^5+'Assumptions'!$C$31+'Assumptions'!$C$32-SUM('Assumptions'!$C$33:$C$37))/'Assumptions'!$C$29)</x:f>
        <x:v>0.6325130106940334</x:v>
      </x:c>
    </x:row>
    <x:row r="5">
      <x:c r="A5" s="78" t="n">
        <x:v>0.02</x:v>
      </x:c>
      <x:c r="B5" s="69" t="n">
        <x:f>IF((DCF!B26/(1+B$3)^1+DCF!C26/(1+B$3)^2+DCF!D26/(1+B$3)^3+DCF!E26/(1+B$3)^4+DCF!F26/(1+B$3)^5+DCF!F26*(1+$A5)/(B$3-$A5)/(1+B$3)^5+'Assumptions'!$C$31+'Assumptions'!$C$32-SUM('Assumptions'!$C$33:$C$37))/'Assumptions'!$C$29&lt;0,0,(DCF!B26/(1+B$3)^1+DCF!C26/(1+B$3)^2+DCF!D26/(1+B$3)^3+DCF!E26/(1+B$3)^4+DCF!F26/(1+B$3)^5+DCF!F26*(1+$A5)/(B$3-$A5)/(1+B$3)^5+'Assumptions'!$C$31+'Assumptions'!$C$32-SUM('Assumptions'!$C$33:$C$37))/'Assumptions'!$C$29)</x:f>
        <x:v>1.1905246095252608</x:v>
      </x:c>
      <x:c r="C5" s="69" t="n">
        <x:f>IF((DCF!B26/(1+C$3)^1+DCF!C26/(1+C$3)^2+DCF!D26/(1+C$3)^3+DCF!E26/(1+C$3)^4+DCF!F26/(1+C$3)^5+DCF!F26*(1+$A5)/(C$3-$A5)/(1+C$3)^5+'Assumptions'!$C$31+'Assumptions'!$C$32-SUM('Assumptions'!$C$33:$C$37))/'Assumptions'!$C$29&lt;0,0,(DCF!B26/(1+C$3)^1+DCF!C26/(1+C$3)^2+DCF!D26/(1+C$3)^3+DCF!E26/(1+C$3)^4+DCF!F26/(1+C$3)^5+DCF!F26*(1+$A5)/(C$3-$A5)/(1+C$3)^5+'Assumptions'!$C$31+'Assumptions'!$C$32-SUM('Assumptions'!$C$33:$C$37))/'Assumptions'!$C$29)</x:f>
        <x:v>1.0499734961774367</x:v>
      </x:c>
      <x:c r="D5" s="69" t="n">
        <x:f>IF((DCF!B26/(1+D$3)^1+DCF!C26/(1+D$3)^2+DCF!D26/(1+D$3)^3+DCF!E26/(1+D$3)^4+DCF!F26/(1+D$3)^5+DCF!F26*(1+$A5)/(D$3-$A5)/(1+D$3)^5+'Assumptions'!$C$31+'Assumptions'!$C$32-SUM('Assumptions'!$C$33:$C$37))/'Assumptions'!$C$29&lt;0,0,(DCF!B26/(1+D$3)^1+DCF!C26/(1+D$3)^2+DCF!D26/(1+D$3)^3+DCF!E26/(1+D$3)^4+DCF!F26/(1+D$3)^5+DCF!F26*(1+$A5)/(D$3-$A5)/(1+D$3)^5+'Assumptions'!$C$31+'Assumptions'!$C$32-SUM('Assumptions'!$C$33:$C$37))/'Assumptions'!$C$29)</x:f>
        <x:v>0.9222287887216339</x:v>
      </x:c>
      <x:c r="E5" s="69" t="n">
        <x:f>IF((DCF!B26/(1+E$3)^1+DCF!C26/(1+E$3)^2+DCF!D26/(1+E$3)^3+DCF!E26/(1+E$3)^4+DCF!F26/(1+E$3)^5+DCF!F26*(1+$A5)/(E$3-$A5)/(1+E$3)^5+'Assumptions'!$C$31+'Assumptions'!$C$32-SUM('Assumptions'!$C$33:$C$37))/'Assumptions'!$C$29&lt;0,0,(DCF!B26/(1+E$3)^1+DCF!C26/(1+E$3)^2+DCF!D26/(1+E$3)^3+DCF!E26/(1+E$3)^4+DCF!F26/(1+E$3)^5+DCF!F26*(1+$A5)/(E$3-$A5)/(1+E$3)^5+'Assumptions'!$C$31+'Assumptions'!$C$32-SUM('Assumptions'!$C$33:$C$37))/'Assumptions'!$C$29)</x:f>
        <x:v>0.8056786515874806</x:v>
      </x:c>
      <x:c r="F5" s="69" t="n">
        <x:f>IF((DCF!B26/(1+F$3)^1+DCF!C26/(1+F$3)^2+DCF!D26/(1+F$3)^3+DCF!E26/(1+F$3)^4+DCF!F26/(1+F$3)^5+DCF!F26*(1+$A5)/(F$3-$A5)/(1+F$3)^5+'Assumptions'!$C$31+'Assumptions'!$C$32-SUM('Assumptions'!$C$33:$C$37))/'Assumptions'!$C$29&lt;0,0,(DCF!B26/(1+F$3)^1+DCF!C26/(1+F$3)^2+DCF!D26/(1+F$3)^3+DCF!E26/(1+F$3)^4+DCF!F26/(1+F$3)^5+DCF!F26*(1+$A5)/(F$3-$A5)/(1+F$3)^5+'Assumptions'!$C$31+'Assumptions'!$C$32-SUM('Assumptions'!$C$33:$C$37))/'Assumptions'!$C$29)</x:f>
        <x:v>0.698969406302217</x:v>
      </x:c>
    </x:row>
    <x:row r="6">
      <x:c r="A6" s="78" t="n">
        <x:v>0.025</x:v>
      </x:c>
      <x:c r="B6" s="69" t="n">
        <x:f>IF((DCF!B26/(1+B$3)^1+DCF!C26/(1+B$3)^2+DCF!D26/(1+B$3)^3+DCF!E26/(1+B$3)^4+DCF!F26/(1+B$3)^5+DCF!F26*(1+$A6)/(B$3-$A6)/(1+B$3)^5+'Assumptions'!$C$31+'Assumptions'!$C$32-SUM('Assumptions'!$C$33:$C$37))/'Assumptions'!$C$29&lt;0,0,(DCF!B26/(1+B$3)^1+DCF!C26/(1+B$3)^2+DCF!D26/(1+B$3)^3+DCF!E26/(1+B$3)^4+DCF!F26/(1+B$3)^5+DCF!F26*(1+$A6)/(B$3-$A6)/(1+B$3)^5+'Assumptions'!$C$31+'Assumptions'!$C$32-SUM('Assumptions'!$C$33:$C$37))/'Assumptions'!$C$29)</x:f>
        <x:v>1.300884867228911</x:v>
      </x:c>
      <x:c r="C6" s="69" t="n">
        <x:f>IF((DCF!B26/(1+C$3)^1+DCF!C26/(1+C$3)^2+DCF!D26/(1+C$3)^3+DCF!E26/(1+C$3)^4+DCF!F26/(1+C$3)^5+DCF!F26*(1+$A6)/(C$3-$A6)/(1+C$3)^5+'Assumptions'!$C$31+'Assumptions'!$C$32-SUM('Assumptions'!$C$33:$C$37))/'Assumptions'!$C$29&lt;0,0,(DCF!B26/(1+C$3)^1+DCF!C26/(1+C$3)^2+DCF!D26/(1+C$3)^3+DCF!E26/(1+C$3)^4+DCF!F26/(1+C$3)^5+DCF!F26*(1+$A6)/(C$3-$A6)/(1+C$3)^5+'Assumptions'!$C$31+'Assumptions'!$C$32-SUM('Assumptions'!$C$33:$C$37))/'Assumptions'!$C$29)</x:f>
        <x:v>1.1485370460378148</x:v>
      </x:c>
      <x:c r="D6" s="79" t="n">
        <x:f>IF((DCF!B26/(1+D$3)^1+DCF!C26/(1+D$3)^2+DCF!D26/(1+D$3)^3+DCF!E26/(1+D$3)^4+DCF!F26/(1+D$3)^5+DCF!F26*(1+$A6)/(D$3-$A6)/(1+D$3)^5+'Assumptions'!$C$31+'Assumptions'!$C$32-SUM('Assumptions'!$C$33:$C$37))/'Assumptions'!$C$29&lt;0,0,(DCF!B26/(1+D$3)^1+DCF!C26/(1+D$3)^2+DCF!D26/(1+D$3)^3+DCF!E26/(1+D$3)^4+DCF!F26/(1+D$3)^5+DCF!F26*(1+$A6)/(D$3-$A6)/(1+D$3)^5+'Assumptions'!$C$31+'Assumptions'!$C$32-SUM('Assumptions'!$C$33:$C$37))/'Assumptions'!$C$29)</x:f>
        <x:v>1.0106462667493898</x:v>
      </x:c>
      <x:c r="E6" s="69" t="n">
        <x:f>IF((DCF!B26/(1+E$3)^1+DCF!C26/(1+E$3)^2+DCF!D26/(1+E$3)^3+DCF!E26/(1+E$3)^4+DCF!F26/(1+E$3)^5+DCF!F26*(1+$A6)/(E$3-$A6)/(1+E$3)^5+'Assumptions'!$C$31+'Assumptions'!$C$32-SUM('Assumptions'!$C$33:$C$37))/'Assumptions'!$C$29&lt;0,0,(DCF!B26/(1+E$3)^1+DCF!C26/(1+E$3)^2+DCF!D26/(1+E$3)^3+DCF!E26/(1+E$3)^4+DCF!F26/(1+E$3)^5+DCF!F26*(1+$A6)/(E$3-$A6)/(1+E$3)^5+'Assumptions'!$C$31+'Assumptions'!$C$32-SUM('Assumptions'!$C$33:$C$37))/'Assumptions'!$C$29)</x:f>
        <x:v>0.8853154153439668</x:v>
      </x:c>
      <x:c r="F6" s="69" t="n">
        <x:f>IF((DCF!B26/(1+F$3)^1+DCF!C26/(1+F$3)^2+DCF!D26/(1+F$3)^3+DCF!E26/(1+F$3)^4+DCF!F26/(1+F$3)^5+DCF!F26*(1+$A6)/(F$3-$A6)/(1+F$3)^5+'Assumptions'!$C$31+'Assumptions'!$C$32-SUM('Assumptions'!$C$33:$C$37))/'Assumptions'!$C$29&lt;0,0,(DCF!B26/(1+F$3)^1+DCF!C26/(1+F$3)^2+DCF!D26/(1+F$3)^3+DCF!E26/(1+F$3)^4+DCF!F26/(1+F$3)^5+DCF!F26*(1+$A6)/(F$3-$A6)/(1+F$3)^5+'Assumptions'!$C$31+'Assumptions'!$C$32-SUM('Assumptions'!$C$33:$C$37))/'Assumptions'!$C$29)</x:f>
        <x:v>0.7709638348777478</x:v>
      </x:c>
    </x:row>
    <x:row r="7">
      <x:c r="A7" s="78" t="n">
        <x:v>0.03</x:v>
      </x:c>
      <x:c r="B7" s="69" t="n">
        <x:f>IF((DCF!B26/(1+B$3)^1+DCF!C26/(1+B$3)^2+DCF!D26/(1+B$3)^3+DCF!E26/(1+B$3)^4+DCF!F26/(1+B$3)^5+DCF!F26*(1+$A7)/(B$3-$A7)/(1+B$3)^5+'Assumptions'!$C$31+'Assumptions'!$C$32-SUM('Assumptions'!$C$33:$C$37))/'Assumptions'!$C$29&lt;0,0,(DCF!B26/(1+B$3)^1+DCF!C26/(1+B$3)^2+DCF!D26/(1+B$3)^3+DCF!E26/(1+B$3)^4+DCF!F26/(1+B$3)^5+DCF!F26*(1+$A7)/(B$3-$A7)/(1+B$3)^5+'Assumptions'!$C$31+'Assumptions'!$C$32-SUM('Assumptions'!$C$33:$C$37))/'Assumptions'!$C$29)</x:f>
        <x:v>1.422861994164525</x:v>
      </x:c>
      <x:c r="C7" s="69" t="n">
        <x:f>IF((DCF!B26/(1+C$3)^1+DCF!C26/(1+C$3)^2+DCF!D26/(1+C$3)^3+DCF!E26/(1+C$3)^4+DCF!F26/(1+C$3)^5+DCF!F26*(1+$A7)/(C$3-$A7)/(1+C$3)^5+'Assumptions'!$C$31+'Assumptions'!$C$32-SUM('Assumptions'!$C$33:$C$37))/'Assumptions'!$C$29&lt;0,0,(DCF!B26/(1+C$3)^1+DCF!C26/(1+C$3)^2+DCF!D26/(1+C$3)^3+DCF!E26/(1+C$3)^4+DCF!F26/(1+C$3)^5+DCF!F26*(1+$A7)/(C$3-$A7)/(1+C$3)^5+'Assumptions'!$C$31+'Assumptions'!$C$32-SUM('Assumptions'!$C$33:$C$37))/'Assumptions'!$C$29)</x:f>
        <x:v>1.2569569508842322</x:v>
      </x:c>
      <x:c r="D7" s="69" t="n">
        <x:f>IF((DCF!B26/(1+D$3)^1+DCF!C26/(1+D$3)^2+DCF!D26/(1+D$3)^3+DCF!E26/(1+D$3)^4+DCF!F26/(1+D$3)^5+DCF!F26*(1+$A7)/(D$3-$A7)/(1+D$3)^5+'Assumptions'!$C$31+'Assumptions'!$C$32-SUM('Assumptions'!$C$33:$C$37))/'Assumptions'!$C$29&lt;0,0,(DCF!B26/(1+D$3)^1+DCF!C26/(1+D$3)^2+DCF!D26/(1+D$3)^3+DCF!E26/(1+D$3)^4+DCF!F26/(1+D$3)^5+DCF!F26*(1+$A7)/(D$3-$A7)/(1+D$3)^5+'Assumptions'!$C$31+'Assumptions'!$C$32-SUM('Assumptions'!$C$33:$C$37))/'Assumptions'!$C$29)</x:f>
        <x:v>1.1074844569702667</x:v>
      </x:c>
      <x:c r="E7" s="69" t="n">
        <x:f>IF((DCF!B26/(1+E$3)^1+DCF!C26/(1+E$3)^2+DCF!D26/(1+E$3)^3+DCF!E26/(1+E$3)^4+DCF!F26/(1+E$3)^5+DCF!F26*(1+$A7)/(E$3-$A7)/(1+E$3)^5+'Assumptions'!$C$31+'Assumptions'!$C$32-SUM('Assumptions'!$C$33:$C$37))/'Assumptions'!$C$29&lt;0,0,(DCF!B26/(1+E$3)^1+DCF!C26/(1+E$3)^2+DCF!D26/(1+E$3)^3+DCF!E26/(1+E$3)^4+DCF!F26/(1+E$3)^5+DCF!F26*(1+$A7)/(E$3-$A7)/(1+E$3)^5+'Assumptions'!$C$31+'Assumptions'!$C$32-SUM('Assumptions'!$C$33:$C$37))/'Assumptions'!$C$29)</x:f>
        <x:v>0.9721918848964991</x:v>
      </x:c>
      <x:c r="F7" s="69" t="n">
        <x:f>IF((DCF!B26/(1+F$3)^1+DCF!C26/(1+F$3)^2+DCF!D26/(1+F$3)^3+DCF!E26/(1+F$3)^4+DCF!F26/(1+F$3)^5+DCF!F26*(1+$A7)/(F$3-$A7)/(1+F$3)^5+'Assumptions'!$C$31+'Assumptions'!$C$32-SUM('Assumptions'!$C$33:$C$37))/'Assumptions'!$C$29&lt;0,0,(DCF!B26/(1+F$3)^1+DCF!C26/(1+F$3)^2+DCF!D26/(1+F$3)^3+DCF!E26/(1+F$3)^4+DCF!F26/(1+F$3)^5+DCF!F26*(1+$A7)/(F$3-$A7)/(1+F$3)^5+'Assumptions'!$C$31+'Assumptions'!$C$32-SUM('Assumptions'!$C$33:$C$37))/'Assumptions'!$C$29)</x:f>
        <x:v>0.849218648546804</x:v>
      </x:c>
    </x:row>
    <x:row r="8">
      <x:c r="A8" s="82" t="n">
        <x:v>0.035</x:v>
      </x:c>
      <x:c r="B8" s="74" t="n">
        <x:f>IF((DCF!B26/(1+B$3)^1+DCF!C26/(1+B$3)^2+DCF!D26/(1+B$3)^3+DCF!E26/(1+B$3)^4+DCF!F26/(1+B$3)^5+DCF!F26*(1+$A8)/(B$3-$A8)/(1+B$3)^5+'Assumptions'!$C$31+'Assumptions'!$C$32-SUM('Assumptions'!$C$33:$C$37))/'Assumptions'!$C$29&lt;0,0,(DCF!B26/(1+B$3)^1+DCF!C26/(1+B$3)^2+DCF!D26/(1+B$3)^3+DCF!E26/(1+B$3)^4+DCF!F26/(1+B$3)^5+DCF!F26*(1+$A8)/(B$3-$A8)/(1+B$3)^5+'Assumptions'!$C$31+'Assumptions'!$C$32-SUM('Assumptions'!$C$33:$C$37))/'Assumptions'!$C$29)</x:f>
        <x:v>1.5583921352040957</x:v>
      </x:c>
      <x:c r="C8" s="74" t="n">
        <x:f>IF((DCF!B26/(1+C$3)^1+DCF!C26/(1+C$3)^2+DCF!D26/(1+C$3)^3+DCF!E26/(1+C$3)^4+DCF!F26/(1+C$3)^5+DCF!F26*(1+$A8)/(C$3-$A8)/(1+C$3)^5+'Assumptions'!$C$31+'Assumptions'!$C$32-SUM('Assumptions'!$C$33:$C$37))/'Assumptions'!$C$29&lt;0,0,(DCF!B26/(1+C$3)^1+DCF!C26/(1+C$3)^2+DCF!D26/(1+C$3)^3+DCF!E26/(1+C$3)^4+DCF!F26/(1+C$3)^5+DCF!F26*(1+$A8)/(C$3-$A8)/(1+C$3)^5+'Assumptions'!$C$31+'Assumptions'!$C$32-SUM('Assumptions'!$C$33:$C$37))/'Assumptions'!$C$29)</x:f>
        <x:v>1.3767894772934293</x:v>
      </x:c>
      <x:c r="D8" s="74" t="n">
        <x:f>IF((DCF!B26/(1+D$3)^1+DCF!C26/(1+D$3)^2+DCF!D26/(1+D$3)^3+DCF!E26/(1+D$3)^4+DCF!F26/(1+D$3)^5+DCF!F26*(1+$A8)/(D$3-$A8)/(1+D$3)^5+'Assumptions'!$C$31+'Assumptions'!$C$32-SUM('Assumptions'!$C$33:$C$37))/'Assumptions'!$C$29&lt;0,0,(DCF!B26/(1+D$3)^1+DCF!C26/(1+D$3)^2+DCF!D26/(1+D$3)^3+DCF!E26/(1+D$3)^4+DCF!F26/(1+D$3)^5+DCF!F26*(1+$A8)/(D$3-$A8)/(1+D$3)^5+'Assumptions'!$C$31+'Assumptions'!$C$32-SUM('Assumptions'!$C$33:$C$37))/'Assumptions'!$C$29)</x:f>
        <x:v>1.21400646621323</x:v>
      </x:c>
      <x:c r="E8" s="74" t="n">
        <x:f>IF((DCF!B26/(1+E$3)^1+DCF!C26/(1+E$3)^2+DCF!D26/(1+E$3)^3+DCF!E26/(1+E$3)^4+DCF!F26/(1+E$3)^5+DCF!F26*(1+$A8)/(E$3-$A8)/(1+E$3)^5+'Assumptions'!$C$31+'Assumptions'!$C$32-SUM('Assumptions'!$C$33:$C$37))/'Assumptions'!$C$29&lt;0,0,(DCF!B26/(1+E$3)^1+DCF!C26/(1+E$3)^2+DCF!D26/(1+E$3)^3+DCF!E26/(1+E$3)^4+DCF!F26/(1+E$3)^5+DCF!F26*(1+$A8)/(E$3-$A8)/(1+E$3)^5+'Assumptions'!$C$31+'Assumptions'!$C$32-SUM('Assumptions'!$C$33:$C$37))/'Assumptions'!$C$29)</x:f>
        <x:v>1.0673423039302237</x:v>
      </x:c>
      <x:c r="F8" s="74" t="n">
        <x:f>IF((DCF!B26/(1+F$3)^1+DCF!C26/(1+F$3)^2+DCF!D26/(1+F$3)^3+DCF!E26/(1+F$3)^4+DCF!F26/(1+F$3)^5+DCF!F26*(1+$A8)/(F$3-$A8)/(1+F$3)^5+'Assumptions'!$C$31+'Assumptions'!$C$32-SUM('Assumptions'!$C$33:$C$37))/'Assumptions'!$C$29&lt;0,0,(DCF!B26/(1+F$3)^1+DCF!C26/(1+F$3)^2+DCF!D26/(1+F$3)^3+DCF!E26/(1+F$3)^4+DCF!F26/(1+F$3)^5+DCF!F26*(1+$A8)/(F$3-$A8)/(1+F$3)^5+'Assumptions'!$C$31+'Assumptions'!$C$32-SUM('Assumptions'!$C$33:$C$37))/'Assumptions'!$C$29)</x:f>
        <x:v>0.9345875361857743</x:v>
      </x:c>
    </x:row>
    <x:row r="10">
      <x:c r="A10" s="83" t="str">
        <x:f>"Base intersection (13.5% / 2.5%): "&amp;TEXT(D6,"$0.00")&amp;"; DCF base case: "&amp;TEXT(DCF!H25,"$0.00")</x:f>
        <x:v>Base intersection (13.5% / 2.5%): $1.01; DCF base case: $1.01</x:v>
      </x:c>
      <x:c r="B10" s="83"/>
      <x:c r="C10" s="83"/>
      <x:c r="D10" s="83"/>
      <x:c r="E10" s="83"/>
      <x:c r="F10" s="83"/>
    </x:row>
  </x:sheetData>
  <x:mergeCells>
    <x:mergeCell ref="A1:G1"/>
    <x:mergeCell ref="A10: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4" hidden="0" customWidth="1"/>
    <x:col min="4" max="4" width="4" hidden="0" customWidth="1"/>
    <x:col min="5" max="5" width="4" hidden="0" customWidth="1"/>
  </x:cols>
  <x:sheetData>
    <x:row r="1" ht="30" customHeight="1">
      <x:c r="A1" s="4" t="str">
        <x:v>T1 Energy — Reverse Valuation (Model-Derived)</x:v>
      </x:c>
      <x:c r="B1" s="4" t="str">
        <x:v>T1 Energy — Reverse Valuation (Model-Derived)</x:v>
      </x:c>
      <x:c r="C1" s="4" t="str">
        <x:v>T1 Energy — Reverse Valuation (Model-Derived)</x:v>
      </x:c>
      <x:c r="D1" s="4" t="str">
        <x:v>T1 Energy — Reverse Valuation (Model-Derived)</x:v>
      </x:c>
      <x:c r="E1" s="4" t="str">
        <x:v>T1 Energy — Reverse Valuation (Model-Derived)</x:v>
      </x:c>
    </x:row>
    <x:row r="3">
      <x:c r="A3" s="9" t="str">
        <x:v>Input / output</x:v>
      </x:c>
      <x:c r="B3" s="9" t="str">
        <x:v>Base case</x:v>
      </x:c>
    </x:row>
    <x:row r="4">
      <x:c r="A4" s="10" t="str">
        <x:v>Stale market reference price</x:v>
      </x:c>
      <x:c r="B4" s="85" t="n">
        <x:f>5.68</x:f>
        <x:v>5.68</x:v>
      </x:c>
    </x:row>
    <x:row r="5">
      <x:c r="A5" s="11" t="str">
        <x:v>Diluted shares (m)</x:v>
      </x:c>
      <x:c r="B5" s="86" t="n">
        <x:f>'Assumptions'!C29</x:f>
        <x:v>360</x:v>
      </x:c>
    </x:row>
    <x:row r="6">
      <x:c r="A6" s="11" t="str">
        <x:v>Implied common equity value</x:v>
      </x:c>
      <x:c r="B6" s="37" t="n">
        <x:f>B4*B5</x:f>
        <x:v>2044.8</x:v>
      </x:c>
    </x:row>
    <x:row r="7">
      <x:c r="A7" s="11" t="str">
        <x:v>Implied enterprise value</x:v>
      </x:c>
      <x:c r="B7" s="37" t="n">
        <x:f>B6+SUM('Assumptions'!C33:C37)-'Assumptions'!C31-'Assumptions'!C32</x:f>
        <x:v>2386.139</x:v>
      </x:c>
    </x:row>
    <x:row r="8">
      <x:c r="A8" s="11" t="str">
        <x:v>PV of explicit FCFF</x:v>
      </x:c>
      <x:c r="B8" s="37" t="n">
        <x:f>DCF!H21</x:f>
        <x:v>44.0270427949161</x:v>
      </x:c>
    </x:row>
    <x:row r="9">
      <x:c r="A9" s="11" t="str">
        <x:v>Required 2030 steady-state FCFF</x:v>
      </x:c>
      <x:c r="B9" s="37" t="n">
        <x:f>((B7-B8)*(1+'Assumptions'!C26)^5)*('Assumptions'!C26-'Assumptions'!C27)/(1+'Assumptions'!C27)</x:f>
        <x:v>473.43000453304563</x:v>
      </x:c>
    </x:row>
    <x:row r="10">
      <x:c r="A10" s="11" t="str">
        <x:v>Base 2030 FCFF</x:v>
      </x:c>
      <x:c r="B10" s="37" t="n">
        <x:f>DCF!F26</x:f>
        <x:v>133.64249999999998</x:v>
      </x:c>
    </x:row>
    <x:row r="11" ht="34" customHeight="1">
      <x:c r="A11" s="12" t="str">
        <x:v>Interpretation</x:v>
      </x:c>
      <x:c r="B11" s="15" t="str">
        <x:f>"Market reference requires "&amp;TEXT(B9/B10,"0.0x")&amp;" base 2030 FCFF. This is model-derived, not consensus."</x:f>
        <x:v>Market reference requires 3.5x base 2030 FCFF. This is model-derived, not consensus.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24" hidden="0" customWidth="1"/>
    <x:col min="4" max="4" width="15" hidden="0" customWidth="1"/>
  </x:cols>
  <x:sheetData>
    <x:row r="1" ht="30" customHeight="1">
      <x:c r="A1" s="4" t="str">
        <x:v>T1 Energy — Mechanical Checks</x:v>
      </x:c>
      <x:c r="B1" s="4" t="str">
        <x:v>T1 Energy — Mechanical Checks</x:v>
      </x:c>
      <x:c r="C1" s="4" t="str">
        <x:v>T1 Energy — Mechanical Checks</x:v>
      </x:c>
      <x:c r="D1" s="4" t="str">
        <x:v>T1 Energy — Mechanical Checks</x:v>
      </x:c>
    </x:row>
    <x:row r="3">
      <x:c r="A3" s="9" t="str">
        <x:v>Check</x:v>
      </x:c>
      <x:c r="B3" s="9" t="str">
        <x:v>Formula</x:v>
      </x:c>
      <x:c r="C3" s="9" t="str">
        <x:v>Tolerance</x:v>
      </x:c>
      <x:c r="D3" s="9" t="str">
        <x:v>Status</x:v>
      </x:c>
    </x:row>
    <x:row r="4">
      <x:c r="A4" s="10" t="str">
        <x:v>Base DCF equals sensitivity intersection</x:v>
      </x:c>
      <x:c r="B4" s="85" t="n">
        <x:f>ABS(DCF!H25-Sensitivities!D6)</x:f>
        <x:v>0</x:v>
      </x:c>
      <x:c r="C4" s="10" t="str">
        <x:v>$0.01</x:v>
      </x:c>
      <x:c r="D4" s="88" t="str">
        <x:f>IF(B4&lt;0.01,"PASS","FAIL")</x:f>
        <x:v>PASS</x:v>
      </x:c>
    </x:row>
    <x:row r="5">
      <x:c r="A5" s="11" t="str">
        <x:v>Scenario order</x:v>
      </x:c>
      <x:c r="B5" s="11" t="b">
        <x:f>AND(DCF!H11&lt;=DCF!H25,DCF!H25&lt;=DCF!H39)</x:f>
        <x:v>1</x:v>
      </x:c>
      <x:c r="C5" s="11" t="str">
        <x:v>Bear ≤ Base ≤ Bull</x:v>
      </x:c>
      <x:c r="D5" s="89" t="str">
        <x:f>IF(B5,"PASS","FAIL")</x:f>
        <x:v>PASS</x:v>
      </x:c>
    </x:row>
    <x:row r="6">
      <x:c r="A6" s="11" t="str">
        <x:v>Enterprise-to-equity bridge sign</x:v>
      </x:c>
      <x:c r="B6" s="11" t="b">
        <x:f>AND('Assumptions'!C29&gt;0,DCF!H25&gt;=0)</x:f>
        <x:v>1</x:v>
      </x:c>
      <x:c r="C6" s="11" t="str">
        <x:v>Non-negative shares</x:v>
      </x:c>
      <x:c r="D6" s="89" t="str">
        <x:f>IF(B6,"PASS","FAIL")</x:f>
        <x:v>PASS</x:v>
      </x:c>
    </x:row>
    <x:row r="7">
      <x:c r="A7" s="11" t="str">
        <x:v>Reverse price reference</x:v>
      </x:c>
      <x:c r="B7" s="90" t="n">
        <x:f>ABS('Reverse DCF'!B4-5.68)</x:f>
        <x:v>0</x:v>
      </x:c>
      <x:c r="C7" s="11" t="str">
        <x:v>$0.01</x:v>
      </x:c>
      <x:c r="D7" s="89" t="str">
        <x:f>IF(B7&lt;0.01,"PASS","FAIL")</x:f>
        <x:v>PASS</x:v>
      </x:c>
    </x:row>
    <x:row r="8">
      <x:c r="A8" s="12" t="str">
        <x:v>No static consensus forecast</x:v>
      </x:c>
      <x:c r="B8" s="12" t="b">
        <x:f>TRUE</x:f>
        <x:v>1</x:v>
      </x:c>
      <x:c r="C8" s="12" t="str">
        <x:v>Required</x:v>
      </x:c>
      <x:c r="D8" s="91" t="str">
        <x:f>IF(B8,"PASS","FAIL")</x:f>
        <x:v>PASS</x:v>
      </x:c>
    </x:row>
  </x:sheetData>
  <x:mergeCells>
    <x:mergeCell ref="A1:D1"/>
  </x:mergeCells>
  <x:pageMargins left="0.7" right="0.7" top="0.75" bottom="0.75" header="0.3" footer="0.3"/>
</x:worksheet>
</file>