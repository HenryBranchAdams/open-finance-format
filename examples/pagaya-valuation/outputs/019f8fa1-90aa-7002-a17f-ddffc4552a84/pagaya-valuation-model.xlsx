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535986089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72b85d6c4be4f70"/>
    <x:sheet xmlns:r="http://schemas.openxmlformats.org/officeDocument/2006/relationships" name="Sources" sheetId="2" r:id="R68b7f6e73dd44987"/>
    <x:sheet xmlns:r="http://schemas.openxmlformats.org/officeDocument/2006/relationships" name="Assumptions" sheetId="3" r:id="R388865fbdd314ed0"/>
    <x:sheet xmlns:r="http://schemas.openxmlformats.org/officeDocument/2006/relationships" name="Historicals" sheetId="4" r:id="R3c5cdbdf095a4099"/>
    <x:sheet xmlns:r="http://schemas.openxmlformats.org/officeDocument/2006/relationships" name="Forecast" sheetId="5" r:id="Re2e1225e33834360"/>
    <x:sheet xmlns:r="http://schemas.openxmlformats.org/officeDocument/2006/relationships" name="DCF" sheetId="6" r:id="Ra32ee9f801f44a2c"/>
    <x:sheet xmlns:r="http://schemas.openxmlformats.org/officeDocument/2006/relationships" name="Comps" sheetId="7" r:id="R65c22149821d4c1a"/>
    <x:sheet xmlns:r="http://schemas.openxmlformats.org/officeDocument/2006/relationships" name="Sensitivities" sheetId="8" r:id="R6ec0ba83cc304013"/>
    <x:sheet xmlns:r="http://schemas.openxmlformats.org/officeDocument/2006/relationships" name="Checks" sheetId="9" r:id="Rfd2b7f1bfae14d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$0.00"/>
    <x:numFmt numFmtId="202" formatCode="0.0"/>
    <x:numFmt numFmtId="203" formatCode="0.0%"/>
    <x:numFmt numFmtId="204" formatCode="0.000"/>
    <x:numFmt numFmtId="205" formatCode="$#,##0.0"/>
    <x:numFmt numFmtId="206" formatCode="$#,##0.0;[Red]($#,##0.0);-"/>
    <x:numFmt numFmtId="207" formatCode="$0.00;[Red]($0.00);-"/>
    <x:numFmt numFmtId="208" formatCode="0.000x"/>
    <x:numFmt numFmtId="209" formatCode="0.0x"/>
  </x:numFmts>
  <x:fonts count="41">
    <x:font>
      <x:sz val="11"/>
      <x:name val="Carlito"/>
    </x:font>
    <x:font>
      <x:b/>
      <x:sz val="16"/>
      <x:color rgb="FFFFFFFF"/>
      <x:name val="Arial"/>
    </x:font>
    <x:font>
      <x:b/>
      <x:sz val="11"/>
      <x:color rgb="FF000000"/>
      <x:name val="Carlito"/>
    </x:font>
    <x:font>
      <x:sz val="9"/>
      <x:color rgb="FF0563C1"/>
      <x:name val="Carlito"/>
    </x:font>
    <x:font>
      <x:b/>
      <x:sz val="11"/>
      <x:color rgb="FFFFFFFF"/>
      <x:name val="Arial"/>
    </x:font>
    <x:font>
      <x:i/>
      <x:sz val="9"/>
      <x:color rgb="FF595959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0"/>
      <x:color rgb="FFD9EAF7"/>
      <x:name val="Carlito"/>
    </x:font>
    <x:font>
      <x:b/>
      <x:sz val="9"/>
      <x:color rgb="FF595959"/>
      <x:name val="Carlito"/>
    </x:font>
    <x:font>
      <x:b/>
      <x:sz val="10"/>
      <x:color rgb="FF595959"/>
      <x:name val="Carlito"/>
    </x:font>
    <x:font>
      <x:b/>
      <x:sz val="20"/>
      <x:color rgb="FF17365D"/>
      <x:name val="Carlito"/>
    </x:font>
    <x:font>
      <x:b/>
      <x:sz val="11"/>
      <x:color rgb="FF006100"/>
      <x:name val="Carlito"/>
    </x:font>
    <x:font>
      <x:b/>
      <x:sz val="9"/>
      <x:color rgb="FF17365D"/>
      <x:name val="Carlito"/>
    </x:font>
    <x:font>
      <x:sz val="9"/>
      <x:color rgb="FF000000"/>
      <x:name val="Carlito"/>
    </x:font>
    <x:font>
      <x:sz val="9"/>
      <x:color rgb="FF17365D"/>
      <x:name val="Carlito"/>
    </x:font>
    <x:font>
      <x:sz val="9"/>
      <x:color rgb="FF7F2D27"/>
      <x:name val="Carlito"/>
    </x:font>
    <x:font>
      <x:b/>
      <x:sz val="9"/>
      <x:color rgb="FF7F2D27"/>
      <x:name val="Carlito"/>
    </x:font>
    <x:font>
      <x:i/>
      <x:sz val="8"/>
      <x:color rgb="FF595959"/>
      <x:name val="Carlito"/>
    </x:font>
    <x:font>
      <x:i/>
      <x:sz val="10"/>
      <x:color rgb="FFD9EAF7"/>
      <x:name val="Arial"/>
    </x:font>
    <x:font>
      <x:b/>
      <x:sz val="9"/>
      <x:color rgb="FF595959"/>
      <x:name val="Arial"/>
    </x:font>
    <x:font>
      <x:sz val="11"/>
      <x:name val="Arial"/>
    </x:font>
    <x:font>
      <x:b/>
      <x:sz val="10"/>
      <x:color rgb="FF595959"/>
      <x:name val="Arial"/>
    </x:font>
    <x:font>
      <x:b/>
      <x:sz val="20"/>
      <x:color rgb="FF17365D"/>
      <x:name val="Arial"/>
    </x:font>
    <x:font>
      <x:b/>
      <x:sz val="11"/>
      <x:color rgb="FF17365D"/>
      <x:name val="Arial"/>
    </x:font>
    <x:font>
      <x:b/>
      <x:sz val="11"/>
      <x:color rgb="FF006100"/>
      <x:name val="Arial"/>
    </x:font>
    <x:font>
      <x:b/>
      <x:sz val="9"/>
      <x:color rgb="FF17365D"/>
      <x:name val="Arial"/>
    </x:font>
    <x:font>
      <x:sz val="9"/>
      <x:color rgb="FF000000"/>
      <x:name val="Arial"/>
    </x:font>
    <x:font>
      <x:sz val="9"/>
      <x:color rgb="FF17365D"/>
      <x:name val="Arial"/>
    </x:font>
    <x:font>
      <x:sz val="9"/>
      <x:color rgb="FF7F2D27"/>
      <x:name val="Arial"/>
    </x:font>
    <x:font>
      <x:b/>
      <x:sz val="9"/>
      <x:color rgb="FF7F2D27"/>
      <x:name val="Arial"/>
    </x:font>
    <x:font>
      <x:i/>
      <x:sz val="8"/>
      <x:color rgb="FF595959"/>
      <x:name val="Arial"/>
    </x:font>
    <x:font>
      <x:b/>
      <x:sz val="11"/>
      <x:color rgb="FF000000"/>
      <x:name val="Arial"/>
    </x:font>
    <x:font>
      <x:sz val="9"/>
      <x:color rgb="FF0563C1"/>
      <x:name val="Arial"/>
    </x:font>
    <x:font>
      <x:i/>
      <x:sz val="9"/>
      <x:color rgb="FF595959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sz val="11"/>
      <x:color rgb="FF008000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A64B44"/>
      </x:patternFill>
    </x:fill>
    <x:fill>
      <x:patternFill patternType="solid">
        <x:fgColor rgb="FFF4F6F8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CE4D6"/>
      </x:patternFill>
    </x:fill>
    <x:fill>
      <x:patternFill patternType="solid">
        <x:fgColor rgb="FFEEF5FA"/>
      </x:patternFill>
    </x:fill>
    <x:fill>
      <x:patternFill patternType="solid">
        <x:fgColor rgb="FFEAF4E4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18">
    <x:border/>
    <x:border>
      <x:right style="thin">
        <x:color rgb="FFC7D7E5"/>
      </x:right>
      <x:bottom style="medium">
        <x:color rgb="FF9FBAD0"/>
      </x:bottom>
    </x:border>
    <x:border>
      <x:left style="thin">
        <x:color rgb="FFC7D7E5"/>
      </x:left>
      <x:right style="thin">
        <x:color rgb="FFC7D7E5"/>
      </x:right>
      <x:bottom style="medium">
        <x:color rgb="FF9FBAD0"/>
      </x:bottom>
    </x:border>
    <x:border>
      <x:left style="thin">
        <x:color rgb="FFC7D7E5"/>
      </x:left>
      <x:bottom style="medium">
        <x:color rgb="FF9FBAD0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top style="thin">
        <x:color rgb="FF000000"/>
      </x:top>
      <x:bottom style="double">
        <x:color rgb="FF000000"/>
      </x:bottom>
    </x:border>
    <x:border>
      <x:top style="thin">
        <x:color rgb="FFD9E1E8"/>
      </x:top>
      <x:bottom style="thin">
        <x:color rgb="FF548235"/>
      </x:bottom>
    </x:border>
    <x:border>
      <x:bottom style="medium">
        <x:color rgb="FF595959"/>
      </x:bottom>
    </x:border>
    <x:border>
      <x:left style="thin">
        <x:color rgb="FFD9E1E8"/>
      </x:left>
      <x:top style="thin">
        <x:color rgb="FFD9E1E8"/>
      </x:top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bottom style="medium">
        <x:color rgb="FF1F4E78"/>
      </x:bottom>
    </x:border>
  </x:borders>
  <x:cellStyleXfs count="1">
    <x:xf numFmtId="0" fontId="0" fillId="0" borderId="0"/>
  </x:cellStyleXfs>
  <x:cellXfs count="6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200" fontId="6" fillId="6" borderId="7" xfId="0" applyNumberFormat="1" applyFont="1" applyFill="1" applyBorder="1"/>
    <x:xf numFmtId="201" fontId="6" fillId="6" borderId="7" xfId="0" applyNumberFormat="1" applyFont="1" applyFill="1" applyBorder="1"/>
    <x:xf numFmtId="202" fontId="6" fillId="6" borderId="7" xfId="0" applyNumberFormat="1" applyFont="1" applyFill="1" applyBorder="1"/>
    <x:xf numFmtId="203" fontId="6" fillId="6" borderId="7" xfId="0" applyNumberFormat="1" applyFont="1" applyFill="1" applyBorder="1"/>
    <x:xf numFmtId="204" fontId="6" fillId="6" borderId="7" xfId="0" applyNumberFormat="1" applyFont="1" applyFill="1" applyBorder="1"/>
    <x:xf numFmtId="205" fontId="6" fillId="6" borderId="7" xfId="0" applyNumberFormat="1" applyFont="1" applyFill="1" applyBorder="1"/>
    <x:xf numFmtId="0" fontId="7" fillId="0" borderId="6" xfId="0" applyNumberFormat="1" applyFont="1" applyFill="1" applyBorder="1"/>
    <x:xf numFmtId="205" fontId="7" fillId="0" borderId="6" xfId="0" applyNumberFormat="1" applyFont="1" applyFill="1" applyBorder="1"/>
    <x:xf numFmtId="203" fontId="0" fillId="0" borderId="6" xfId="0" applyNumberFormat="1" applyFont="1" applyFill="1" applyBorder="1"/>
    <x:xf numFmtId="203" fontId="0" fillId="0" borderId="0" xfId="0" applyNumberFormat="1" applyFont="1" applyFill="1" applyBorder="1"/>
    <x:xf numFmtId="203" fontId="0" fillId="6" borderId="0" xfId="0" applyNumberFormat="1" applyFont="1" applyFill="1" applyBorder="1"/>
    <x:xf numFmtId="203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206" fontId="0" fillId="0" borderId="4" xfId="0" applyNumberFormat="1" applyFont="1" applyFill="1" applyBorder="1"/>
    <x:xf numFmtId="206" fontId="0" fillId="0" borderId="5" xfId="0" applyNumberFormat="1" applyFont="1" applyFill="1" applyBorder="1"/>
    <x:xf numFmtId="206" fontId="0" fillId="0" borderId="6" xfId="0" applyNumberFormat="1" applyFont="1" applyFill="1" applyBorder="1"/>
    <x:xf numFmtId="202" fontId="0" fillId="0" borderId="4" xfId="0" applyNumberFormat="1" applyFont="1" applyFill="1" applyBorder="1"/>
    <x:xf numFmtId="203" fontId="0" fillId="0" borderId="5" xfId="0" applyNumberFormat="1" applyFont="1" applyFill="1" applyBorder="1"/>
    <x:xf numFmtId="202" fontId="0" fillId="0" borderId="5" xfId="0" applyNumberFormat="1" applyFont="1" applyFill="1" applyBorder="1"/>
    <x:xf numFmtId="207" fontId="0" fillId="0" borderId="6" xfId="0" applyNumberFormat="1" applyFont="1" applyFill="1" applyBorder="1"/>
    <x:xf numFmtId="202" fontId="8" fillId="0" borderId="4" xfId="0" applyNumberFormat="1" applyFont="1" applyFill="1" applyBorder="1"/>
    <x:xf numFmtId="206" fontId="8" fillId="0" borderId="5" xfId="0" applyNumberFormat="1" applyFont="1" applyFill="1" applyBorder="1"/>
    <x:xf numFmtId="203" fontId="8" fillId="0" borderId="5" xfId="0" applyNumberFormat="1" applyFont="1" applyFill="1" applyBorder="1"/>
    <x:xf numFmtId="202" fontId="8" fillId="0" borderId="5" xfId="0" applyNumberFormat="1" applyFont="1" applyFill="1" applyBorder="1"/>
    <x:xf numFmtId="207" fontId="8" fillId="0" borderId="6" xfId="0" applyNumberFormat="1" applyFont="1" applyFill="1" applyBorder="1"/>
    <x:xf numFmtId="203" fontId="7" fillId="0" borderId="5" xfId="0" applyNumberFormat="1" applyFont="1" applyFill="1" applyBorder="1"/>
    <x:xf numFmtId="0" fontId="2" fillId="0" borderId="5" xfId="0" applyNumberFormat="1" applyFont="1" applyFill="1" applyBorder="1"/>
    <x:xf numFmtId="206" fontId="2" fillId="0" borderId="5" xfId="0" applyNumberFormat="1" applyFont="1" applyFill="1" applyBorder="1"/>
    <x:xf numFmtId="0" fontId="2" fillId="0" borderId="8" xfId="0" applyNumberFormat="1" applyFont="1" applyFill="1" applyBorder="1"/>
    <x:xf numFmtId="206" fontId="2" fillId="0" borderId="8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208" fontId="0" fillId="0" borderId="5" xfId="0" applyNumberFormat="1" applyFont="1" applyFill="1" applyBorder="1"/>
    <x:xf numFmtId="205" fontId="0" fillId="0" borderId="6" xfId="0" applyNumberFormat="1" applyFont="1" applyFill="1" applyBorder="1"/>
    <x:xf numFmtId="202" fontId="7" fillId="0" borderId="4" xfId="0" applyNumberFormat="1" applyFont="1" applyFill="1" applyBorder="1"/>
    <x:xf numFmtId="206" fontId="7" fillId="0" borderId="5" xfId="0" applyNumberFormat="1" applyFont="1" applyFill="1" applyBorder="1"/>
    <x:xf numFmtId="208" fontId="7" fillId="0" borderId="5" xfId="0" applyNumberFormat="1" applyFont="1" applyFill="1" applyBorder="1"/>
    <x:xf numFmtId="0" fontId="2" fillId="8" borderId="8" xfId="0" applyNumberFormat="1" applyFont="1" applyFill="1" applyBorder="1"/>
    <x:xf numFmtId="206" fontId="2" fillId="8" borderId="8" xfId="0" applyNumberFormat="1" applyFont="1" applyFill="1" applyBorder="1"/>
    <x:xf numFmtId="0" fontId="2" fillId="9" borderId="8" xfId="0" applyNumberFormat="1" applyFont="1" applyFill="1" applyBorder="1"/>
    <x:xf numFmtId="206" fontId="2" fillId="9" borderId="8" xfId="0" applyNumberFormat="1" applyFont="1" applyFill="1" applyBorder="1"/>
    <x:xf numFmtId="0" fontId="2" fillId="10" borderId="8" xfId="0" applyNumberFormat="1" applyFont="1" applyFill="1" applyBorder="1"/>
    <x:xf numFmtId="206" fontId="2" fillId="10" borderId="8" xfId="0" applyNumberFormat="1" applyFont="1" applyFill="1" applyBorder="1"/>
    <x:xf numFmtId="203" fontId="0" fillId="0" borderId="4" xfId="0" applyNumberFormat="1" applyFont="1" applyFill="1" applyBorder="1"/>
    <x:xf numFmtId="205" fontId="0" fillId="0" borderId="4" xfId="0" applyNumberFormat="1" applyFont="1" applyFill="1" applyBorder="1"/>
    <x:xf numFmtId="205" fontId="0" fillId="0" borderId="5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8" borderId="4" xfId="0" applyNumberFormat="1" applyFont="1" applyFill="1" applyBorder="1"/>
    <x:xf numFmtId="203" fontId="0" fillId="8" borderId="4" xfId="0" applyNumberFormat="1" applyFont="1" applyFill="1" applyBorder="1"/>
    <x:xf numFmtId="205" fontId="0" fillId="8" borderId="4" xfId="0" applyNumberFormat="1" applyFont="1" applyFill="1" applyBorder="1"/>
    <x:xf numFmtId="201" fontId="0" fillId="8" borderId="4" xfId="0" applyNumberFormat="1" applyFont="1" applyFill="1" applyBorder="1"/>
    <x:xf numFmtId="0" fontId="0" fillId="9" borderId="5" xfId="0" applyNumberFormat="1" applyFont="1" applyFill="1" applyBorder="1"/>
    <x:xf numFmtId="203" fontId="0" fillId="9" borderId="5" xfId="0" applyNumberFormat="1" applyFont="1" applyFill="1" applyBorder="1"/>
    <x:xf numFmtId="205" fontId="0" fillId="9" borderId="5" xfId="0" applyNumberFormat="1" applyFont="1" applyFill="1" applyBorder="1"/>
    <x:xf numFmtId="201" fontId="0" fillId="9" borderId="5" xfId="0" applyNumberFormat="1" applyFont="1" applyFill="1" applyBorder="1"/>
    <x:xf numFmtId="0" fontId="0" fillId="10" borderId="6" xfId="0" applyNumberFormat="1" applyFont="1" applyFill="1" applyBorder="1"/>
    <x:xf numFmtId="203" fontId="0" fillId="10" borderId="6" xfId="0" applyNumberFormat="1" applyFont="1" applyFill="1" applyBorder="1"/>
    <x:xf numFmtId="205" fontId="0" fillId="10" borderId="6" xfId="0" applyNumberFormat="1" applyFont="1" applyFill="1" applyBorder="1"/>
    <x:xf numFmtId="201" fontId="0" fillId="10" borderId="6" xfId="0" applyNumberFormat="1" applyFont="1" applyFill="1" applyBorder="1"/>
    <x:xf numFmtId="0" fontId="0" fillId="10" borderId="9" xfId="0" applyNumberFormat="1" applyFont="1" applyFill="1" applyBorder="1"/>
    <x:xf numFmtId="203" fontId="0" fillId="10" borderId="9" xfId="0" applyNumberFormat="1" applyFont="1" applyFill="1" applyBorder="1"/>
    <x:xf numFmtId="205" fontId="0" fillId="10" borderId="9" xfId="0" applyNumberFormat="1" applyFont="1" applyFill="1" applyBorder="1"/>
    <x:xf numFmtId="201" fontId="0" fillId="10" borderId="9" xfId="0" applyNumberFormat="1" applyFont="1" applyFill="1" applyBorder="1"/>
    <x:xf numFmtId="0" fontId="2" fillId="9" borderId="5" xfId="0" applyNumberFormat="1" applyFont="1" applyFill="1" applyBorder="1"/>
    <x:xf numFmtId="203" fontId="2" fillId="9" borderId="5" xfId="0" applyNumberFormat="1" applyFont="1" applyFill="1" applyBorder="1"/>
    <x:xf numFmtId="205" fontId="2" fillId="9" borderId="5" xfId="0" applyNumberFormat="1" applyFont="1" applyFill="1" applyBorder="1"/>
    <x:xf numFmtId="201" fontId="2" fillId="9" borderId="5" xfId="0" applyNumberFormat="1" applyFont="1" applyFill="1" applyBorder="1"/>
    <x:xf numFmtId="203" fontId="2" fillId="9" borderId="8" xfId="0" applyNumberFormat="1" applyFont="1" applyFill="1" applyBorder="1"/>
    <x:xf numFmtId="205" fontId="2" fillId="9" borderId="8" xfId="0" applyNumberFormat="1" applyFont="1" applyFill="1" applyBorder="1"/>
    <x:xf numFmtId="201" fontId="2" fillId="9" borderId="8" xfId="0" applyNumberFormat="1" applyFont="1" applyFill="1" applyBorder="1"/>
    <x:xf numFmtId="0" fontId="0" fillId="10" borderId="4" xfId="0" applyNumberFormat="1" applyFont="1" applyFill="1" applyBorder="1"/>
    <x:xf numFmtId="201" fontId="0" fillId="10" borderId="4" xfId="0" applyNumberFormat="1" applyFont="1" applyFill="1" applyBorder="1"/>
    <x:xf numFmtId="201" fontId="0" fillId="6" borderId="5" xfId="0" applyNumberFormat="1" applyFont="1" applyFill="1" applyBorder="1"/>
    <x:xf numFmtId="201" fontId="8" fillId="0" borderId="6" xfId="0" applyNumberFormat="1" applyFont="1" applyFill="1" applyBorder="1"/>
    <x:xf numFmtId="0" fontId="10" fillId="2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9" fontId="0" fillId="0" borderId="5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209" fontId="8" fillId="0" borderId="4" xfId="0" applyNumberFormat="1" applyFont="1" applyFill="1" applyBorder="1" applyAlignment="1">
      <x:alignment wrapText="1"/>
    </x:xf>
    <x:xf numFmtId="209" fontId="8" fillId="0" borderId="5" xfId="0" applyNumberFormat="1" applyFont="1" applyFill="1" applyBorder="1" applyAlignment="1">
      <x:alignment wrapText="1"/>
    </x:xf>
    <x:xf numFmtId="209" fontId="8" fillId="0" borderId="6" xfId="0" applyNumberFormat="1" applyFont="1" applyFill="1" applyBorder="1" applyAlignment="1">
      <x:alignment wrapText="1"/>
    </x:xf>
    <x:xf numFmtId="0" fontId="8" fillId="0" borderId="5" xfId="0" applyNumberFormat="1" applyFont="1" applyFill="1" applyBorder="1"/>
    <x:xf numFmtId="0" fontId="7" fillId="0" borderId="5" xfId="0" applyNumberFormat="1" applyFont="1" applyFill="1" applyBorder="1"/>
    <x:xf numFmtId="0" fontId="8" fillId="0" borderId="6" xfId="0" applyNumberFormat="1" applyFont="1" applyFill="1" applyBorder="1"/>
    <x:xf numFmtId="209" fontId="6" fillId="6" borderId="7" xfId="0" applyNumberFormat="1" applyFont="1" applyFill="1" applyBorder="1"/>
    <x:xf numFmtId="201" fontId="8" fillId="0" borderId="5" xfId="0" applyNumberFormat="1" applyFont="1" applyFill="1" applyBorder="1"/>
    <x:xf numFmtId="201" fontId="7" fillId="0" borderId="5" xfId="0" applyNumberFormat="1" applyFont="1" applyFill="1" applyBorder="1"/>
    <x:xf numFmtId="203" fontId="2" fillId="3" borderId="2" xfId="0" applyNumberFormat="1" applyFont="1" applyFill="1" applyBorder="1" applyAlignment="1">
      <x:alignment vertical="center"/>
    </x:xf>
    <x:xf numFmtId="203" fontId="2" fillId="3" borderId="3" xfId="0" applyNumberFormat="1" applyFont="1" applyFill="1" applyBorder="1" applyAlignment="1">
      <x:alignment vertical="center"/>
    </x:xf>
    <x:xf numFmtId="201" fontId="0" fillId="11" borderId="5" xfId="0" applyNumberFormat="1" applyFont="1" applyFill="1" applyBorder="1"/>
    <x:xf numFmtId="203" fontId="0" fillId="0" borderId="4" xfId="0" applyNumberFormat="1" applyFont="1" applyFill="1" applyBorder="1" applyAlignment="1">
      <x:alignment wrapText="1"/>
    </x:xf>
    <x:xf numFmtId="203" fontId="9" fillId="0" borderId="4" xfId="0" applyNumberFormat="1" applyFont="1" applyFill="1" applyBorder="1" applyAlignment="1">
      <x:alignment wrapText="1"/>
    </x:xf>
    <x:xf numFmtId="201" fontId="9" fillId="0" borderId="5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204" fontId="0" fillId="0" borderId="4" xfId="0" applyNumberFormat="1" applyFont="1" applyFill="1" applyBorder="1"/>
    <x:xf numFmtId="204" fontId="0" fillId="0" borderId="5" xfId="0" applyNumberFormat="1" applyFont="1" applyFill="1" applyBorder="1"/>
    <x:xf numFmtId="204" fontId="0" fillId="0" borderId="6" xfId="0" applyNumberFormat="1" applyFont="1" applyFill="1" applyBorder="1"/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left"/>
    </x:xf>
    <x:xf numFmtId="0" fontId="12" fillId="5" borderId="0" xfId="0" applyNumberFormat="1" applyFont="1" applyFill="1" applyBorder="1"/>
    <x:xf numFmtId="0" fontId="12" fillId="5" borderId="4" xfId="0" applyNumberFormat="1" applyFont="1" applyFill="1" applyBorder="1"/>
    <x:xf numFmtId="0" fontId="12" fillId="5" borderId="4" xfId="0" applyNumberFormat="1" applyFont="1" applyFill="1" applyBorder="1" applyAlignment="1">
      <x:alignment horizontal="left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horizontal="center"/>
    </x:xf>
    <x:xf numFmtId="0" fontId="14" fillId="5" borderId="0" xfId="0" applyNumberFormat="1" applyFont="1" applyFill="1" applyBorder="1"/>
    <x:xf numFmtId="201" fontId="14" fillId="5" borderId="0" xfId="0" applyNumberFormat="1" applyFont="1" applyFill="1" applyBorder="1"/>
    <x:xf numFmtId="201" fontId="14" fillId="5" borderId="0" xfId="0" applyNumberFormat="1" applyFont="1" applyFill="1" applyBorder="1" applyAlignment="1">
      <x:alignment horizontal="center"/>
    </x:xf>
    <x:xf numFmtId="201" fontId="14" fillId="5" borderId="0" xfId="0" applyNumberFormat="1" applyFont="1" applyFill="1" applyBorder="1" applyAlignment="1">
      <x:alignment horizontal="center" vertical="center"/>
    </x:xf>
    <x:xf numFmtId="0" fontId="12" fillId="5" borderId="10" xfId="0" applyNumberFormat="1" applyFont="1" applyFill="1" applyBorder="1"/>
    <x:xf numFmtId="0" fontId="12" fillId="5" borderId="10" xfId="0" applyNumberFormat="1" applyFont="1" applyFill="1" applyBorder="1" applyAlignment="1">
      <x:alignment wrapText="1"/>
    </x:xf>
    <x:xf numFmtId="0" fontId="12" fillId="5" borderId="10" xfId="0" applyNumberFormat="1" applyFont="1" applyFill="1" applyBorder="1" applyAlignment="1">
      <x:alignment horizontal="center" wrapText="1"/>
    </x:xf>
    <x:xf numFmtId="0" fontId="12" fillId="5" borderId="10" xfId="0" applyNumberFormat="1" applyFont="1" applyFill="1" applyBorder="1" applyAlignment="1">
      <x:alignment horizontal="center" vertical="center" wrapText="1"/>
    </x:xf>
    <x:xf numFmtId="0" fontId="13" fillId="5" borderId="11" xfId="0" applyNumberFormat="1" applyFont="1" applyFill="1" applyBorder="1" applyAlignment="1">
      <x:alignment horizontal="center"/>
    </x:xf>
    <x:xf numFmtId="0" fontId="13" fillId="5" borderId="6" xfId="0" applyNumberFormat="1" applyFont="1" applyFill="1" applyBorder="1" applyAlignment="1">
      <x:alignment horizontal="center"/>
    </x:xf>
    <x:xf numFmtId="0" fontId="13" fillId="5" borderId="12" xfId="0" applyNumberFormat="1" applyFont="1" applyFill="1" applyBorder="1" applyAlignment="1">
      <x:alignment horizontal="center"/>
    </x:xf>
    <x:xf numFmtId="201" fontId="14" fillId="5" borderId="13" xfId="0" applyNumberFormat="1" applyFont="1" applyFill="1" applyBorder="1" applyAlignment="1">
      <x:alignment horizontal="center" vertical="center"/>
    </x:xf>
    <x:xf numFmtId="201" fontId="14" fillId="5" borderId="14" xfId="0" applyNumberFormat="1" applyFont="1" applyFill="1" applyBorder="1" applyAlignment="1">
      <x:alignment horizontal="center" vertical="center"/>
    </x:xf>
    <x:xf numFmtId="0" fontId="12" fillId="5" borderId="15" xfId="0" applyNumberFormat="1" applyFont="1" applyFill="1" applyBorder="1" applyAlignment="1">
      <x:alignment horizontal="center" vertical="center" wrapText="1"/>
    </x:xf>
    <x:xf numFmtId="0" fontId="12" fillId="5" borderId="4" xfId="0" applyNumberFormat="1" applyFont="1" applyFill="1" applyBorder="1" applyAlignment="1">
      <x:alignment horizontal="center" vertical="center" wrapText="1"/>
    </x:xf>
    <x:xf numFmtId="0" fontId="12" fillId="5" borderId="1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4" fillId="8" borderId="0" xfId="0" applyNumberFormat="1" applyFont="1" applyFill="1" applyBorder="1"/>
    <x:xf numFmtId="201" fontId="14" fillId="8" borderId="0" xfId="0" applyNumberFormat="1" applyFont="1" applyFill="1" applyBorder="1"/>
    <x:xf numFmtId="201" fontId="14" fillId="8" borderId="0" xfId="0" applyNumberFormat="1" applyFont="1" applyFill="1" applyBorder="1" applyAlignment="1">
      <x:alignment horizontal="center"/>
    </x:xf>
    <x:xf numFmtId="201" fontId="14" fillId="8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/>
    <x:xf numFmtId="0" fontId="12" fillId="8" borderId="17" xfId="0" applyNumberFormat="1" applyFont="1" applyFill="1" applyBorder="1"/>
    <x:xf numFmtId="0" fontId="12" fillId="8" borderId="17" xfId="0" applyNumberFormat="1" applyFont="1" applyFill="1" applyBorder="1" applyAlignment="1">
      <x:alignment wrapText="1"/>
    </x:xf>
    <x:xf numFmtId="0" fontId="12" fillId="8" borderId="17" xfId="0" applyNumberFormat="1" applyFont="1" applyFill="1" applyBorder="1" applyAlignment="1">
      <x:alignment horizontal="center" wrapText="1"/>
    </x:xf>
    <x:xf numFmtId="0" fontId="12" fillId="8" borderId="17" xfId="0" applyNumberFormat="1" applyFont="1" applyFill="1" applyBorder="1" applyAlignment="1">
      <x:alignment horizontal="center" vertical="center" wrapText="1"/>
    </x:xf>
    <x:xf numFmtId="0" fontId="13" fillId="8" borderId="11" xfId="0" applyNumberFormat="1" applyFont="1" applyFill="1" applyBorder="1" applyAlignment="1">
      <x:alignment horizontal="center"/>
    </x:xf>
    <x:xf numFmtId="0" fontId="13" fillId="8" borderId="6" xfId="0" applyNumberFormat="1" applyFont="1" applyFill="1" applyBorder="1" applyAlignment="1">
      <x:alignment horizontal="center"/>
    </x:xf>
    <x:xf numFmtId="0" fontId="13" fillId="8" borderId="12" xfId="0" applyNumberFormat="1" applyFont="1" applyFill="1" applyBorder="1" applyAlignment="1">
      <x:alignment horizontal="center"/>
    </x:xf>
    <x:xf numFmtId="201" fontId="14" fillId="8" borderId="13" xfId="0" applyNumberFormat="1" applyFont="1" applyFill="1" applyBorder="1" applyAlignment="1">
      <x:alignment horizontal="center" vertical="center"/>
    </x:xf>
    <x:xf numFmtId="201" fontId="14" fillId="8" borderId="14" xfId="0" applyNumberFormat="1" applyFont="1" applyFill="1" applyBorder="1" applyAlignment="1">
      <x:alignment horizontal="center" vertical="center"/>
    </x:xf>
    <x:xf numFmtId="0" fontId="12" fillId="8" borderId="15" xfId="0" applyNumberFormat="1" applyFont="1" applyFill="1" applyBorder="1" applyAlignment="1">
      <x:alignment horizontal="center" vertical="center" wrapText="1"/>
    </x:xf>
    <x:xf numFmtId="0" fontId="12" fillId="8" borderId="4" xfId="0" applyNumberFormat="1" applyFont="1" applyFill="1" applyBorder="1" applyAlignment="1">
      <x:alignment horizontal="center" vertical="center" wrapText="1"/>
    </x:xf>
    <x:xf numFmtId="0" fontId="12" fillId="8" borderId="1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/>
    </x:xf>
    <x:xf numFmtId="0" fontId="14" fillId="9" borderId="0" xfId="0" applyNumberFormat="1" applyFont="1" applyFill="1" applyBorder="1"/>
    <x:xf numFmtId="201" fontId="14" fillId="9" borderId="0" xfId="0" applyNumberFormat="1" applyFont="1" applyFill="1" applyBorder="1"/>
    <x:xf numFmtId="201" fontId="14" fillId="9" borderId="0" xfId="0" applyNumberFormat="1" applyFont="1" applyFill="1" applyBorder="1" applyAlignment="1">
      <x:alignment horizontal="center"/>
    </x:xf>
    <x:xf numFmtId="201" fontId="14" fillId="9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/>
    <x:xf numFmtId="0" fontId="12" fillId="9" borderId="17" xfId="0" applyNumberFormat="1" applyFont="1" applyFill="1" applyBorder="1"/>
    <x:xf numFmtId="0" fontId="12" fillId="9" borderId="17" xfId="0" applyNumberFormat="1" applyFont="1" applyFill="1" applyBorder="1" applyAlignment="1">
      <x:alignment wrapText="1"/>
    </x:xf>
    <x:xf numFmtId="0" fontId="12" fillId="9" borderId="17" xfId="0" applyNumberFormat="1" applyFont="1" applyFill="1" applyBorder="1" applyAlignment="1">
      <x:alignment horizontal="center" wrapText="1"/>
    </x:xf>
    <x:xf numFmtId="0" fontId="12" fillId="9" borderId="17" xfId="0" applyNumberFormat="1" applyFont="1" applyFill="1" applyBorder="1" applyAlignment="1">
      <x:alignment horizontal="center" vertical="center" wrapText="1"/>
    </x:xf>
    <x:xf numFmtId="0" fontId="13" fillId="9" borderId="11" xfId="0" applyNumberFormat="1" applyFont="1" applyFill="1" applyBorder="1" applyAlignment="1">
      <x:alignment horizontal="center"/>
    </x:xf>
    <x:xf numFmtId="0" fontId="13" fillId="9" borderId="6" xfId="0" applyNumberFormat="1" applyFont="1" applyFill="1" applyBorder="1" applyAlignment="1">
      <x:alignment horizontal="center"/>
    </x:xf>
    <x:xf numFmtId="0" fontId="13" fillId="9" borderId="12" xfId="0" applyNumberFormat="1" applyFont="1" applyFill="1" applyBorder="1" applyAlignment="1">
      <x:alignment horizontal="center"/>
    </x:xf>
    <x:xf numFmtId="201" fontId="14" fillId="9" borderId="13" xfId="0" applyNumberFormat="1" applyFont="1" applyFill="1" applyBorder="1" applyAlignment="1">
      <x:alignment horizontal="center" vertical="center"/>
    </x:xf>
    <x:xf numFmtId="201" fontId="14" fillId="9" borderId="14" xfId="0" applyNumberFormat="1" applyFont="1" applyFill="1" applyBorder="1" applyAlignment="1">
      <x:alignment horizontal="center" vertical="center"/>
    </x:xf>
    <x:xf numFmtId="0" fontId="12" fillId="9" borderId="15" xfId="0" applyNumberFormat="1" applyFont="1" applyFill="1" applyBorder="1" applyAlignment="1">
      <x:alignment horizontal="center" vertical="center" wrapText="1"/>
    </x:xf>
    <x:xf numFmtId="0" fontId="12" fillId="9" borderId="4" xfId="0" applyNumberFormat="1" applyFont="1" applyFill="1" applyBorder="1" applyAlignment="1">
      <x:alignment horizontal="center" vertical="center" wrapText="1"/>
    </x:xf>
    <x:xf numFmtId="0" fontId="12" fillId="9" borderId="1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horizontal="center"/>
    </x:xf>
    <x:xf numFmtId="0" fontId="14" fillId="10" borderId="0" xfId="0" applyNumberFormat="1" applyFont="1" applyFill="1" applyBorder="1"/>
    <x:xf numFmtId="201" fontId="14" fillId="10" borderId="0" xfId="0" applyNumberFormat="1" applyFont="1" applyFill="1" applyBorder="1"/>
    <x:xf numFmtId="201" fontId="14" fillId="10" borderId="0" xfId="0" applyNumberFormat="1" applyFont="1" applyFill="1" applyBorder="1" applyAlignment="1">
      <x:alignment horizontal="center"/>
    </x:xf>
    <x:xf numFmtId="201" fontId="14" fillId="10" borderId="0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/>
    <x:xf numFmtId="0" fontId="12" fillId="10" borderId="17" xfId="0" applyNumberFormat="1" applyFont="1" applyFill="1" applyBorder="1"/>
    <x:xf numFmtId="0" fontId="12" fillId="10" borderId="17" xfId="0" applyNumberFormat="1" applyFont="1" applyFill="1" applyBorder="1" applyAlignment="1">
      <x:alignment wrapText="1"/>
    </x:xf>
    <x:xf numFmtId="0" fontId="12" fillId="10" borderId="17" xfId="0" applyNumberFormat="1" applyFont="1" applyFill="1" applyBorder="1" applyAlignment="1">
      <x:alignment horizontal="center" wrapText="1"/>
    </x:xf>
    <x:xf numFmtId="0" fontId="12" fillId="10" borderId="17" xfId="0" applyNumberFormat="1" applyFont="1" applyFill="1" applyBorder="1" applyAlignment="1">
      <x:alignment horizontal="center" vertical="center" wrapText="1"/>
    </x:xf>
    <x:xf numFmtId="0" fontId="13" fillId="10" borderId="11" xfId="0" applyNumberFormat="1" applyFont="1" applyFill="1" applyBorder="1" applyAlignment="1">
      <x:alignment horizontal="center"/>
    </x:xf>
    <x:xf numFmtId="0" fontId="13" fillId="10" borderId="6" xfId="0" applyNumberFormat="1" applyFont="1" applyFill="1" applyBorder="1" applyAlignment="1">
      <x:alignment horizontal="center"/>
    </x:xf>
    <x:xf numFmtId="0" fontId="13" fillId="10" borderId="12" xfId="0" applyNumberFormat="1" applyFont="1" applyFill="1" applyBorder="1" applyAlignment="1">
      <x:alignment horizontal="center"/>
    </x:xf>
    <x:xf numFmtId="201" fontId="14" fillId="10" borderId="13" xfId="0" applyNumberFormat="1" applyFont="1" applyFill="1" applyBorder="1" applyAlignment="1">
      <x:alignment horizontal="center" vertical="center"/>
    </x:xf>
    <x:xf numFmtId="201" fontId="14" fillId="10" borderId="14" xfId="0" applyNumberFormat="1" applyFont="1" applyFill="1" applyBorder="1" applyAlignment="1">
      <x:alignment horizontal="center" vertical="center"/>
    </x:xf>
    <x:xf numFmtId="0" fontId="12" fillId="10" borderId="15" xfId="0" applyNumberFormat="1" applyFont="1" applyFill="1" applyBorder="1" applyAlignment="1">
      <x:alignment horizontal="center" vertical="center" wrapText="1"/>
    </x:xf>
    <x:xf numFmtId="0" fontId="12" fillId="10" borderId="4" xfId="0" applyNumberFormat="1" applyFont="1" applyFill="1" applyBorder="1" applyAlignment="1">
      <x:alignment horizontal="center" vertical="center" wrapText="1"/>
    </x:xf>
    <x:xf numFmtId="0" fontId="12" fillId="10" borderId="16" xfId="0" applyNumberFormat="1" applyFont="1" applyFill="1" applyBorder="1" applyAlignment="1">
      <x:alignment horizontal="center" vertical="center" wrapText="1"/>
    </x:xf>
    <x:xf numFmtId="203" fontId="12" fillId="8" borderId="15" xfId="0" applyNumberFormat="1" applyFont="1" applyFill="1" applyBorder="1" applyAlignment="1">
      <x:alignment horizontal="center" vertical="center" wrapText="1"/>
    </x:xf>
    <x:xf numFmtId="203" fontId="12" fillId="8" borderId="4" xfId="0" applyNumberFormat="1" applyFont="1" applyFill="1" applyBorder="1" applyAlignment="1">
      <x:alignment horizontal="center" vertical="center" wrapText="1"/>
    </x:xf>
    <x:xf numFmtId="203" fontId="12" fillId="8" borderId="16" xfId="0" applyNumberFormat="1" applyFont="1" applyFill="1" applyBorder="1" applyAlignment="1">
      <x:alignment horizontal="center" vertical="center" wrapText="1"/>
    </x:xf>
    <x:xf numFmtId="203" fontId="12" fillId="9" borderId="15" xfId="0" applyNumberFormat="1" applyFont="1" applyFill="1" applyBorder="1" applyAlignment="1">
      <x:alignment horizontal="center" vertical="center" wrapText="1"/>
    </x:xf>
    <x:xf numFmtId="203" fontId="12" fillId="9" borderId="4" xfId="0" applyNumberFormat="1" applyFont="1" applyFill="1" applyBorder="1" applyAlignment="1">
      <x:alignment horizontal="center" vertical="center" wrapText="1"/>
    </x:xf>
    <x:xf numFmtId="203" fontId="12" fillId="9" borderId="16" xfId="0" applyNumberFormat="1" applyFont="1" applyFill="1" applyBorder="1" applyAlignment="1">
      <x:alignment horizontal="center" vertical="center" wrapText="1"/>
    </x:xf>
    <x:xf numFmtId="203" fontId="12" fillId="10" borderId="15" xfId="0" applyNumberFormat="1" applyFont="1" applyFill="1" applyBorder="1" applyAlignment="1">
      <x:alignment horizontal="center" vertical="center" wrapText="1"/>
    </x:xf>
    <x:xf numFmtId="203" fontId="12" fillId="10" borderId="4" xfId="0" applyNumberFormat="1" applyFont="1" applyFill="1" applyBorder="1" applyAlignment="1">
      <x:alignment horizontal="center" vertical="center" wrapText="1"/>
    </x:xf>
    <x:xf numFmtId="203" fontId="12" fillId="10" borderId="1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16" fillId="9" borderId="0" xfId="0" applyNumberFormat="1" applyFont="1" applyFill="1" applyBorder="1"/>
    <x:xf numFmtId="0" fontId="16" fillId="9" borderId="11" xfId="0" applyNumberFormat="1" applyFont="1" applyFill="1" applyBorder="1"/>
    <x:xf numFmtId="0" fontId="16" fillId="9" borderId="12" xfId="0" applyNumberFormat="1" applyFont="1" applyFill="1" applyBorder="1"/>
    <x:xf numFmtId="0" fontId="16" fillId="9" borderId="15" xfId="0" applyNumberFormat="1" applyFont="1" applyFill="1" applyBorder="1"/>
    <x:xf numFmtId="0" fontId="16" fillId="9" borderId="16" xfId="0" applyNumberFormat="1" applyFont="1" applyFill="1" applyBorder="1"/>
    <x:xf numFmtId="0" fontId="16" fillId="9" borderId="11" xfId="0" applyNumberFormat="1" applyFont="1" applyFill="1" applyBorder="1" applyAlignment="1">
      <x:alignment wrapText="1"/>
    </x:xf>
    <x:xf numFmtId="0" fontId="16" fillId="9" borderId="12" xfId="0" applyNumberFormat="1" applyFont="1" applyFill="1" applyBorder="1" applyAlignment="1">
      <x:alignment wrapText="1"/>
    </x:xf>
    <x:xf numFmtId="0" fontId="16" fillId="9" borderId="15" xfId="0" applyNumberFormat="1" applyFont="1" applyFill="1" applyBorder="1" applyAlignment="1">
      <x:alignment wrapText="1"/>
    </x:xf>
    <x:xf numFmtId="0" fontId="16" fillId="9" borderId="16" xfId="0" applyNumberFormat="1" applyFont="1" applyFill="1" applyBorder="1" applyAlignment="1">
      <x:alignment wrapText="1"/>
    </x:xf>
    <x:xf numFmtId="0" fontId="16" fillId="9" borderId="11" xfId="0" applyNumberFormat="1" applyFont="1" applyFill="1" applyBorder="1" applyAlignment="1">
      <x:alignment vertical="center" wrapText="1"/>
    </x:xf>
    <x:xf numFmtId="0" fontId="16" fillId="9" borderId="12" xfId="0" applyNumberFormat="1" applyFont="1" applyFill="1" applyBorder="1" applyAlignment="1">
      <x:alignment vertical="center" wrapText="1"/>
    </x:xf>
    <x:xf numFmtId="0" fontId="16" fillId="9" borderId="15" xfId="0" applyNumberFormat="1" applyFont="1" applyFill="1" applyBorder="1" applyAlignment="1">
      <x:alignment vertical="center" wrapText="1"/>
    </x:xf>
    <x:xf numFmtId="0" fontId="16" fillId="9" borderId="16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11" xfId="0" applyNumberFormat="1" applyFont="1" applyFill="1" applyBorder="1"/>
    <x:xf numFmtId="0" fontId="17" fillId="14" borderId="6" xfId="0" applyNumberFormat="1" applyFont="1" applyFill="1" applyBorder="1"/>
    <x:xf numFmtId="0" fontId="17" fillId="14" borderId="12" xfId="0" applyNumberFormat="1" applyFont="1" applyFill="1" applyBorder="1"/>
    <x:xf numFmtId="0" fontId="17" fillId="14" borderId="15" xfId="0" applyNumberFormat="1" applyFont="1" applyFill="1" applyBorder="1"/>
    <x:xf numFmtId="0" fontId="17" fillId="14" borderId="4" xfId="0" applyNumberFormat="1" applyFont="1" applyFill="1" applyBorder="1"/>
    <x:xf numFmtId="0" fontId="17" fillId="14" borderId="16" xfId="0" applyNumberFormat="1" applyFont="1" applyFill="1" applyBorder="1"/>
    <x:xf numFmtId="0" fontId="17" fillId="14" borderId="11" xfId="0" applyNumberFormat="1" applyFont="1" applyFill="1" applyBorder="1" applyAlignment="1">
      <x:alignment wrapText="1"/>
    </x:xf>
    <x:xf numFmtId="0" fontId="17" fillId="14" borderId="6" xfId="0" applyNumberFormat="1" applyFont="1" applyFill="1" applyBorder="1" applyAlignment="1">
      <x:alignment wrapText="1"/>
    </x:xf>
    <x:xf numFmtId="0" fontId="17" fillId="14" borderId="12" xfId="0" applyNumberFormat="1" applyFont="1" applyFill="1" applyBorder="1" applyAlignment="1">
      <x:alignment wrapText="1"/>
    </x:xf>
    <x:xf numFmtId="0" fontId="17" fillId="14" borderId="15" xfId="0" applyNumberFormat="1" applyFont="1" applyFill="1" applyBorder="1" applyAlignment="1">
      <x:alignment wrapText="1"/>
    </x:xf>
    <x:xf numFmtId="0" fontId="17" fillId="14" borderId="4" xfId="0" applyNumberFormat="1" applyFont="1" applyFill="1" applyBorder="1" applyAlignment="1">
      <x:alignment wrapText="1"/>
    </x:xf>
    <x:xf numFmtId="0" fontId="17" fillId="14" borderId="16" xfId="0" applyNumberFormat="1" applyFont="1" applyFill="1" applyBorder="1" applyAlignment="1">
      <x:alignment wrapText="1"/>
    </x:xf>
    <x:xf numFmtId="0" fontId="17" fillId="14" borderId="11" xfId="0" applyNumberFormat="1" applyFont="1" applyFill="1" applyBorder="1" applyAlignment="1">
      <x:alignment vertical="center" wrapText="1"/>
    </x:xf>
    <x:xf numFmtId="0" fontId="17" fillId="14" borderId="6" xfId="0" applyNumberFormat="1" applyFont="1" applyFill="1" applyBorder="1" applyAlignment="1">
      <x:alignment vertical="center" wrapText="1"/>
    </x:xf>
    <x:xf numFmtId="0" fontId="17" fillId="14" borderId="12" xfId="0" applyNumberFormat="1" applyFont="1" applyFill="1" applyBorder="1" applyAlignment="1">
      <x:alignment vertical="center" wrapText="1"/>
    </x:xf>
    <x:xf numFmtId="0" fontId="17" fillId="14" borderId="15" xfId="0" applyNumberFormat="1" applyFont="1" applyFill="1" applyBorder="1" applyAlignment="1">
      <x:alignment vertical="center" wrapText="1"/>
    </x:xf>
    <x:xf numFmtId="0" fontId="17" fillId="14" borderId="4" xfId="0" applyNumberFormat="1" applyFont="1" applyFill="1" applyBorder="1" applyAlignment="1">
      <x:alignment vertical="center" wrapText="1"/>
    </x:xf>
    <x:xf numFmtId="0" fontId="17" fillId="14" borderId="16" xfId="0" applyNumberFormat="1" applyFont="1" applyFill="1" applyBorder="1" applyAlignment="1">
      <x:alignment vertical="center" wrapText="1"/>
    </x:xf>
    <x:xf numFmtId="0" fontId="18" fillId="9" borderId="0" xfId="0" applyNumberFormat="1" applyFont="1" applyFill="1" applyBorder="1"/>
    <x:xf numFmtId="0" fontId="18" fillId="9" borderId="11" xfId="0" applyNumberFormat="1" applyFont="1" applyFill="1" applyBorder="1"/>
    <x:xf numFmtId="0" fontId="18" fillId="9" borderId="6" xfId="0" applyNumberFormat="1" applyFont="1" applyFill="1" applyBorder="1"/>
    <x:xf numFmtId="0" fontId="18" fillId="9" borderId="12" xfId="0" applyNumberFormat="1" applyFont="1" applyFill="1" applyBorder="1"/>
    <x:xf numFmtId="0" fontId="18" fillId="9" borderId="13" xfId="0" applyNumberFormat="1" applyFont="1" applyFill="1" applyBorder="1"/>
    <x:xf numFmtId="0" fontId="18" fillId="9" borderId="14" xfId="0" applyNumberFormat="1" applyFont="1" applyFill="1" applyBorder="1"/>
    <x:xf numFmtId="0" fontId="18" fillId="9" borderId="15" xfId="0" applyNumberFormat="1" applyFont="1" applyFill="1" applyBorder="1"/>
    <x:xf numFmtId="0" fontId="18" fillId="9" borderId="4" xfId="0" applyNumberFormat="1" applyFont="1" applyFill="1" applyBorder="1"/>
    <x:xf numFmtId="0" fontId="18" fillId="9" borderId="16" xfId="0" applyNumberFormat="1" applyFont="1" applyFill="1" applyBorder="1"/>
    <x:xf numFmtId="0" fontId="18" fillId="9" borderId="11" xfId="0" applyNumberFormat="1" applyFont="1" applyFill="1" applyBorder="1" applyAlignment="1">
      <x:alignment wrapText="1"/>
    </x:xf>
    <x:xf numFmtId="0" fontId="18" fillId="9" borderId="6" xfId="0" applyNumberFormat="1" applyFont="1" applyFill="1" applyBorder="1" applyAlignment="1">
      <x:alignment wrapText="1"/>
    </x:xf>
    <x:xf numFmtId="0" fontId="18" fillId="9" borderId="12" xfId="0" applyNumberFormat="1" applyFont="1" applyFill="1" applyBorder="1" applyAlignment="1">
      <x:alignment wrapText="1"/>
    </x:xf>
    <x:xf numFmtId="0" fontId="18" fillId="9" borderId="13" xfId="0" applyNumberFormat="1" applyFont="1" applyFill="1" applyBorder="1" applyAlignment="1">
      <x:alignment wrapText="1"/>
    </x:xf>
    <x:xf numFmtId="0" fontId="18" fillId="9" borderId="0" xfId="0" applyNumberFormat="1" applyFont="1" applyFill="1" applyBorder="1" applyAlignment="1">
      <x:alignment wrapText="1"/>
    </x:xf>
    <x:xf numFmtId="0" fontId="18" fillId="9" borderId="14" xfId="0" applyNumberFormat="1" applyFont="1" applyFill="1" applyBorder="1" applyAlignment="1">
      <x:alignment wrapText="1"/>
    </x:xf>
    <x:xf numFmtId="0" fontId="18" fillId="9" borderId="15" xfId="0" applyNumberFormat="1" applyFont="1" applyFill="1" applyBorder="1" applyAlignment="1">
      <x:alignment wrapText="1"/>
    </x:xf>
    <x:xf numFmtId="0" fontId="18" fillId="9" borderId="4" xfId="0" applyNumberFormat="1" applyFont="1" applyFill="1" applyBorder="1" applyAlignment="1">
      <x:alignment wrapText="1"/>
    </x:xf>
    <x:xf numFmtId="0" fontId="18" fillId="9" borderId="16" xfId="0" applyNumberFormat="1" applyFont="1" applyFill="1" applyBorder="1" applyAlignment="1">
      <x:alignment wrapText="1"/>
    </x:xf>
    <x:xf numFmtId="0" fontId="18" fillId="9" borderId="11" xfId="0" applyNumberFormat="1" applyFont="1" applyFill="1" applyBorder="1" applyAlignment="1">
      <x:alignment vertical="center" wrapText="1"/>
    </x:xf>
    <x:xf numFmtId="0" fontId="18" fillId="9" borderId="6" xfId="0" applyNumberFormat="1" applyFont="1" applyFill="1" applyBorder="1" applyAlignment="1">
      <x:alignment vertical="center" wrapText="1"/>
    </x:xf>
    <x:xf numFmtId="0" fontId="18" fillId="9" borderId="12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 wrapText="1"/>
    </x:xf>
    <x:xf numFmtId="0" fontId="18" fillId="9" borderId="0" xfId="0" applyNumberFormat="1" applyFont="1" applyFill="1" applyBorder="1" applyAlignment="1">
      <x:alignment vertical="center" wrapText="1"/>
    </x:xf>
    <x:xf numFmtId="0" fontId="18" fillId="9" borderId="14" xfId="0" applyNumberFormat="1" applyFont="1" applyFill="1" applyBorder="1" applyAlignment="1">
      <x:alignment vertical="center" wrapText="1"/>
    </x:xf>
    <x:xf numFmtId="0" fontId="18" fillId="9" borderId="15" xfId="0" applyNumberFormat="1" applyFont="1" applyFill="1" applyBorder="1" applyAlignment="1">
      <x:alignment vertical="center" wrapText="1"/>
    </x:xf>
    <x:xf numFmtId="0" fontId="18" fillId="9" borderId="4" xfId="0" applyNumberFormat="1" applyFont="1" applyFill="1" applyBorder="1" applyAlignment="1">
      <x:alignment vertical="center" wrapText="1"/>
    </x:xf>
    <x:xf numFmtId="0" fontId="18" fillId="9" borderId="16" xfId="0" applyNumberFormat="1" applyFont="1" applyFill="1" applyBorder="1" applyAlignment="1">
      <x:alignment vertical="center" wrapText="1"/>
    </x:xf>
    <x:xf numFmtId="0" fontId="19" fillId="8" borderId="0" xfId="0" applyNumberFormat="1" applyFont="1" applyFill="1" applyBorder="1"/>
    <x:xf numFmtId="0" fontId="19" fillId="8" borderId="11" xfId="0" applyNumberFormat="1" applyFont="1" applyFill="1" applyBorder="1"/>
    <x:xf numFmtId="0" fontId="19" fillId="8" borderId="6" xfId="0" applyNumberFormat="1" applyFont="1" applyFill="1" applyBorder="1"/>
    <x:xf numFmtId="0" fontId="19" fillId="8" borderId="12" xfId="0" applyNumberFormat="1" applyFont="1" applyFill="1" applyBorder="1"/>
    <x:xf numFmtId="0" fontId="19" fillId="8" borderId="13" xfId="0" applyNumberFormat="1" applyFont="1" applyFill="1" applyBorder="1"/>
    <x:xf numFmtId="0" fontId="19" fillId="8" borderId="14" xfId="0" applyNumberFormat="1" applyFont="1" applyFill="1" applyBorder="1"/>
    <x:xf numFmtId="0" fontId="19" fillId="8" borderId="15" xfId="0" applyNumberFormat="1" applyFont="1" applyFill="1" applyBorder="1"/>
    <x:xf numFmtId="0" fontId="19" fillId="8" borderId="4" xfId="0" applyNumberFormat="1" applyFont="1" applyFill="1" applyBorder="1"/>
    <x:xf numFmtId="0" fontId="19" fillId="8" borderId="16" xfId="0" applyNumberFormat="1" applyFont="1" applyFill="1" applyBorder="1"/>
    <x:xf numFmtId="0" fontId="19" fillId="8" borderId="11" xfId="0" applyNumberFormat="1" applyFont="1" applyFill="1" applyBorder="1" applyAlignment="1">
      <x:alignment wrapText="1"/>
    </x:xf>
    <x:xf numFmtId="0" fontId="19" fillId="8" borderId="6" xfId="0" applyNumberFormat="1" applyFont="1" applyFill="1" applyBorder="1" applyAlignment="1">
      <x:alignment wrapText="1"/>
    </x:xf>
    <x:xf numFmtId="0" fontId="19" fillId="8" borderId="12" xfId="0" applyNumberFormat="1" applyFont="1" applyFill="1" applyBorder="1" applyAlignment="1">
      <x:alignment wrapText="1"/>
    </x:xf>
    <x:xf numFmtId="0" fontId="19" fillId="8" borderId="13" xfId="0" applyNumberFormat="1" applyFont="1" applyFill="1" applyBorder="1" applyAlignment="1">
      <x:alignment wrapText="1"/>
    </x:xf>
    <x:xf numFmtId="0" fontId="19" fillId="8" borderId="0" xfId="0" applyNumberFormat="1" applyFont="1" applyFill="1" applyBorder="1" applyAlignment="1">
      <x:alignment wrapText="1"/>
    </x:xf>
    <x:xf numFmtId="0" fontId="19" fillId="8" borderId="14" xfId="0" applyNumberFormat="1" applyFont="1" applyFill="1" applyBorder="1" applyAlignment="1">
      <x:alignment wrapText="1"/>
    </x:xf>
    <x:xf numFmtId="0" fontId="19" fillId="8" borderId="15" xfId="0" applyNumberFormat="1" applyFont="1" applyFill="1" applyBorder="1" applyAlignment="1">
      <x:alignment wrapText="1"/>
    </x:xf>
    <x:xf numFmtId="0" fontId="19" fillId="8" borderId="4" xfId="0" applyNumberFormat="1" applyFont="1" applyFill="1" applyBorder="1" applyAlignment="1">
      <x:alignment wrapText="1"/>
    </x:xf>
    <x:xf numFmtId="0" fontId="19" fillId="8" borderId="16" xfId="0" applyNumberFormat="1" applyFont="1" applyFill="1" applyBorder="1" applyAlignment="1">
      <x:alignment wrapText="1"/>
    </x:xf>
    <x:xf numFmtId="0" fontId="19" fillId="8" borderId="11" xfId="0" applyNumberFormat="1" applyFont="1" applyFill="1" applyBorder="1" applyAlignment="1">
      <x:alignment vertical="center" wrapText="1"/>
    </x:xf>
    <x:xf numFmtId="0" fontId="19" fillId="8" borderId="6" xfId="0" applyNumberFormat="1" applyFont="1" applyFill="1" applyBorder="1" applyAlignment="1">
      <x:alignment vertical="center" wrapText="1"/>
    </x:xf>
    <x:xf numFmtId="0" fontId="19" fillId="8" borderId="12" xfId="0" applyNumberFormat="1" applyFont="1" applyFill="1" applyBorder="1" applyAlignment="1">
      <x:alignment vertical="center" wrapText="1"/>
    </x:xf>
    <x:xf numFmtId="0" fontId="19" fillId="8" borderId="13" xfId="0" applyNumberFormat="1" applyFont="1" applyFill="1" applyBorder="1" applyAlignment="1">
      <x:alignment vertical="center" wrapText="1"/>
    </x:xf>
    <x:xf numFmtId="0" fontId="19" fillId="8" borderId="0" xfId="0" applyNumberFormat="1" applyFont="1" applyFill="1" applyBorder="1" applyAlignment="1">
      <x:alignment vertical="center" wrapText="1"/>
    </x:xf>
    <x:xf numFmtId="0" fontId="19" fillId="8" borderId="14" xfId="0" applyNumberFormat="1" applyFont="1" applyFill="1" applyBorder="1" applyAlignment="1">
      <x:alignment vertical="center" wrapText="1"/>
    </x:xf>
    <x:xf numFmtId="0" fontId="19" fillId="8" borderId="15" xfId="0" applyNumberFormat="1" applyFont="1" applyFill="1" applyBorder="1" applyAlignment="1">
      <x:alignment vertical="center" wrapText="1"/>
    </x:xf>
    <x:xf numFmtId="0" fontId="19" fillId="8" borderId="4" xfId="0" applyNumberFormat="1" applyFont="1" applyFill="1" applyBorder="1" applyAlignment="1">
      <x:alignment vertical="center" wrapText="1"/>
    </x:xf>
    <x:xf numFmtId="0" fontId="19" fillId="8" borderId="16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/>
    <x:xf numFmtId="0" fontId="20" fillId="8" borderId="0" xfId="0" applyNumberFormat="1" applyFont="1" applyFill="1" applyBorder="1"/>
    <x:xf numFmtId="0" fontId="20" fillId="8" borderId="0" xfId="0" applyNumberFormat="1" applyFont="1" applyFill="1" applyBorder="1" applyAlignment="1">
      <x:alignment vertical="center"/>
    </x:xf>
    <x:xf numFmtId="0" fontId="21" fillId="5" borderId="0" xfId="0" applyNumberFormat="1" applyFont="1" applyFill="1" applyBorder="1"/>
    <x:xf numFmtId="0" fontId="21" fillId="5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horizontal="left" vertical="center"/>
    </x:xf>
    <x:xf numFmtId="0" fontId="12" fillId="5" borderId="4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13" fillId="5" borderId="11" xfId="0" applyNumberFormat="1" applyFont="1" applyFill="1" applyBorder="1" applyAlignment="1">
      <x:alignment horizontal="center" vertical="center"/>
    </x:xf>
    <x:xf numFmtId="0" fontId="13" fillId="5" borderId="6" xfId="0" applyNumberFormat="1" applyFont="1" applyFill="1" applyBorder="1" applyAlignment="1">
      <x:alignment horizontal="center" vertical="center"/>
    </x:xf>
    <x:xf numFmtId="0" fontId="13" fillId="5" borderId="12" xfId="0" applyNumberFormat="1" applyFont="1" applyFill="1" applyBorder="1" applyAlignment="1">
      <x:alignment horizontal="center" vertical="center"/>
    </x:xf>
    <x:xf numFmtId="0" fontId="13" fillId="8" borderId="11" xfId="0" applyNumberFormat="1" applyFont="1" applyFill="1" applyBorder="1" applyAlignment="1">
      <x:alignment horizontal="center" vertical="center"/>
    </x:xf>
    <x:xf numFmtId="0" fontId="13" fillId="8" borderId="6" xfId="0" applyNumberFormat="1" applyFont="1" applyFill="1" applyBorder="1" applyAlignment="1">
      <x:alignment horizontal="center" vertical="center"/>
    </x:xf>
    <x:xf numFmtId="0" fontId="13" fillId="8" borderId="12" xfId="0" applyNumberFormat="1" applyFont="1" applyFill="1" applyBorder="1" applyAlignment="1">
      <x:alignment horizontal="center" vertical="center"/>
    </x:xf>
    <x:xf numFmtId="0" fontId="13" fillId="9" borderId="11" xfId="0" applyNumberFormat="1" applyFont="1" applyFill="1" applyBorder="1" applyAlignment="1">
      <x:alignment horizontal="center" vertical="center"/>
    </x:xf>
    <x:xf numFmtId="0" fontId="13" fillId="9" borderId="6" xfId="0" applyNumberFormat="1" applyFont="1" applyFill="1" applyBorder="1" applyAlignment="1">
      <x:alignment horizontal="center" vertical="center"/>
    </x:xf>
    <x:xf numFmtId="0" fontId="13" fillId="9" borderId="12" xfId="0" applyNumberFormat="1" applyFont="1" applyFill="1" applyBorder="1" applyAlignment="1">
      <x:alignment horizontal="center" vertical="center"/>
    </x:xf>
    <x:xf numFmtId="0" fontId="13" fillId="10" borderId="11" xfId="0" applyNumberFormat="1" applyFont="1" applyFill="1" applyBorder="1" applyAlignment="1">
      <x:alignment horizontal="center" vertical="center"/>
    </x:xf>
    <x:xf numFmtId="0" fontId="13" fillId="10" borderId="6" xfId="0" applyNumberFormat="1" applyFont="1" applyFill="1" applyBorder="1" applyAlignment="1">
      <x:alignment horizontal="center" vertical="center"/>
    </x:xf>
    <x:xf numFmtId="0" fontId="13" fillId="10" borderId="12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15" fillId="11" borderId="0" xfId="0" applyNumberFormat="1" applyFont="1" applyFill="1" applyBorder="1" applyAlignment="1">
      <x:alignment horizontal="center" vertical="center"/>
    </x:xf>
    <x:xf numFmtId="0" fontId="16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1" fillId="5" borderId="0" xfId="0" applyNumberFormat="1" applyFont="1" applyFill="1" applyBorder="1" applyAlignment="1">
      <x:alignment vertical="center" wrapText="1"/>
    </x:xf>
    <x:xf numFmtId="0" fontId="22" fillId="12" borderId="0" xfId="0" applyNumberFormat="1" applyFont="1" applyFill="1" applyBorder="1" applyAlignment="1">
      <x:alignment horizontal="left" vertical="center"/>
    </x:xf>
    <x:xf numFmtId="0" fontId="23" fillId="5" borderId="4" xfId="0" applyNumberFormat="1" applyFont="1" applyFill="1" applyBorder="1" applyAlignment="1">
      <x:alignment horizontal="left" vertical="center"/>
    </x:xf>
    <x:xf numFmtId="0" fontId="24" fillId="0" borderId="0" xfId="0" applyNumberFormat="1" applyFont="1" applyFill="1" applyBorder="1" applyAlignment="1">
      <x:alignment vertical="center"/>
    </x:xf>
    <x:xf numFmtId="0" fontId="25" fillId="5" borderId="11" xfId="0" applyNumberFormat="1" applyFont="1" applyFill="1" applyBorder="1" applyAlignment="1">
      <x:alignment horizontal="center" vertical="center"/>
    </x:xf>
    <x:xf numFmtId="0" fontId="25" fillId="5" borderId="6" xfId="0" applyNumberFormat="1" applyFont="1" applyFill="1" applyBorder="1" applyAlignment="1">
      <x:alignment horizontal="center" vertical="center"/>
    </x:xf>
    <x:xf numFmtId="0" fontId="25" fillId="5" borderId="12" xfId="0" applyNumberFormat="1" applyFont="1" applyFill="1" applyBorder="1" applyAlignment="1">
      <x:alignment horizontal="center" vertical="center"/>
    </x:xf>
    <x:xf numFmtId="0" fontId="25" fillId="8" borderId="11" xfId="0" applyNumberFormat="1" applyFont="1" applyFill="1" applyBorder="1" applyAlignment="1">
      <x:alignment horizontal="center" vertical="center"/>
    </x:xf>
    <x:xf numFmtId="0" fontId="25" fillId="8" borderId="6" xfId="0" applyNumberFormat="1" applyFont="1" applyFill="1" applyBorder="1" applyAlignment="1">
      <x:alignment horizontal="center" vertical="center"/>
    </x:xf>
    <x:xf numFmtId="0" fontId="25" fillId="8" borderId="12" xfId="0" applyNumberFormat="1" applyFont="1" applyFill="1" applyBorder="1" applyAlignment="1">
      <x:alignment horizontal="center" vertical="center"/>
    </x:xf>
    <x:xf numFmtId="0" fontId="25" fillId="9" borderId="11" xfId="0" applyNumberFormat="1" applyFont="1" applyFill="1" applyBorder="1" applyAlignment="1">
      <x:alignment horizontal="center" vertical="center"/>
    </x:xf>
    <x:xf numFmtId="0" fontId="25" fillId="9" borderId="6" xfId="0" applyNumberFormat="1" applyFont="1" applyFill="1" applyBorder="1" applyAlignment="1">
      <x:alignment horizontal="center" vertical="center"/>
    </x:xf>
    <x:xf numFmtId="0" fontId="25" fillId="9" borderId="12" xfId="0" applyNumberFormat="1" applyFont="1" applyFill="1" applyBorder="1" applyAlignment="1">
      <x:alignment horizontal="center" vertical="center"/>
    </x:xf>
    <x:xf numFmtId="0" fontId="25" fillId="10" borderId="11" xfId="0" applyNumberFormat="1" applyFont="1" applyFill="1" applyBorder="1" applyAlignment="1">
      <x:alignment horizontal="center" vertical="center"/>
    </x:xf>
    <x:xf numFmtId="0" fontId="25" fillId="10" borderId="6" xfId="0" applyNumberFormat="1" applyFont="1" applyFill="1" applyBorder="1" applyAlignment="1">
      <x:alignment horizontal="center" vertical="center"/>
    </x:xf>
    <x:xf numFmtId="0" fontId="25" fillId="10" borderId="12" xfId="0" applyNumberFormat="1" applyFont="1" applyFill="1" applyBorder="1" applyAlignment="1">
      <x:alignment horizontal="center" vertical="center"/>
    </x:xf>
    <x:xf numFmtId="201" fontId="26" fillId="5" borderId="13" xfId="0" applyNumberFormat="1" applyFont="1" applyFill="1" applyBorder="1" applyAlignment="1">
      <x:alignment horizontal="center" vertical="center"/>
    </x:xf>
    <x:xf numFmtId="201" fontId="26" fillId="5" borderId="0" xfId="0" applyNumberFormat="1" applyFont="1" applyFill="1" applyBorder="1" applyAlignment="1">
      <x:alignment horizontal="center" vertical="center"/>
    </x:xf>
    <x:xf numFmtId="201" fontId="26" fillId="5" borderId="14" xfId="0" applyNumberFormat="1" applyFont="1" applyFill="1" applyBorder="1" applyAlignment="1">
      <x:alignment horizontal="center" vertical="center"/>
    </x:xf>
    <x:xf numFmtId="201" fontId="26" fillId="8" borderId="13" xfId="0" applyNumberFormat="1" applyFont="1" applyFill="1" applyBorder="1" applyAlignment="1">
      <x:alignment horizontal="center" vertical="center"/>
    </x:xf>
    <x:xf numFmtId="201" fontId="26" fillId="8" borderId="0" xfId="0" applyNumberFormat="1" applyFont="1" applyFill="1" applyBorder="1" applyAlignment="1">
      <x:alignment horizontal="center" vertical="center"/>
    </x:xf>
    <x:xf numFmtId="201" fontId="26" fillId="8" borderId="14" xfId="0" applyNumberFormat="1" applyFont="1" applyFill="1" applyBorder="1" applyAlignment="1">
      <x:alignment horizontal="center" vertical="center"/>
    </x:xf>
    <x:xf numFmtId="201" fontId="26" fillId="9" borderId="13" xfId="0" applyNumberFormat="1" applyFont="1" applyFill="1" applyBorder="1" applyAlignment="1">
      <x:alignment horizontal="center" vertical="center"/>
    </x:xf>
    <x:xf numFmtId="201" fontId="26" fillId="9" borderId="0" xfId="0" applyNumberFormat="1" applyFont="1" applyFill="1" applyBorder="1" applyAlignment="1">
      <x:alignment horizontal="center" vertical="center"/>
    </x:xf>
    <x:xf numFmtId="201" fontId="26" fillId="9" borderId="14" xfId="0" applyNumberFormat="1" applyFont="1" applyFill="1" applyBorder="1" applyAlignment="1">
      <x:alignment horizontal="center" vertical="center"/>
    </x:xf>
    <x:xf numFmtId="201" fontId="26" fillId="10" borderId="13" xfId="0" applyNumberFormat="1" applyFont="1" applyFill="1" applyBorder="1" applyAlignment="1">
      <x:alignment horizontal="center" vertical="center"/>
    </x:xf>
    <x:xf numFmtId="201" fontId="26" fillId="10" borderId="0" xfId="0" applyNumberFormat="1" applyFont="1" applyFill="1" applyBorder="1" applyAlignment="1">
      <x:alignment horizontal="center" vertical="center"/>
    </x:xf>
    <x:xf numFmtId="201" fontId="26" fillId="10" borderId="14" xfId="0" applyNumberFormat="1" applyFont="1" applyFill="1" applyBorder="1" applyAlignment="1">
      <x:alignment horizontal="center" vertical="center"/>
    </x:xf>
    <x:xf numFmtId="0" fontId="23" fillId="5" borderId="15" xfId="0" applyNumberFormat="1" applyFont="1" applyFill="1" applyBorder="1" applyAlignment="1">
      <x:alignment horizontal="center" vertical="center" wrapText="1"/>
    </x:xf>
    <x:xf numFmtId="0" fontId="23" fillId="5" borderId="4" xfId="0" applyNumberFormat="1" applyFont="1" applyFill="1" applyBorder="1" applyAlignment="1">
      <x:alignment horizontal="center" vertical="center" wrapText="1"/>
    </x:xf>
    <x:xf numFmtId="0" fontId="23" fillId="5" borderId="16" xfId="0" applyNumberFormat="1" applyFont="1" applyFill="1" applyBorder="1" applyAlignment="1">
      <x:alignment horizontal="center" vertical="center" wrapText="1"/>
    </x:xf>
    <x:xf numFmtId="203" fontId="23" fillId="8" borderId="15" xfId="0" applyNumberFormat="1" applyFont="1" applyFill="1" applyBorder="1" applyAlignment="1">
      <x:alignment horizontal="center" vertical="center" wrapText="1"/>
    </x:xf>
    <x:xf numFmtId="203" fontId="23" fillId="8" borderId="4" xfId="0" applyNumberFormat="1" applyFont="1" applyFill="1" applyBorder="1" applyAlignment="1">
      <x:alignment horizontal="center" vertical="center" wrapText="1"/>
    </x:xf>
    <x:xf numFmtId="203" fontId="23" fillId="8" borderId="16" xfId="0" applyNumberFormat="1" applyFont="1" applyFill="1" applyBorder="1" applyAlignment="1">
      <x:alignment horizontal="center" vertical="center" wrapText="1"/>
    </x:xf>
    <x:xf numFmtId="203" fontId="23" fillId="9" borderId="15" xfId="0" applyNumberFormat="1" applyFont="1" applyFill="1" applyBorder="1" applyAlignment="1">
      <x:alignment horizontal="center" vertical="center" wrapText="1"/>
    </x:xf>
    <x:xf numFmtId="203" fontId="23" fillId="9" borderId="4" xfId="0" applyNumberFormat="1" applyFont="1" applyFill="1" applyBorder="1" applyAlignment="1">
      <x:alignment horizontal="center" vertical="center" wrapText="1"/>
    </x:xf>
    <x:xf numFmtId="203" fontId="23" fillId="9" borderId="16" xfId="0" applyNumberFormat="1" applyFont="1" applyFill="1" applyBorder="1" applyAlignment="1">
      <x:alignment horizontal="center" vertical="center" wrapText="1"/>
    </x:xf>
    <x:xf numFmtId="203" fontId="23" fillId="10" borderId="15" xfId="0" applyNumberFormat="1" applyFont="1" applyFill="1" applyBorder="1" applyAlignment="1">
      <x:alignment horizontal="center" vertical="center" wrapText="1"/>
    </x:xf>
    <x:xf numFmtId="203" fontId="23" fillId="10" borderId="4" xfId="0" applyNumberFormat="1" applyFont="1" applyFill="1" applyBorder="1" applyAlignment="1">
      <x:alignment horizontal="center" vertical="center" wrapText="1"/>
    </x:xf>
    <x:xf numFmtId="203" fontId="23" fillId="10" borderId="16" xfId="0" applyNumberFormat="1" applyFont="1" applyFill="1" applyBorder="1" applyAlignment="1">
      <x:alignment horizontal="center" vertical="center" wrapText="1"/>
    </x:xf>
    <x:xf numFmtId="0" fontId="27" fillId="6" borderId="0" xfId="0" applyNumberFormat="1" applyFont="1" applyFill="1" applyBorder="1" applyAlignment="1">
      <x:alignment horizontal="center" vertical="center"/>
    </x:xf>
    <x:xf numFmtId="0" fontId="28" fillId="11" borderId="0" xfId="0" applyNumberFormat="1" applyFont="1" applyFill="1" applyBorder="1" applyAlignment="1">
      <x:alignment horizontal="center" vertical="center"/>
    </x:xf>
    <x:xf numFmtId="0" fontId="29" fillId="9" borderId="11" xfId="0" applyNumberFormat="1" applyFont="1" applyFill="1" applyBorder="1" applyAlignment="1">
      <x:alignment vertical="center" wrapText="1"/>
    </x:xf>
    <x:xf numFmtId="0" fontId="29" fillId="9" borderId="12" xfId="0" applyNumberFormat="1" applyFont="1" applyFill="1" applyBorder="1" applyAlignment="1">
      <x:alignment vertical="center" wrapText="1"/>
    </x:xf>
    <x:xf numFmtId="0" fontId="30" fillId="14" borderId="11" xfId="0" applyNumberFormat="1" applyFont="1" applyFill="1" applyBorder="1" applyAlignment="1">
      <x:alignment vertical="center" wrapText="1"/>
    </x:xf>
    <x:xf numFmtId="0" fontId="30" fillId="14" borderId="6" xfId="0" applyNumberFormat="1" applyFont="1" applyFill="1" applyBorder="1" applyAlignment="1">
      <x:alignment vertical="center" wrapText="1"/>
    </x:xf>
    <x:xf numFmtId="0" fontId="30" fillId="14" borderId="12" xfId="0" applyNumberFormat="1" applyFont="1" applyFill="1" applyBorder="1" applyAlignment="1">
      <x:alignment vertical="center" wrapText="1"/>
    </x:xf>
    <x:xf numFmtId="0" fontId="31" fillId="9" borderId="11" xfId="0" applyNumberFormat="1" applyFont="1" applyFill="1" applyBorder="1" applyAlignment="1">
      <x:alignment vertical="center" wrapText="1"/>
    </x:xf>
    <x:xf numFmtId="0" fontId="31" fillId="9" borderId="6" xfId="0" applyNumberFormat="1" applyFont="1" applyFill="1" applyBorder="1" applyAlignment="1">
      <x:alignment vertical="center" wrapText="1"/>
    </x:xf>
    <x:xf numFmtId="0" fontId="31" fillId="9" borderId="12" xfId="0" applyNumberFormat="1" applyFont="1" applyFill="1" applyBorder="1" applyAlignment="1">
      <x:alignment vertical="center" wrapText="1"/>
    </x:xf>
    <x:xf numFmtId="0" fontId="32" fillId="8" borderId="11" xfId="0" applyNumberFormat="1" applyFont="1" applyFill="1" applyBorder="1" applyAlignment="1">
      <x:alignment vertical="center" wrapText="1"/>
    </x:xf>
    <x:xf numFmtId="0" fontId="32" fillId="8" borderId="6" xfId="0" applyNumberFormat="1" applyFont="1" applyFill="1" applyBorder="1" applyAlignment="1">
      <x:alignment vertical="center" wrapText="1"/>
    </x:xf>
    <x:xf numFmtId="0" fontId="32" fillId="8" borderId="12" xfId="0" applyNumberFormat="1" applyFont="1" applyFill="1" applyBorder="1" applyAlignment="1">
      <x:alignment vertical="center" wrapText="1"/>
    </x:xf>
    <x:xf numFmtId="0" fontId="29" fillId="9" borderId="15" xfId="0" applyNumberFormat="1" applyFont="1" applyFill="1" applyBorder="1" applyAlignment="1">
      <x:alignment vertical="center" wrapText="1"/>
    </x:xf>
    <x:xf numFmtId="0" fontId="29" fillId="9" borderId="16" xfId="0" applyNumberFormat="1" applyFont="1" applyFill="1" applyBorder="1" applyAlignment="1">
      <x:alignment vertical="center" wrapText="1"/>
    </x:xf>
    <x:xf numFmtId="0" fontId="30" fillId="14" borderId="15" xfId="0" applyNumberFormat="1" applyFont="1" applyFill="1" applyBorder="1" applyAlignment="1">
      <x:alignment vertical="center" wrapText="1"/>
    </x:xf>
    <x:xf numFmtId="0" fontId="30" fillId="14" borderId="4" xfId="0" applyNumberFormat="1" applyFont="1" applyFill="1" applyBorder="1" applyAlignment="1">
      <x:alignment vertical="center" wrapText="1"/>
    </x:xf>
    <x:xf numFmtId="0" fontId="30" fillId="14" borderId="16" xfId="0" applyNumberFormat="1" applyFont="1" applyFill="1" applyBorder="1" applyAlignment="1">
      <x:alignment vertical="center" wrapText="1"/>
    </x:xf>
    <x:xf numFmtId="0" fontId="31" fillId="9" borderId="13" xfId="0" applyNumberFormat="1" applyFont="1" applyFill="1" applyBorder="1" applyAlignment="1">
      <x:alignment vertical="center" wrapText="1"/>
    </x:xf>
    <x:xf numFmtId="0" fontId="31" fillId="9" borderId="0" xfId="0" applyNumberFormat="1" applyFont="1" applyFill="1" applyBorder="1" applyAlignment="1">
      <x:alignment vertical="center" wrapText="1"/>
    </x:xf>
    <x:xf numFmtId="0" fontId="31" fillId="9" borderId="14" xfId="0" applyNumberFormat="1" applyFont="1" applyFill="1" applyBorder="1" applyAlignment="1">
      <x:alignment vertical="center" wrapText="1"/>
    </x:xf>
    <x:xf numFmtId="0" fontId="32" fillId="8" borderId="13" xfId="0" applyNumberFormat="1" applyFont="1" applyFill="1" applyBorder="1" applyAlignment="1">
      <x:alignment vertical="center" wrapText="1"/>
    </x:xf>
    <x:xf numFmtId="0" fontId="32" fillId="8" borderId="0" xfId="0" applyNumberFormat="1" applyFont="1" applyFill="1" applyBorder="1" applyAlignment="1">
      <x:alignment vertical="center" wrapText="1"/>
    </x:xf>
    <x:xf numFmtId="0" fontId="32" fillId="8" borderId="14" xfId="0" applyNumberFormat="1" applyFont="1" applyFill="1" applyBorder="1" applyAlignment="1">
      <x:alignment vertical="center" wrapText="1"/>
    </x:xf>
    <x:xf numFmtId="0" fontId="31" fillId="9" borderId="15" xfId="0" applyNumberFormat="1" applyFont="1" applyFill="1" applyBorder="1" applyAlignment="1">
      <x:alignment vertical="center" wrapText="1"/>
    </x:xf>
    <x:xf numFmtId="0" fontId="31" fillId="9" borderId="4" xfId="0" applyNumberFormat="1" applyFont="1" applyFill="1" applyBorder="1" applyAlignment="1">
      <x:alignment vertical="center" wrapText="1"/>
    </x:xf>
    <x:xf numFmtId="0" fontId="31" fillId="9" borderId="16" xfId="0" applyNumberFormat="1" applyFont="1" applyFill="1" applyBorder="1" applyAlignment="1">
      <x:alignment vertical="center" wrapText="1"/>
    </x:xf>
    <x:xf numFmtId="0" fontId="32" fillId="8" borderId="15" xfId="0" applyNumberFormat="1" applyFont="1" applyFill="1" applyBorder="1" applyAlignment="1">
      <x:alignment vertical="center" wrapText="1"/>
    </x:xf>
    <x:xf numFmtId="0" fontId="32" fillId="8" borderId="4" xfId="0" applyNumberFormat="1" applyFont="1" applyFill="1" applyBorder="1" applyAlignment="1">
      <x:alignment vertical="center" wrapText="1"/>
    </x:xf>
    <x:xf numFmtId="0" fontId="32" fillId="8" borderId="16" xfId="0" applyNumberFormat="1" applyFont="1" applyFill="1" applyBorder="1" applyAlignment="1">
      <x:alignment vertical="center" wrapText="1"/>
    </x:xf>
    <x:xf numFmtId="0" fontId="29" fillId="3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 wrapText="1"/>
    </x:xf>
    <x:xf numFmtId="0" fontId="33" fillId="8" borderId="0" xfId="0" applyNumberFormat="1" applyFont="1" applyFill="1" applyBorder="1" applyAlignment="1">
      <x:alignment vertical="center"/>
    </x:xf>
    <x:xf numFmtId="0" fontId="34" fillId="5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5" fillId="3" borderId="1" xfId="0" applyNumberFormat="1" applyFont="1" applyFill="1" applyBorder="1" applyAlignment="1">
      <x:alignment vertical="center"/>
    </x:xf>
    <x:xf numFmtId="0" fontId="35" fillId="3" borderId="2" xfId="0" applyNumberFormat="1" applyFont="1" applyFill="1" applyBorder="1" applyAlignment="1">
      <x:alignment vertical="center"/>
    </x:xf>
    <x:xf numFmtId="0" fontId="35" fillId="3" borderId="3" xfId="0" applyNumberFormat="1" applyFont="1" applyFill="1" applyBorder="1" applyAlignment="1">
      <x:alignment vertical="center"/>
    </x:xf>
    <x:xf numFmtId="0" fontId="24" fillId="0" borderId="4" xfId="0" applyNumberFormat="1" applyFont="1" applyFill="1" applyBorder="1" applyAlignment="1">
      <x:alignment vertical="center" wrapText="1"/>
    </x:xf>
    <x:xf numFmtId="0" fontId="36" fillId="0" borderId="4" xfId="0" applyNumberFormat="1" applyFont="1" applyFill="1" applyBorder="1" applyAlignment="1">
      <x:alignment vertical="center" wrapText="1"/>
    </x:xf>
    <x:xf numFmtId="0" fontId="24" fillId="0" borderId="5" xfId="0" applyNumberFormat="1" applyFont="1" applyFill="1" applyBorder="1" applyAlignment="1">
      <x:alignment vertical="center" wrapText="1"/>
    </x:xf>
    <x:xf numFmtId="0" fontId="36" fillId="0" borderId="5" xfId="0" applyNumberFormat="1" applyFont="1" applyFill="1" applyBorder="1" applyAlignment="1">
      <x:alignment vertical="center" wrapText="1"/>
    </x:xf>
    <x:xf numFmtId="0" fontId="24" fillId="0" borderId="6" xfId="0" applyNumberFormat="1" applyFont="1" applyFill="1" applyBorder="1" applyAlignment="1">
      <x:alignment vertical="center" wrapText="1"/>
    </x:xf>
    <x:xf numFmtId="0" fontId="36" fillId="0" borderId="6" xfId="0" applyNumberFormat="1" applyFont="1" applyFill="1" applyBorder="1" applyAlignment="1">
      <x:alignment vertical="center" wrapText="1"/>
    </x:xf>
    <x:xf numFmtId="0" fontId="35" fillId="3" borderId="1" xfId="0" applyNumberFormat="1" applyFont="1" applyFill="1" applyBorder="1" applyAlignment="1">
      <x:alignment vertical="center" wrapText="1"/>
    </x:xf>
    <x:xf numFmtId="0" fontId="35" fillId="3" borderId="2" xfId="0" applyNumberFormat="1" applyFont="1" applyFill="1" applyBorder="1" applyAlignment="1">
      <x:alignment vertical="center" wrapText="1"/>
    </x:xf>
    <x:xf numFmtId="0" fontId="35" fillId="3" borderId="3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/>
    </x:xf>
    <x:xf numFmtId="200" fontId="6" fillId="6" borderId="7" xfId="0" applyNumberFormat="1" applyFont="1" applyFill="1" applyBorder="1" applyAlignment="1">
      <x:alignment vertical="center"/>
    </x:xf>
    <x:xf numFmtId="205" fontId="6" fillId="6" borderId="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6" fillId="6" borderId="7" xfId="0" applyNumberFormat="1" applyFont="1" applyFill="1" applyBorder="1" applyAlignment="1">
      <x:alignment vertical="center"/>
    </x:xf>
    <x:xf numFmtId="202" fontId="6" fillId="6" borderId="7" xfId="0" applyNumberFormat="1" applyFont="1" applyFill="1" applyBorder="1" applyAlignment="1">
      <x:alignment vertical="center"/>
    </x:xf>
    <x:xf numFmtId="203" fontId="6" fillId="6" borderId="7" xfId="0" applyNumberFormat="1" applyFont="1" applyFill="1" applyBorder="1" applyAlignment="1">
      <x:alignment vertical="center"/>
    </x:xf>
    <x:xf numFmtId="204" fontId="6" fillId="6" borderId="7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5" fontId="7" fillId="0" borderId="6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0" fontId="37" fillId="5" borderId="0" xfId="0" applyNumberFormat="1" applyFont="1" applyFill="1" applyBorder="1" applyAlignment="1">
      <x:alignment vertical="center" wrapText="1"/>
    </x:xf>
    <x:xf numFmtId="0" fontId="24" fillId="0" borderId="4" xfId="0" applyNumberFormat="1" applyFont="1" applyFill="1" applyBorder="1" applyAlignment="1">
      <x:alignment vertical="center"/>
    </x:xf>
    <x:xf numFmtId="200" fontId="38" fillId="6" borderId="7" xfId="0" applyNumberFormat="1" applyFont="1" applyFill="1" applyBorder="1" applyAlignment="1">
      <x:alignment vertical="center"/>
    </x:xf>
    <x:xf numFmtId="205" fontId="38" fillId="6" borderId="7" xfId="0" applyNumberFormat="1" applyFont="1" applyFill="1" applyBorder="1" applyAlignment="1">
      <x:alignment vertical="center"/>
    </x:xf>
    <x:xf numFmtId="0" fontId="24" fillId="0" borderId="5" xfId="0" applyNumberFormat="1" applyFont="1" applyFill="1" applyBorder="1" applyAlignment="1">
      <x:alignment vertical="center"/>
    </x:xf>
    <x:xf numFmtId="201" fontId="38" fillId="6" borderId="7" xfId="0" applyNumberFormat="1" applyFont="1" applyFill="1" applyBorder="1" applyAlignment="1">
      <x:alignment vertical="center"/>
    </x:xf>
    <x:xf numFmtId="202" fontId="38" fillId="6" borderId="7" xfId="0" applyNumberFormat="1" applyFont="1" applyFill="1" applyBorder="1" applyAlignment="1">
      <x:alignment vertical="center"/>
    </x:xf>
    <x:xf numFmtId="203" fontId="38" fillId="6" borderId="7" xfId="0" applyNumberFormat="1" applyFont="1" applyFill="1" applyBorder="1" applyAlignment="1">
      <x:alignment vertical="center"/>
    </x:xf>
    <x:xf numFmtId="204" fontId="38" fillId="6" borderId="7" xfId="0" applyNumberFormat="1" applyFont="1" applyFill="1" applyBorder="1" applyAlignment="1">
      <x:alignment vertical="center"/>
    </x:xf>
    <x:xf numFmtId="0" fontId="24" fillId="0" borderId="6" xfId="0" applyNumberFormat="1" applyFont="1" applyFill="1" applyBorder="1" applyAlignment="1">
      <x:alignment vertical="center"/>
    </x:xf>
    <x:xf numFmtId="205" fontId="39" fillId="0" borderId="6" xfId="0" applyNumberFormat="1" applyFont="1" applyFill="1" applyBorder="1" applyAlignment="1">
      <x:alignment vertical="center"/>
    </x:xf>
    <x:xf numFmtId="203" fontId="24" fillId="0" borderId="6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2" fontId="8" fillId="0" borderId="4" xfId="0" applyNumberFormat="1" applyFont="1" applyFill="1" applyBorder="1" applyAlignment="1">
      <x:alignment vertical="center"/>
    </x:xf>
    <x:xf numFmtId="206" fontId="8" fillId="0" borderId="5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206" fontId="2" fillId="0" borderId="8" xfId="0" applyNumberFormat="1" applyFont="1" applyFill="1" applyBorder="1" applyAlignment="1">
      <x:alignment vertical="center"/>
    </x:xf>
    <x:xf numFmtId="203" fontId="7" fillId="0" borderId="5" xfId="0" applyNumberFormat="1" applyFont="1" applyFill="1" applyBorder="1" applyAlignment="1">
      <x:alignment vertical="center"/>
    </x:xf>
    <x:xf numFmtId="202" fontId="8" fillId="0" borderId="5" xfId="0" applyNumberFormat="1" applyFont="1" applyFill="1" applyBorder="1" applyAlignment="1">
      <x:alignment vertical="center"/>
    </x:xf>
    <x:xf numFmtId="207" fontId="8" fillId="0" borderId="6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37" fillId="5" borderId="0" xfId="0" applyNumberFormat="1" applyFont="1" applyFill="1" applyBorder="1" applyAlignment="1">
      <x:alignment vertical="center"/>
    </x:xf>
    <x:xf numFmtId="202" fontId="40" fillId="0" borderId="4" xfId="0" applyNumberFormat="1" applyFont="1" applyFill="1" applyBorder="1" applyAlignment="1">
      <x:alignment vertical="center"/>
    </x:xf>
    <x:xf numFmtId="206" fontId="40" fillId="0" borderId="5" xfId="0" applyNumberFormat="1" applyFont="1" applyFill="1" applyBorder="1" applyAlignment="1">
      <x:alignment vertical="center"/>
    </x:xf>
    <x:xf numFmtId="0" fontId="35" fillId="0" borderId="8" xfId="0" applyNumberFormat="1" applyFont="1" applyFill="1" applyBorder="1" applyAlignment="1">
      <x:alignment vertical="center"/>
    </x:xf>
    <x:xf numFmtId="206" fontId="35" fillId="0" borderId="8" xfId="0" applyNumberFormat="1" applyFont="1" applyFill="1" applyBorder="1" applyAlignment="1">
      <x:alignment vertical="center"/>
    </x:xf>
    <x:xf numFmtId="203" fontId="39" fillId="0" borderId="5" xfId="0" applyNumberFormat="1" applyFont="1" applyFill="1" applyBorder="1" applyAlignment="1">
      <x:alignment vertical="center"/>
    </x:xf>
    <x:xf numFmtId="202" fontId="40" fillId="0" borderId="5" xfId="0" applyNumberFormat="1" applyFont="1" applyFill="1" applyBorder="1" applyAlignment="1">
      <x:alignment vertical="center"/>
    </x:xf>
    <x:xf numFmtId="207" fontId="40" fillId="0" borderId="6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 applyAlignment="1">
      <x:alignment vertical="center"/>
    </x:xf>
    <x:xf numFmtId="203" fontId="8" fillId="0" borderId="5" xfId="0" applyNumberFormat="1" applyFont="1" applyFill="1" applyBorder="1" applyAlignment="1">
      <x:alignment vertical="center"/>
    </x:xf>
    <x:xf numFmtId="206" fontId="7" fillId="0" borderId="5" xfId="0" applyNumberFormat="1" applyFont="1" applyFill="1" applyBorder="1" applyAlignment="1">
      <x:alignment vertical="center"/>
    </x:xf>
    <x:xf numFmtId="0" fontId="2" fillId="8" borderId="8" xfId="0" applyNumberFormat="1" applyFont="1" applyFill="1" applyBorder="1" applyAlignment="1">
      <x:alignment vertical="center"/>
    </x:xf>
    <x:xf numFmtId="206" fontId="2" fillId="8" borderId="8" xfId="0" applyNumberFormat="1" applyFont="1" applyFill="1" applyBorder="1" applyAlignment="1">
      <x:alignment vertical="center"/>
    </x:xf>
    <x:xf numFmtId="208" fontId="7" fillId="0" borderId="5" xfId="0" applyNumberFormat="1" applyFont="1" applyFill="1" applyBorder="1" applyAlignment="1">
      <x:alignment vertical="center"/>
    </x:xf>
    <x:xf numFmtId="0" fontId="2" fillId="9" borderId="8" xfId="0" applyNumberFormat="1" applyFont="1" applyFill="1" applyBorder="1" applyAlignment="1">
      <x:alignment vertical="center"/>
    </x:xf>
    <x:xf numFmtId="206" fontId="2" fillId="9" borderId="8" xfId="0" applyNumberFormat="1" applyFont="1" applyFill="1" applyBorder="1" applyAlignment="1">
      <x:alignment vertical="center"/>
    </x:xf>
    <x:xf numFmtId="0" fontId="2" fillId="10" borderId="8" xfId="0" applyNumberFormat="1" applyFont="1" applyFill="1" applyBorder="1" applyAlignment="1">
      <x:alignment vertical="center"/>
    </x:xf>
    <x:xf numFmtId="206" fontId="2" fillId="10" borderId="8" xfId="0" applyNumberFormat="1" applyFont="1" applyFill="1" applyBorder="1" applyAlignment="1">
      <x:alignment vertical="center"/>
    </x:xf>
    <x:xf numFmtId="203" fontId="40" fillId="0" borderId="5" xfId="0" applyNumberFormat="1" applyFont="1" applyFill="1" applyBorder="1" applyAlignment="1">
      <x:alignment vertical="center"/>
    </x:xf>
    <x:xf numFmtId="206" fontId="39" fillId="0" borderId="5" xfId="0" applyNumberFormat="1" applyFont="1" applyFill="1" applyBorder="1" applyAlignment="1">
      <x:alignment vertical="center"/>
    </x:xf>
    <x:xf numFmtId="0" fontId="35" fillId="8" borderId="8" xfId="0" applyNumberFormat="1" applyFont="1" applyFill="1" applyBorder="1" applyAlignment="1">
      <x:alignment vertical="center"/>
    </x:xf>
    <x:xf numFmtId="206" fontId="35" fillId="8" borderId="8" xfId="0" applyNumberFormat="1" applyFont="1" applyFill="1" applyBorder="1" applyAlignment="1">
      <x:alignment vertical="center"/>
    </x:xf>
    <x:xf numFmtId="208" fontId="39" fillId="0" borderId="5" xfId="0" applyNumberFormat="1" applyFont="1" applyFill="1" applyBorder="1" applyAlignment="1">
      <x:alignment vertical="center"/>
    </x:xf>
    <x:xf numFmtId="0" fontId="35" fillId="9" borderId="8" xfId="0" applyNumberFormat="1" applyFont="1" applyFill="1" applyBorder="1" applyAlignment="1">
      <x:alignment vertical="center"/>
    </x:xf>
    <x:xf numFmtId="206" fontId="35" fillId="9" borderId="8" xfId="0" applyNumberFormat="1" applyFont="1" applyFill="1" applyBorder="1" applyAlignment="1">
      <x:alignment vertical="center"/>
    </x:xf>
    <x:xf numFmtId="0" fontId="35" fillId="10" borderId="8" xfId="0" applyNumberFormat="1" applyFont="1" applyFill="1" applyBorder="1" applyAlignment="1">
      <x:alignment vertical="center"/>
    </x:xf>
    <x:xf numFmtId="206" fontId="35" fillId="10" borderId="8" xfId="0" applyNumberFormat="1" applyFont="1" applyFill="1" applyBorder="1" applyAlignment="1">
      <x:alignment vertical="center"/>
    </x:xf>
    <x:xf numFmtId="0" fontId="0" fillId="8" borderId="4" xfId="0" applyNumberFormat="1" applyFont="1" applyFill="1" applyBorder="1" applyAlignment="1">
      <x:alignment vertical="center"/>
    </x:xf>
    <x:xf numFmtId="203" fontId="0" fillId="8" borderId="4" xfId="0" applyNumberFormat="1" applyFont="1" applyFill="1" applyBorder="1" applyAlignment="1">
      <x:alignment vertical="center"/>
    </x:xf>
    <x:xf numFmtId="205" fontId="0" fillId="8" borderId="4" xfId="0" applyNumberFormat="1" applyFont="1" applyFill="1" applyBorder="1" applyAlignment="1">
      <x:alignment vertical="center"/>
    </x:xf>
    <x:xf numFmtId="201" fontId="0" fillId="8" borderId="4" xfId="0" applyNumberFormat="1" applyFont="1" applyFill="1" applyBorder="1" applyAlignment="1">
      <x:alignment vertical="center"/>
    </x:xf>
    <x:xf numFmtId="203" fontId="2" fillId="9" borderId="8" xfId="0" applyNumberFormat="1" applyFont="1" applyFill="1" applyBorder="1" applyAlignment="1">
      <x:alignment vertical="center"/>
    </x:xf>
    <x:xf numFmtId="205" fontId="2" fillId="9" borderId="8" xfId="0" applyNumberFormat="1" applyFont="1" applyFill="1" applyBorder="1" applyAlignment="1">
      <x:alignment vertical="center"/>
    </x:xf>
    <x:xf numFmtId="201" fontId="2" fillId="9" borderId="8" xfId="0" applyNumberFormat="1" applyFont="1" applyFill="1" applyBorder="1" applyAlignment="1">
      <x:alignment vertical="center"/>
    </x:xf>
    <x:xf numFmtId="0" fontId="0" fillId="10" borderId="9" xfId="0" applyNumberFormat="1" applyFont="1" applyFill="1" applyBorder="1" applyAlignment="1">
      <x:alignment vertical="center"/>
    </x:xf>
    <x:xf numFmtId="203" fontId="0" fillId="10" borderId="9" xfId="0" applyNumberFormat="1" applyFont="1" applyFill="1" applyBorder="1" applyAlignment="1">
      <x:alignment vertical="center"/>
    </x:xf>
    <x:xf numFmtId="205" fontId="0" fillId="10" borderId="9" xfId="0" applyNumberFormat="1" applyFont="1" applyFill="1" applyBorder="1" applyAlignment="1">
      <x:alignment vertical="center"/>
    </x:xf>
    <x:xf numFmtId="201" fontId="0" fillId="10" borderId="9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 wrapText="1"/>
    </x:xf>
    <x:xf numFmtId="0" fontId="0" fillId="10" borderId="4" xfId="0" applyNumberFormat="1" applyFont="1" applyFill="1" applyBorder="1" applyAlignment="1">
      <x:alignment vertical="center"/>
    </x:xf>
    <x:xf numFmtId="201" fontId="0" fillId="1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/>
    </x:xf>
    <x:xf numFmtId="201" fontId="0" fillId="6" borderId="5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9" fontId="0" fillId="0" borderId="5" xfId="0" applyNumberFormat="1" applyFont="1" applyFill="1" applyBorder="1" applyAlignment="1">
      <x:alignment vertical="center"/>
    </x:xf>
    <x:xf numFmtId="0" fontId="24" fillId="8" borderId="4" xfId="0" applyNumberFormat="1" applyFont="1" applyFill="1" applyBorder="1" applyAlignment="1">
      <x:alignment vertical="center"/>
    </x:xf>
    <x:xf numFmtId="203" fontId="24" fillId="8" borderId="4" xfId="0" applyNumberFormat="1" applyFont="1" applyFill="1" applyBorder="1" applyAlignment="1">
      <x:alignment vertical="center"/>
    </x:xf>
    <x:xf numFmtId="205" fontId="24" fillId="8" borderId="4" xfId="0" applyNumberFormat="1" applyFont="1" applyFill="1" applyBorder="1" applyAlignment="1">
      <x:alignment vertical="center"/>
    </x:xf>
    <x:xf numFmtId="201" fontId="24" fillId="8" borderId="4" xfId="0" applyNumberFormat="1" applyFont="1" applyFill="1" applyBorder="1" applyAlignment="1">
      <x:alignment vertical="center"/>
    </x:xf>
    <x:xf numFmtId="203" fontId="35" fillId="9" borderId="8" xfId="0" applyNumberFormat="1" applyFont="1" applyFill="1" applyBorder="1" applyAlignment="1">
      <x:alignment vertical="center"/>
    </x:xf>
    <x:xf numFmtId="205" fontId="35" fillId="9" borderId="8" xfId="0" applyNumberFormat="1" applyFont="1" applyFill="1" applyBorder="1" applyAlignment="1">
      <x:alignment vertical="center"/>
    </x:xf>
    <x:xf numFmtId="201" fontId="35" fillId="9" borderId="8" xfId="0" applyNumberFormat="1" applyFont="1" applyFill="1" applyBorder="1" applyAlignment="1">
      <x:alignment vertical="center"/>
    </x:xf>
    <x:xf numFmtId="0" fontId="24" fillId="10" borderId="9" xfId="0" applyNumberFormat="1" applyFont="1" applyFill="1" applyBorder="1" applyAlignment="1">
      <x:alignment vertical="center"/>
    </x:xf>
    <x:xf numFmtId="203" fontId="24" fillId="10" borderId="9" xfId="0" applyNumberFormat="1" applyFont="1" applyFill="1" applyBorder="1" applyAlignment="1">
      <x:alignment vertical="center"/>
    </x:xf>
    <x:xf numFmtId="205" fontId="24" fillId="10" borderId="9" xfId="0" applyNumberFormat="1" applyFont="1" applyFill="1" applyBorder="1" applyAlignment="1">
      <x:alignment vertical="center"/>
    </x:xf>
    <x:xf numFmtId="201" fontId="24" fillId="10" borderId="9" xfId="0" applyNumberFormat="1" applyFont="1" applyFill="1" applyBorder="1" applyAlignment="1">
      <x:alignment vertical="center"/>
    </x:xf>
    <x:xf numFmtId="201" fontId="24" fillId="0" borderId="4" xfId="0" applyNumberFormat="1" applyFont="1" applyFill="1" applyBorder="1" applyAlignment="1">
      <x:alignment vertical="center" wrapText="1"/>
    </x:xf>
    <x:xf numFmtId="0" fontId="24" fillId="10" borderId="4" xfId="0" applyNumberFormat="1" applyFont="1" applyFill="1" applyBorder="1" applyAlignment="1">
      <x:alignment vertical="center"/>
    </x:xf>
    <x:xf numFmtId="201" fontId="24" fillId="10" borderId="4" xfId="0" applyNumberFormat="1" applyFont="1" applyFill="1" applyBorder="1" applyAlignment="1">
      <x:alignment vertical="center"/>
    </x:xf>
    <x:xf numFmtId="201" fontId="24" fillId="0" borderId="5" xfId="0" applyNumberFormat="1" applyFont="1" applyFill="1" applyBorder="1" applyAlignment="1">
      <x:alignment vertical="center" wrapText="1"/>
    </x:xf>
    <x:xf numFmtId="201" fontId="24" fillId="0" borderId="5" xfId="0" applyNumberFormat="1" applyFont="1" applyFill="1" applyBorder="1" applyAlignment="1">
      <x:alignment vertical="center"/>
    </x:xf>
    <x:xf numFmtId="203" fontId="24" fillId="0" borderId="5" xfId="0" applyNumberFormat="1" applyFont="1" applyFill="1" applyBorder="1" applyAlignment="1">
      <x:alignment vertical="center" wrapText="1"/>
    </x:xf>
    <x:xf numFmtId="0" fontId="24" fillId="6" borderId="5" xfId="0" applyNumberFormat="1" applyFont="1" applyFill="1" applyBorder="1" applyAlignment="1">
      <x:alignment vertical="center"/>
    </x:xf>
    <x:xf numFmtId="201" fontId="24" fillId="6" borderId="5" xfId="0" applyNumberFormat="1" applyFont="1" applyFill="1" applyBorder="1" applyAlignment="1">
      <x:alignment vertical="center"/>
    </x:xf>
    <x:xf numFmtId="201" fontId="40" fillId="0" borderId="6" xfId="0" applyNumberFormat="1" applyFont="1" applyFill="1" applyBorder="1" applyAlignment="1">
      <x:alignment vertical="center"/>
    </x:xf>
    <x:xf numFmtId="203" fontId="24" fillId="0" borderId="4" xfId="0" applyNumberFormat="1" applyFont="1" applyFill="1" applyBorder="1" applyAlignment="1">
      <x:alignment vertical="center"/>
    </x:xf>
    <x:xf numFmtId="203" fontId="24" fillId="0" borderId="5" xfId="0" applyNumberFormat="1" applyFont="1" applyFill="1" applyBorder="1" applyAlignment="1">
      <x:alignment vertical="center"/>
    </x:xf>
    <x:xf numFmtId="209" fontId="24" fillId="0" borderId="5" xfId="0" applyNumberFormat="1" applyFont="1" applyFill="1" applyBorder="1" applyAlignment="1">
      <x:alignment vertical="center"/>
    </x:xf>
    <x:xf numFmtId="209" fontId="8" fillId="0" borderId="4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209" fontId="8" fillId="0" borderId="5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209" fontId="8" fillId="0" borderId="6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209" fontId="6" fillId="6" borderId="7" xfId="0" applyNumberFormat="1" applyFont="1" applyFill="1" applyBorder="1" applyAlignment="1">
      <x:alignment vertical="center"/>
    </x:xf>
    <x:xf numFmtId="201" fontId="8" fillId="0" borderId="5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9" fontId="40" fillId="0" borderId="4" xfId="0" applyNumberFormat="1" applyFont="1" applyFill="1" applyBorder="1" applyAlignment="1">
      <x:alignment vertical="center" wrapText="1"/>
    </x:xf>
    <x:xf numFmtId="0" fontId="40" fillId="0" borderId="4" xfId="0" applyNumberFormat="1" applyFont="1" applyFill="1" applyBorder="1" applyAlignment="1">
      <x:alignment vertical="center" wrapText="1"/>
    </x:xf>
    <x:xf numFmtId="209" fontId="40" fillId="0" borderId="5" xfId="0" applyNumberFormat="1" applyFont="1" applyFill="1" applyBorder="1" applyAlignment="1">
      <x:alignment vertical="center" wrapText="1"/>
    </x:xf>
    <x:xf numFmtId="0" fontId="40" fillId="0" borderId="5" xfId="0" applyNumberFormat="1" applyFont="1" applyFill="1" applyBorder="1" applyAlignment="1">
      <x:alignment vertical="center" wrapText="1"/>
    </x:xf>
    <x:xf numFmtId="209" fontId="40" fillId="0" borderId="6" xfId="0" applyNumberFormat="1" applyFont="1" applyFill="1" applyBorder="1" applyAlignment="1">
      <x:alignment vertical="center" wrapText="1"/>
    </x:xf>
    <x:xf numFmtId="0" fontId="40" fillId="0" borderId="6" xfId="0" applyNumberFormat="1" applyFont="1" applyFill="1" applyBorder="1" applyAlignment="1">
      <x:alignment vertical="center" wrapText="1"/>
    </x:xf>
    <x:xf numFmtId="209" fontId="38" fillId="6" borderId="7" xfId="0" applyNumberFormat="1" applyFont="1" applyFill="1" applyBorder="1" applyAlignment="1">
      <x:alignment vertical="center"/>
    </x:xf>
    <x:xf numFmtId="201" fontId="40" fillId="0" borderId="5" xfId="0" applyNumberFormat="1" applyFont="1" applyFill="1" applyBorder="1" applyAlignment="1">
      <x:alignment vertical="center"/>
    </x:xf>
    <x:xf numFmtId="201" fontId="39" fillId="0" borderId="5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11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3" fontId="9" fillId="0" borderId="4" xfId="0" applyNumberFormat="1" applyFont="1" applyFill="1" applyBorder="1" applyAlignment="1">
      <x:alignment vertical="center" wrapText="1"/>
    </x:xf>
    <x:xf numFmtId="201" fontId="9" fillId="0" borderId="5" xfId="0" applyNumberFormat="1" applyFont="1" applyFill="1" applyBorder="1" applyAlignment="1">
      <x:alignment vertical="center" wrapText="1"/>
    </x:xf>
    <x:xf numFmtId="203" fontId="35" fillId="3" borderId="2" xfId="0" applyNumberFormat="1" applyFont="1" applyFill="1" applyBorder="1" applyAlignment="1">
      <x:alignment vertical="center"/>
    </x:xf>
    <x:xf numFmtId="203" fontId="35" fillId="3" borderId="3" xfId="0" applyNumberFormat="1" applyFont="1" applyFill="1" applyBorder="1" applyAlignment="1">
      <x:alignment vertical="center"/>
    </x:xf>
    <x:xf numFmtId="201" fontId="24" fillId="0" borderId="4" xfId="0" applyNumberFormat="1" applyFont="1" applyFill="1" applyBorder="1" applyAlignment="1">
      <x:alignment vertical="center"/>
    </x:xf>
    <x:xf numFmtId="201" fontId="24" fillId="11" borderId="5" xfId="0" applyNumberFormat="1" applyFont="1" applyFill="1" applyBorder="1" applyAlignment="1">
      <x:alignment vertical="center"/>
    </x:xf>
    <x:xf numFmtId="201" fontId="24" fillId="0" borderId="6" xfId="0" applyNumberFormat="1" applyFont="1" applyFill="1" applyBorder="1" applyAlignment="1">
      <x:alignment vertical="center"/>
    </x:xf>
    <x:xf numFmtId="203" fontId="27" fillId="0" borderId="4" xfId="0" applyNumberFormat="1" applyFont="1" applyFill="1" applyBorder="1" applyAlignment="1">
      <x:alignment vertical="center" wrapText="1"/>
    </x:xf>
    <x:xf numFmtId="201" fontId="27" fillId="0" borderId="5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204" fontId="0" fillId="0" borderId="4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0" fontId="27" fillId="0" borderId="4" xfId="0" applyNumberFormat="1" applyFont="1" applyFill="1" applyBorder="1" applyAlignment="1">
      <x:alignment vertical="center" wrapText="1"/>
    </x:xf>
    <x:xf numFmtId="0" fontId="27" fillId="0" borderId="6" xfId="0" applyNumberFormat="1" applyFont="1" applyFill="1" applyBorder="1" applyAlignment="1">
      <x:alignment vertical="center" wrapText="1"/>
    </x:xf>
    <x:xf numFmtId="204" fontId="24" fillId="0" borderId="4" xfId="0" applyNumberFormat="1" applyFont="1" applyFill="1" applyBorder="1" applyAlignment="1">
      <x:alignment vertical="center"/>
    </x:xf>
    <x:xf numFmtId="204" fontId="24" fillId="0" borderId="5" xfId="0" applyNumberFormat="1" applyFont="1" applyFill="1" applyBorder="1" applyAlignment="1">
      <x:alignment vertical="center"/>
    </x:xf>
    <x:xf numFmtId="204" fontId="24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32e358e744842" /><Relationship Type="http://schemas.openxmlformats.org/officeDocument/2006/relationships/theme" Target="/xl/theme/theme1.xml" Id="Ra92c68bde5d64cf9" /><Relationship Type="http://schemas.openxmlformats.org/officeDocument/2006/relationships/sharedStrings" Target="/xl/sharedStrings.xml" Id="R413ebdb4e94145d1" /><Relationship Type="http://schemas.openxmlformats.org/officeDocument/2006/relationships/worksheet" Target="/xl/worksheets/sheet1.xml" Id="Rd72b85d6c4be4f70" /><Relationship Type="http://schemas.openxmlformats.org/officeDocument/2006/relationships/worksheet" Target="/xl/worksheets/sheet2.xml" Id="R68b7f6e73dd44987" /><Relationship Type="http://schemas.openxmlformats.org/officeDocument/2006/relationships/worksheet" Target="/xl/worksheets/sheet3.xml" Id="R388865fbdd314ed0" /><Relationship Type="http://schemas.openxmlformats.org/officeDocument/2006/relationships/worksheet" Target="/xl/worksheets/sheet4.xml" Id="R3c5cdbdf095a4099" /><Relationship Type="http://schemas.openxmlformats.org/officeDocument/2006/relationships/worksheet" Target="/xl/worksheets/sheet5.xml" Id="Re2e1225e33834360" /><Relationship Type="http://schemas.openxmlformats.org/officeDocument/2006/relationships/worksheet" Target="/xl/worksheets/sheet6.xml" Id="Ra32ee9f801f44a2c" /><Relationship Type="http://schemas.openxmlformats.org/officeDocument/2006/relationships/worksheet" Target="/xl/worksheets/sheet7.xml" Id="R65c22149821d4c1a" /><Relationship Type="http://schemas.openxmlformats.org/officeDocument/2006/relationships/worksheet" Target="/xl/worksheets/sheet8.xml" Id="R6ec0ba83cc304013" /><Relationship Type="http://schemas.openxmlformats.org/officeDocument/2006/relationships/worksheet" Target="/xl/worksheets/sheet9.xml" Id="Rfd2b7f1bfae14db9" /><Relationship Type="http://schemas.microsoft.com/office/2017/10/relationships/person" Target="/xl/persons/person.xml" Id="R9df81574279140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36a632c5ce4d49" /><Relationship Type="http://schemas.openxmlformats.org/officeDocument/2006/relationships/chart" Target="/xl/drawings/charts/chart2.xml" Id="R51c87735695b4a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FCFE scenario values vs. $16.29 market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Value / share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'DCF'!$A$4:$A$6</c:f>
              <c:strCache>
                <c:ptCount val="0"/>
              </c:strCache>
            </c:strRef>
          </c:cat>
          <c:val>
            <c:numRef>
              <c:f>'DCF'!$G$4:$G$6</c:f>
              <c:numCache>
                <c:formatCode>$0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Base case: $12.2bn to $19.2bn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ser>
          <c:idx val="0"/>
          <c:order val="0"/>
          <c:tx>
            <c:v>Network Volume</c:v>
          </c:tx>
          <c:spPr>
            <a:solidFill xmlns:a="http://schemas.openxmlformats.org/drawingml/2006/main">
              <a:srgbClr val="548235"/>
            </a:solidFill>
          </c:spPr>
          <c:marker>
            <c:symbol val="none"/>
          </c:marker>
          <c:cat>
            <c:strRef>
              <c:f>'Forecast'!$B$19:$G$19</c:f>
              <c:strCache>
                <c:ptCount val="0"/>
              </c:strCache>
            </c:strRef>
          </c:cat>
          <c:val>
            <c:numRef>
              <c:f>'Forecast'!$B$20:$G$20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36a632c5ce4d49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c87735695b4a4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Henry Adams" id="{66AC7B57-2B18-4DB3-BC2B-C27B905384F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9a5466312a42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3" t="str">
        <x:v>Pagaya Technologies | NASDAQ: PGY</x:v>
      </x:c>
      <x:c r="B1" s="3" t="str">
        <x:v>Pagaya Technologies | NASDAQ: PGY</x:v>
      </x:c>
      <x:c r="C1" s="3" t="str">
        <x:v>Pagaya Technologies | NASDAQ: PGY</x:v>
      </x:c>
      <x:c r="D1" s="3" t="str">
        <x:v>Pagaya Technologies | NASDAQ: PGY</x:v>
      </x:c>
      <x:c r="E1" s="3" t="str">
        <x:v>Pagaya Technologies | NASDAQ: PGY</x:v>
      </x:c>
      <x:c r="F1" s="3" t="str">
        <x:v>Pagaya Technologies | NASDAQ: PGY</x:v>
      </x:c>
      <x:c r="G1" s="3" t="str">
        <x:v>Pagaya Technologies | NASDAQ: PGY</x:v>
      </x:c>
      <x:c r="H1" s="3" t="str">
        <x:v>Pagaya Technologies | NASDAQ: PGY</x:v>
      </x:c>
      <x:c r="I1" s="3" t="str">
        <x:v>Pagaya Technologies | NASDAQ: PGY</x:v>
      </x:c>
      <x:c r="J1" s="3" t="str">
        <x:v>Pagaya Technologies | NASDAQ: PGY</x:v>
      </x:c>
      <x:c r="K1" s="3" t="str">
        <x:v>Pagaya Technologies | NASDAQ: PGY</x:v>
      </x:c>
      <x:c r="L1" s="3" t="str">
        <x:v>Pagaya Technologies | NASDAQ: PGY</x:v>
      </x:c>
    </x:row>
    <x:row r="2" ht="30" customHeight="1">
      <x:c r="A2" s="3" t="str">
        <x:v>Pagaya Technologies | NASDAQ: PGY</x:v>
      </x:c>
      <x:c r="B2" s="3" t="str">
        <x:v>Pagaya Technologies | NASDAQ: PGY</x:v>
      </x:c>
      <x:c r="C2" s="3" t="str">
        <x:v>Pagaya Technologies | NASDAQ: PGY</x:v>
      </x:c>
      <x:c r="D2" s="3" t="str">
        <x:v>Pagaya Technologies | NASDAQ: PGY</x:v>
      </x:c>
      <x:c r="E2" s="3" t="str">
        <x:v>Pagaya Technologies | NASDAQ: PGY</x:v>
      </x:c>
      <x:c r="F2" s="3" t="str">
        <x:v>Pagaya Technologies | NASDAQ: PGY</x:v>
      </x:c>
      <x:c r="G2" s="3" t="str">
        <x:v>Pagaya Technologies | NASDAQ: PGY</x:v>
      </x:c>
      <x:c r="H2" s="3" t="str">
        <x:v>Pagaya Technologies | NASDAQ: PGY</x:v>
      </x:c>
      <x:c r="I2" s="3" t="str">
        <x:v>Pagaya Technologies | NASDAQ: PGY</x:v>
      </x:c>
      <x:c r="J2" s="3" t="str">
        <x:v>Pagaya Technologies | NASDAQ: PGY</x:v>
      </x:c>
      <x:c r="K2" s="3" t="str">
        <x:v>Pagaya Technologies | NASDAQ: PGY</x:v>
      </x:c>
      <x:c r="L2" s="3" t="str">
        <x:v>Pagaya Technologies | NASDAQ: PGY</x:v>
      </x:c>
    </x:row>
    <x:row r="3">
      <x:c r="A3" s="367" t="str">
        <x:v>Equity valuation • Risk-retention FCFE • USD per share • Valuation date 23 July 2026</x:v>
      </x:c>
      <x:c r="B3" s="367"/>
      <x:c r="C3" s="367"/>
      <x:c r="D3" s="367"/>
      <x:c r="E3" s="367"/>
      <x:c r="F3" s="367"/>
      <x:c r="G3" s="367"/>
      <x:c r="H3" s="367"/>
      <x:c r="I3" s="367"/>
      <x:c r="J3" s="367"/>
      <x:c r="K3" s="367"/>
      <x:c r="L3" s="367"/>
    </x:row>
    <x:row r="4">
      <x:c r="A4" s="368" t="str">
        <x:v>Prepared by: Henry Adams</x:v>
      </x:c>
      <x:c r="B4" s="368"/>
      <x:c r="C4" s="368" t="str">
        <x:v>Valuation date: 2026-07-23</x:v>
      </x:c>
      <x:c r="D4" s="368"/>
      <x:c r="E4" s="368" t="str">
        <x:v>Market snapshot: 2026-07-23 15:37 EDT</x:v>
      </x:c>
      <x:c r="F4" s="368"/>
      <x:c r="G4" s="368"/>
      <x:c r="H4" s="368" t="str">
        <x:v>Status: locally verified • screen-grade</x:v>
      </x:c>
      <x:c r="I4" s="368"/>
      <x:c r="J4" s="368"/>
      <x:c r="K4" s="368" t="str">
        <x:v>Version: v2</x:v>
      </x:c>
      <x:c r="L4" s="368"/>
    </x:row>
    <x:row r="5" ht="8" customHeight="1">
      <x:c r="A5" s="369"/>
      <x:c r="B5" s="369"/>
      <x:c r="C5" s="369"/>
      <x:c r="D5" s="369"/>
      <x:c r="E5" s="369"/>
      <x:c r="F5" s="369"/>
      <x:c r="G5" s="369"/>
      <x:c r="H5" s="369"/>
      <x:c r="I5" s="369"/>
      <x:c r="J5" s="369"/>
      <x:c r="K5" s="369"/>
      <x:c r="L5" s="369"/>
    </x:row>
    <x:row r="6" ht="22" customHeight="1">
      <x:c r="A6" s="370" t="str">
        <x:v>Current price • intraday</x:v>
      </x:c>
      <x:c r="B6" s="371"/>
      <x:c r="C6" s="372"/>
      <x:c r="D6" s="373" t="str">
        <x:v>Bear value • downside</x:v>
      </x:c>
      <x:c r="E6" s="374"/>
      <x:c r="F6" s="375"/>
      <x:c r="G6" s="376" t="str">
        <x:v>Base value • upside</x:v>
      </x:c>
      <x:c r="H6" s="377"/>
      <x:c r="I6" s="378"/>
      <x:c r="J6" s="379" t="str">
        <x:v>Bull value • upside</x:v>
      </x:c>
      <x:c r="K6" s="380"/>
      <x:c r="L6" s="381"/>
    </x:row>
    <x:row r="7" ht="22" customHeight="1">
      <x:c r="A7" s="382" t="n">
        <x:f>'Assumptions'!$B$6</x:f>
        <x:v>16.29</x:v>
      </x:c>
      <x:c r="B7" s="383"/>
      <x:c r="C7" s="384"/>
      <x:c r="D7" s="385" t="n">
        <x:f>'DCF'!$G$4</x:f>
        <x:v>10.214455612480247</x:v>
      </x:c>
      <x:c r="E7" s="386"/>
      <x:c r="F7" s="387"/>
      <x:c r="G7" s="388" t="n">
        <x:f>'DCF'!$G$5</x:f>
        <x:v>22.33952657796704</x:v>
      </x:c>
      <x:c r="H7" s="389"/>
      <x:c r="I7" s="390"/>
      <x:c r="J7" s="391" t="n">
        <x:f>'DCF'!$G$6</x:f>
        <x:v>38.911619119110256</x:v>
      </x:c>
      <x:c r="K7" s="392"/>
      <x:c r="L7" s="393"/>
    </x:row>
    <x:row r="8" ht="22" customHeight="1">
      <x:c r="A8" s="382"/>
      <x:c r="B8" s="383"/>
      <x:c r="C8" s="384"/>
      <x:c r="D8" s="385"/>
      <x:c r="E8" s="386"/>
      <x:c r="F8" s="387"/>
      <x:c r="G8" s="388"/>
      <x:c r="H8" s="389"/>
      <x:c r="I8" s="390"/>
      <x:c r="J8" s="391"/>
      <x:c r="K8" s="392"/>
      <x:c r="L8" s="393"/>
    </x:row>
    <x:row r="9" ht="22" customHeight="1">
      <x:c r="A9" s="382"/>
      <x:c r="B9" s="383"/>
      <x:c r="C9" s="384"/>
      <x:c r="D9" s="385"/>
      <x:c r="E9" s="386"/>
      <x:c r="F9" s="387"/>
      <x:c r="G9" s="388"/>
      <x:c r="H9" s="389"/>
      <x:c r="I9" s="390"/>
      <x:c r="J9" s="391"/>
      <x:c r="K9" s="392"/>
      <x:c r="L9" s="393"/>
    </x:row>
    <x:row r="10" ht="22" customHeight="1">
      <x:c r="A10" s="394" t="str">
        <x:v>15:37 EDT • Source S4</x:v>
      </x:c>
      <x:c r="B10" s="395"/>
      <x:c r="C10" s="396"/>
      <x:c r="D10" s="397" t="n">
        <x:f>'DCF'!$H$4</x:f>
        <x:v>-0.37296159530508</x:v>
      </x:c>
      <x:c r="E10" s="398"/>
      <x:c r="F10" s="399"/>
      <x:c r="G10" s="400" t="n">
        <x:f>'DCF'!$H$5</x:f>
        <x:v>0.3713644308144284</x:v>
      </x:c>
      <x:c r="H10" s="401"/>
      <x:c r="I10" s="402"/>
      <x:c r="J10" s="403" t="n">
        <x:f>'DCF'!$H$6</x:f>
        <x:v>1.388681345556185</x:v>
      </x:c>
      <x:c r="K10" s="404"/>
      <x:c r="L10" s="405"/>
    </x:row>
    <x:row r="11">
      <x:c r="A11" s="369"/>
      <x:c r="B11" s="369"/>
      <x:c r="C11" s="369"/>
      <x:c r="D11" s="369"/>
      <x:c r="E11" s="369"/>
      <x:c r="F11" s="369"/>
      <x:c r="G11" s="369"/>
      <x:c r="H11" s="369"/>
      <x:c r="I11" s="369"/>
      <x:c r="J11" s="369"/>
      <x:c r="K11" s="369"/>
      <x:c r="L11" s="369"/>
    </x:row>
    <x:row r="12">
      <x:c r="A12" s="34" t="str">
        <x:v>Investment posture</x:v>
      </x:c>
      <x:c r="B12" s="34"/>
      <x:c r="C12" s="406" t="str">
        <x:v>WATCHLIST / WAIT FOR PROOF</x:v>
      </x:c>
      <x:c r="D12" s="406"/>
      <x:c r="E12" s="406"/>
      <x:c r="F12" s="406"/>
      <x:c r="G12" s="34" t="str">
        <x:v>Model status</x:v>
      </x:c>
      <x:c r="H12" s="34"/>
      <x:c r="I12" s="407" t="str">
        <x:f>'Checks'!$B$4</x:f>
        <x:v>PASS</x:v>
      </x:c>
      <x:c r="J12" s="407"/>
      <x:c r="K12" s="407"/>
      <x:c r="L12" s="407"/>
    </x:row>
    <x:row r="13">
      <x:c r="A13" s="369"/>
      <x:c r="B13" s="369"/>
      <x:c r="C13" s="369"/>
      <x:c r="D13" s="369"/>
      <x:c r="E13" s="369"/>
      <x:c r="F13" s="369"/>
      <x:c r="G13" s="369"/>
      <x:c r="H13" s="369"/>
      <x:c r="I13" s="369"/>
      <x:c r="J13" s="369"/>
      <x:c r="K13" s="369"/>
      <x:c r="L13" s="369"/>
    </x:row>
    <x:row r="14" ht="23" customHeight="1">
      <x:c r="A14" s="34" t="str">
        <x:v>Investment view</x:v>
      </x:c>
      <x:c r="B14" s="34"/>
      <x:c r="C14" s="34"/>
      <x:c r="D14" s="34"/>
      <x:c r="E14" s="34"/>
      <x:c r="F14" s="34"/>
      <x:c r="G14" s="253" t="str">
        <x:v>Catalysts / proof</x:v>
      </x:c>
      <x:c r="H14" s="253"/>
      <x:c r="I14" s="253"/>
      <x:c r="J14" s="26" t="str">
        <x:v>Risks / thesis breaks</x:v>
      </x:c>
      <x:c r="K14" s="26"/>
      <x:c r="L14" s="26"/>
    </x:row>
    <x:row r="15" ht="23" customHeight="1">
      <x:c r="A15" s="408" t="str">
        <x:v>What is priced in</x:v>
      </x:c>
      <x:c r="B15" s="409"/>
      <x:c r="C15" s="410" t="str">
        <x:v>At $16.29, the base operating path implies roughly a 17.6% cost of equity versus the model's 14% base hurdle. This is a model-derived reverse-DCF inference, not quoted consensus.</x:v>
      </x:c>
      <x:c r="D15" s="411"/>
      <x:c r="E15" s="411"/>
      <x:c r="F15" s="412"/>
      <x:c r="G15" s="413" t="str">
        <x:v>Q2 2026 on 30 July • Network Volume, FRLPC %, GAAP profit, cash conversion, and retained-capital intensity.</x:v>
      </x:c>
      <x:c r="H15" s="414"/>
      <x:c r="I15" s="415"/>
      <x:c r="J15" s="416" t="str">
        <x:v>Funding spreads, credit marks, or retained-capital needs rise faster than fee economics and operating leverage.</x:v>
      </x:c>
      <x:c r="K15" s="417"/>
      <x:c r="L15" s="418"/>
    </x:row>
    <x:row r="16" ht="23" customHeight="1">
      <x:c r="A16" s="419"/>
      <x:c r="B16" s="420"/>
      <x:c r="C16" s="421"/>
      <x:c r="D16" s="422"/>
      <x:c r="E16" s="422"/>
      <x:c r="F16" s="423"/>
      <x:c r="G16" s="424"/>
      <x:c r="H16" s="425"/>
      <x:c r="I16" s="426"/>
      <x:c r="J16" s="427"/>
      <x:c r="K16" s="428"/>
      <x:c r="L16" s="429"/>
    </x:row>
    <x:row r="17" ht="23" customHeight="1">
      <x:c r="A17" s="408" t="str">
        <x:v>Variant wedge</x:v>
      </x:c>
      <x:c r="B17" s="409"/>
      <x:c r="C17" s="410" t="str">
        <x:v>Pagaya can hold FRLPC near the mid-4% range while normalized owner earnings grow faster than Network Volume and funding execution remains durable.</x:v>
      </x:c>
      <x:c r="D17" s="411"/>
      <x:c r="E17" s="411"/>
      <x:c r="F17" s="412"/>
      <x:c r="G17" s="430"/>
      <x:c r="H17" s="431"/>
      <x:c r="I17" s="432"/>
      <x:c r="J17" s="433"/>
      <x:c r="K17" s="434"/>
      <x:c r="L17" s="435"/>
    </x:row>
    <x:row r="18" ht="23" customHeight="1">
      <x:c r="A18" s="419"/>
      <x:c r="B18" s="420"/>
      <x:c r="C18" s="421"/>
      <x:c r="D18" s="422"/>
      <x:c r="E18" s="422"/>
      <x:c r="F18" s="423"/>
      <x:c r="G18" s="413" t="str">
        <x:v>Funding proof • The 16 July $750mm auto ABS transaction was Pagaya's largest auto deal to date; the next test is pricing and repeatability.</x:v>
      </x:c>
      <x:c r="H18" s="414"/>
      <x:c r="I18" s="415"/>
      <x:c r="J18" s="416" t="str">
        <x:v>Volume growth misses the low end of guidance or FRLPC falls below the mid-4% range before owner-earnings conversion improves.</x:v>
      </x:c>
      <x:c r="K18" s="417"/>
      <x:c r="L18" s="418"/>
    </x:row>
    <x:row r="19" ht="23" customHeight="1">
      <x:c r="A19" s="408" t="str">
        <x:v>What must be true</x:v>
      </x:c>
      <x:c r="B19" s="409"/>
      <x:c r="C19" s="410" t="str">
        <x:v>FRLPC near 4.5%; normalized net-income conversion rising toward 34%; incremental risk-retention equity near 1.5% of volume growth.</x:v>
      </x:c>
      <x:c r="D19" s="411"/>
      <x:c r="E19" s="411"/>
      <x:c r="F19" s="412"/>
      <x:c r="G19" s="424"/>
      <x:c r="H19" s="425"/>
      <x:c r="I19" s="426"/>
      <x:c r="J19" s="427"/>
      <x:c r="K19" s="428"/>
      <x:c r="L19" s="429"/>
    </x:row>
    <x:row r="20" ht="23" customHeight="1">
      <x:c r="A20" s="419"/>
      <x:c r="B20" s="420"/>
      <x:c r="C20" s="421"/>
      <x:c r="D20" s="422"/>
      <x:c r="E20" s="422"/>
      <x:c r="F20" s="423"/>
      <x:c r="G20" s="430"/>
      <x:c r="H20" s="431"/>
      <x:c r="I20" s="432"/>
      <x:c r="J20" s="433"/>
      <x:c r="K20" s="434"/>
      <x:c r="L20" s="435"/>
    </x:row>
    <x:row r="21">
      <x:c r="A21" s="369"/>
      <x:c r="B21" s="369"/>
      <x:c r="C21" s="369"/>
      <x:c r="D21" s="369"/>
      <x:c r="E21" s="369"/>
      <x:c r="F21" s="369"/>
      <x:c r="G21" s="369"/>
      <x:c r="H21" s="369"/>
      <x:c r="I21" s="369"/>
      <x:c r="J21" s="369"/>
      <x:c r="K21" s="369"/>
      <x:c r="L21" s="369"/>
    </x:row>
    <x:row r="22" ht="22" customHeight="1">
      <x:c r="A22" s="34" t="str">
        <x:v>Scenario value per share ($)</x:v>
      </x:c>
      <x:c r="B22" s="34"/>
      <x:c r="C22" s="34"/>
      <x:c r="D22" s="34"/>
      <x:c r="E22" s="34"/>
      <x:c r="F22" s="34"/>
      <x:c r="G22" s="34" t="str">
        <x:v>Base Network Volume path ($bn)</x:v>
      </x:c>
      <x:c r="H22" s="34"/>
      <x:c r="I22" s="34"/>
      <x:c r="J22" s="34"/>
      <x:c r="K22" s="34"/>
      <x:c r="L22" s="34"/>
    </x:row>
    <x:row r="23">
      <x:c r="A23" s="369"/>
      <x:c r="B23" s="369"/>
      <x:c r="C23" s="369"/>
      <x:c r="D23" s="369"/>
      <x:c r="E23" s="369"/>
      <x:c r="F23" s="369"/>
      <x:c r="G23" s="369"/>
      <x:c r="H23" s="369"/>
      <x:c r="I23" s="369"/>
      <x:c r="J23" s="369"/>
      <x:c r="K23" s="369"/>
      <x:c r="L23" s="369"/>
    </x:row>
    <x:row r="24">
      <x:c r="A24" s="369"/>
      <x:c r="B24" s="369"/>
      <x:c r="C24" s="369"/>
      <x:c r="D24" s="369"/>
      <x:c r="E24" s="369"/>
      <x:c r="F24" s="369"/>
      <x:c r="G24" s="369"/>
      <x:c r="H24" s="369"/>
      <x:c r="I24" s="369"/>
      <x:c r="J24" s="369"/>
      <x:c r="K24" s="369"/>
      <x:c r="L24" s="369"/>
    </x:row>
    <x:row r="25">
      <x:c r="A25" s="369"/>
      <x:c r="B25" s="369"/>
      <x:c r="C25" s="369"/>
      <x:c r="D25" s="369"/>
      <x:c r="E25" s="369"/>
      <x:c r="F25" s="369"/>
      <x:c r="G25" s="369"/>
      <x:c r="H25" s="369"/>
      <x:c r="I25" s="369"/>
      <x:c r="J25" s="369"/>
      <x:c r="K25" s="369"/>
      <x:c r="L25" s="369"/>
    </x:row>
    <x:row r="26">
      <x:c r="A26" s="369"/>
      <x:c r="B26" s="369"/>
      <x:c r="C26" s="369"/>
      <x:c r="D26" s="369"/>
      <x:c r="E26" s="369"/>
      <x:c r="F26" s="369"/>
      <x:c r="G26" s="369"/>
      <x:c r="H26" s="369"/>
      <x:c r="I26" s="369"/>
      <x:c r="J26" s="369"/>
      <x:c r="K26" s="369"/>
      <x:c r="L26" s="369"/>
    </x:row>
    <x:row r="27">
      <x:c r="A27" s="369"/>
      <x:c r="B27" s="369"/>
      <x:c r="C27" s="369"/>
      <x:c r="D27" s="369"/>
      <x:c r="E27" s="369"/>
      <x:c r="F27" s="369"/>
      <x:c r="G27" s="369"/>
      <x:c r="H27" s="369"/>
      <x:c r="I27" s="369"/>
      <x:c r="J27" s="369"/>
      <x:c r="K27" s="369"/>
      <x:c r="L27" s="369"/>
    </x:row>
    <x:row r="28">
      <x:c r="A28" s="369"/>
      <x:c r="B28" s="369"/>
      <x:c r="C28" s="369"/>
      <x:c r="D28" s="369"/>
      <x:c r="E28" s="369"/>
      <x:c r="F28" s="369"/>
      <x:c r="G28" s="369"/>
      <x:c r="H28" s="369"/>
      <x:c r="I28" s="369"/>
      <x:c r="J28" s="369"/>
      <x:c r="K28" s="369"/>
      <x:c r="L28" s="369"/>
    </x:row>
    <x:row r="29">
      <x:c r="A29" s="369"/>
      <x:c r="B29" s="369"/>
      <x:c r="C29" s="369"/>
      <x:c r="D29" s="369"/>
      <x:c r="E29" s="369"/>
      <x:c r="F29" s="369"/>
      <x:c r="G29" s="369"/>
      <x:c r="H29" s="369"/>
      <x:c r="I29" s="369"/>
      <x:c r="J29" s="369"/>
      <x:c r="K29" s="369"/>
      <x:c r="L29" s="369"/>
    </x:row>
    <x:row r="30">
      <x:c r="A30" s="369"/>
      <x:c r="B30" s="369"/>
      <x:c r="C30" s="369"/>
      <x:c r="D30" s="369"/>
      <x:c r="E30" s="369"/>
      <x:c r="F30" s="369"/>
      <x:c r="G30" s="369"/>
      <x:c r="H30" s="369"/>
      <x:c r="I30" s="369"/>
      <x:c r="J30" s="369"/>
      <x:c r="K30" s="369"/>
      <x:c r="L30" s="369"/>
    </x:row>
    <x:row r="31">
      <x:c r="A31" s="369"/>
      <x:c r="B31" s="369"/>
      <x:c r="C31" s="369"/>
      <x:c r="D31" s="369"/>
      <x:c r="E31" s="369"/>
      <x:c r="F31" s="369"/>
      <x:c r="G31" s="369"/>
      <x:c r="H31" s="369"/>
      <x:c r="I31" s="369"/>
      <x:c r="J31" s="369"/>
      <x:c r="K31" s="369"/>
      <x:c r="L31" s="369"/>
    </x:row>
    <x:row r="32">
      <x:c r="A32" s="369"/>
      <x:c r="B32" s="369"/>
      <x:c r="C32" s="369"/>
      <x:c r="D32" s="369"/>
      <x:c r="E32" s="369"/>
      <x:c r="F32" s="369"/>
      <x:c r="G32" s="369"/>
      <x:c r="H32" s="369"/>
      <x:c r="I32" s="369"/>
      <x:c r="J32" s="369"/>
      <x:c r="K32" s="369"/>
      <x:c r="L32" s="369"/>
    </x:row>
    <x:row r="33">
      <x:c r="A33" s="369"/>
      <x:c r="B33" s="369"/>
      <x:c r="C33" s="369"/>
      <x:c r="D33" s="369"/>
      <x:c r="E33" s="369"/>
      <x:c r="F33" s="369"/>
      <x:c r="G33" s="369"/>
      <x:c r="H33" s="369"/>
      <x:c r="I33" s="369"/>
      <x:c r="J33" s="369"/>
      <x:c r="K33" s="369"/>
      <x:c r="L33" s="369"/>
    </x:row>
    <x:row r="34">
      <x:c r="A34" s="369"/>
      <x:c r="B34" s="369"/>
      <x:c r="C34" s="369"/>
      <x:c r="D34" s="369"/>
      <x:c r="E34" s="369"/>
      <x:c r="F34" s="369"/>
      <x:c r="G34" s="369"/>
      <x:c r="H34" s="369"/>
      <x:c r="I34" s="369"/>
      <x:c r="J34" s="369"/>
      <x:c r="K34" s="369"/>
      <x:c r="L34" s="369"/>
    </x:row>
    <x:row r="35">
      <x:c r="A35" s="369"/>
      <x:c r="B35" s="369"/>
      <x:c r="C35" s="369"/>
      <x:c r="D35" s="369"/>
      <x:c r="E35" s="369"/>
      <x:c r="F35" s="369"/>
      <x:c r="G35" s="369"/>
      <x:c r="H35" s="369"/>
      <x:c r="I35" s="369"/>
      <x:c r="J35" s="369"/>
      <x:c r="K35" s="369"/>
      <x:c r="L35" s="369"/>
    </x:row>
    <x:row r="36" ht="22" customHeight="1">
      <x:c r="A36" s="34" t="str">
        <x:v>Method comparison, conventions, and limitations</x:v>
      </x:c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</x:row>
    <x:row r="37" ht="30" customHeight="1">
      <x:c r="A37" s="436" t="str">
        <x:v>Primary method</x:v>
      </x:c>
      <x:c r="B37" s="436"/>
      <x:c r="C37" s="437" t="str">
        <x:v>Risk-retention FCFE: $10.21 bear / $22.34 base / $38.91 bull</x:v>
      </x:c>
      <x:c r="D37" s="437"/>
      <x:c r="E37" s="437"/>
      <x:c r="F37" s="437"/>
      <x:c r="G37" s="436" t="str">
        <x:v>Corroboration</x:v>
      </x:c>
      <x:c r="H37" s="436"/>
      <x:c r="I37" s="437" t="str">
        <x:v>Forward P/E: $15.41–$23.11; fee-platform SOTP: $25–$55 (screen only)</x:v>
      </x:c>
      <x:c r="J37" s="437"/>
      <x:c r="K37" s="437"/>
      <x:c r="L37" s="437"/>
    </x:row>
    <x:row r="38" ht="30" customHeight="1">
      <x:c r="A38" s="436" t="str">
        <x:v>Reverse DCF</x:v>
      </x:c>
      <x:c r="B38" s="436"/>
      <x:c r="C38" s="437" t="str">
        <x:v>Market-implied cost of equity: approximately 17.6% under base path and 3.0% terminal growth</x:v>
      </x:c>
      <x:c r="D38" s="437"/>
      <x:c r="E38" s="437"/>
      <x:c r="F38" s="437"/>
      <x:c r="G38" s="436" t="str">
        <x:v>Purpose / audience</x:v>
      </x:c>
      <x:c r="H38" s="436"/>
      <x:c r="I38" s="437" t="str">
        <x:v>Public-equity diligence for an investment team</x:v>
      </x:c>
      <x:c r="J38" s="437"/>
      <x:c r="K38" s="437"/>
      <x:c r="L38" s="437"/>
    </x:row>
    <x:row r="39" ht="30" customHeight="1">
      <x:c r="A39" s="436" t="str">
        <x:v>Owner / version</x:v>
      </x:c>
      <x:c r="B39" s="436"/>
      <x:c r="C39" s="437" t="str">
        <x:v>Henry Adams • v2 • revised 2026-07-23</x:v>
      </x:c>
      <x:c r="D39" s="437"/>
      <x:c r="E39" s="437"/>
      <x:c r="F39" s="437"/>
      <x:c r="G39" s="436" t="str">
        <x:v>Units / signs</x:v>
      </x:c>
      <x:c r="H39" s="436"/>
      <x:c r="I39" s="437" t="str">
        <x:v>USD mm unless stated; capital outflows are shown positive where deducted</x:v>
      </x:c>
      <x:c r="J39" s="437"/>
      <x:c r="K39" s="437"/>
      <x:c r="L39" s="437"/>
    </x:row>
    <x:row r="40">
      <x:c r="A40" s="438" t="str">
        <x:v>Known limitations</x:v>
      </x:c>
      <x:c r="B40" s="438"/>
      <x:c r="C40" s="428" t="str">
        <x:v>No licensed consensus; peer metrics are dated and not independently normalized; risk-retention equity intensity is analyst judgment; the market reference is intraday; cross-engine recalculation, native Excel accessibility review, and print/PDF QA were not performed.</x:v>
      </x:c>
      <x:c r="D40" s="428"/>
      <x:c r="E40" s="428"/>
      <x:c r="F40" s="428"/>
      <x:c r="G40" s="428"/>
      <x:c r="H40" s="428"/>
      <x:c r="I40" s="428"/>
      <x:c r="J40" s="428"/>
      <x:c r="K40" s="428"/>
      <x:c r="L40" s="428"/>
    </x:row>
    <x:row r="41">
      <x:c r="A41" s="438"/>
      <x:c r="B41" s="438"/>
      <x:c r="C41" s="428"/>
      <x:c r="D41" s="428"/>
      <x:c r="E41" s="428"/>
      <x:c r="F41" s="428"/>
      <x:c r="G41" s="428"/>
      <x:c r="H41" s="428"/>
      <x:c r="I41" s="428"/>
      <x:c r="J41" s="428"/>
      <x:c r="K41" s="428"/>
      <x:c r="L41" s="428"/>
    </x:row>
    <x:row r="42">
      <x:c r="A42" s="439" t="str">
        <x:v>OFF boundary: the workbook calculates the model; OFF validates package structure and declared lineage. Neither proves the assumptions, valuation conclusion, or cross-engine formula equivalence.</x:v>
      </x:c>
      <x:c r="B42" s="439"/>
      <x:c r="C42" s="439"/>
      <x:c r="D42" s="439"/>
      <x:c r="E42" s="439"/>
      <x:c r="F42" s="439"/>
      <x:c r="G42" s="439"/>
      <x:c r="H42" s="439"/>
      <x:c r="I42" s="439"/>
      <x:c r="J42" s="439"/>
      <x:c r="K42" s="439"/>
      <x:c r="L42" s="439"/>
    </x:row>
  </x:sheetData>
  <x:mergeCells>
    <x:mergeCell ref="A1:L2"/>
    <x:mergeCell ref="A3:L3"/>
    <x:mergeCell ref="A4:B4"/>
    <x:mergeCell ref="C4:D4"/>
    <x:mergeCell ref="E4:G4"/>
    <x:mergeCell ref="H4:J4"/>
    <x:mergeCell ref="K4:L4"/>
    <x:mergeCell ref="A6:C6"/>
    <x:mergeCell ref="A7:C9"/>
    <x:mergeCell ref="A10:C10"/>
    <x:mergeCell ref="D6:F6"/>
    <x:mergeCell ref="D7:F9"/>
    <x:mergeCell ref="D10:F10"/>
    <x:mergeCell ref="G6:I6"/>
    <x:mergeCell ref="G7:I9"/>
    <x:mergeCell ref="G10:I10"/>
    <x:mergeCell ref="J6:L6"/>
    <x:mergeCell ref="J7:L9"/>
    <x:mergeCell ref="J10:L10"/>
    <x:mergeCell ref="A12:B12"/>
    <x:mergeCell ref="C12:F12"/>
    <x:mergeCell ref="G12:H12"/>
    <x:mergeCell ref="I12:L12"/>
    <x:mergeCell ref="A15:B16"/>
    <x:mergeCell ref="A17:B18"/>
    <x:mergeCell ref="A19:B20"/>
    <x:mergeCell ref="C15:F16"/>
    <x:mergeCell ref="C17:F18"/>
    <x:mergeCell ref="C19:F20"/>
    <x:mergeCell ref="G15:I17"/>
    <x:mergeCell ref="G18:I20"/>
    <x:mergeCell ref="J15:L17"/>
    <x:mergeCell ref="J18:L20"/>
    <x:mergeCell ref="A37:B37"/>
    <x:mergeCell ref="C37:F37"/>
    <x:mergeCell ref="G37:H37"/>
    <x:mergeCell ref="I37:L37"/>
    <x:mergeCell ref="A38:B38"/>
    <x:mergeCell ref="C38:F38"/>
    <x:mergeCell ref="G38:H38"/>
    <x:mergeCell ref="I38:L38"/>
    <x:mergeCell ref="A39:B39"/>
    <x:mergeCell ref="C39:F39"/>
    <x:mergeCell ref="G39:H39"/>
    <x:mergeCell ref="I39:L39"/>
    <x:mergeCell ref="A40:B41"/>
    <x:mergeCell ref="C40:L41"/>
    <x:mergeCell ref="A42:L42"/>
  </x:mergeCells>
  <x:pageMargins left="0.7" right="0.7" top="0.75" bottom="0.75" header="0.3" footer="0.3"/>
  <x:drawing xmlns:r="http://schemas.openxmlformats.org/officeDocument/2006/relationships" r:id="R2a9a5466312a425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24" hidden="0" customWidth="1"/>
    <x:col min="4" max="4" width="32" hidden="0" customWidth="1"/>
    <x:col min="5" max="5" width="18" hidden="0" customWidth="1"/>
    <x:col min="6" max="6" width="20" hidden="0" customWidth="1"/>
    <x:col min="7" max="7" width="26" hidden="0" customWidth="1"/>
    <x:col min="8" max="8" width="44" hidden="0" customWidth="1"/>
    <x:col min="9" max="9" width="38" hidden="0" customWidth="1"/>
    <x:col min="10" max="10" width="24" hidden="0" customWidth="1"/>
  </x:cols>
  <x:sheetData>
    <x:row r="1" ht="30" customHeight="1">
      <x:c r="A1" s="3" t="str">
        <x:v>Pagaya Technologies (PGY) — Source Register</x:v>
      </x:c>
      <x:c r="B1" s="3" t="str">
        <x:v>Pagaya Technologies (PGY) — Source Register</x:v>
      </x:c>
      <x:c r="C1" s="3" t="str">
        <x:v>Pagaya Technologies (PGY) — Source Register</x:v>
      </x:c>
      <x:c r="D1" s="3" t="str">
        <x:v>Pagaya Technologies (PGY) — Source Register</x:v>
      </x:c>
      <x:c r="E1" s="3" t="str">
        <x:v>Pagaya Technologies (PGY) — Source Register</x:v>
      </x:c>
      <x:c r="F1" s="3" t="str">
        <x:v>Pagaya Technologies (PGY) — Source Register</x:v>
      </x:c>
      <x:c r="G1" s="3" t="str">
        <x:v>Pagaya Technologies (PGY) — Source Register</x:v>
      </x:c>
      <x:c r="H1" s="3" t="str">
        <x:v>Pagaya Technologies (PGY) — Source Register</x:v>
      </x:c>
      <x:c r="I1" s="3" t="str">
        <x:v>Pagaya Technologies (PGY) — Source Register</x:v>
      </x:c>
      <x:c r="J1" s="3" t="str">
        <x:v>Pagaya Technologies (PGY) — Source Register</x:v>
      </x:c>
    </x:row>
    <x:row r="2">
      <x:c r="A2" s="369"/>
      <x:c r="B2" s="369"/>
      <x:c r="C2" s="369"/>
      <x:c r="D2" s="369"/>
      <x:c r="E2" s="369"/>
      <x:c r="F2" s="369"/>
      <x:c r="G2" s="369"/>
      <x:c r="H2" s="369"/>
      <x:c r="I2" s="369"/>
      <x:c r="J2" s="369"/>
    </x:row>
    <x:row r="3">
      <x:c r="A3" s="446" t="str">
        <x:v>ID</x:v>
      </x:c>
      <x:c r="B3" s="447" t="str">
        <x:v>Type</x:v>
      </x:c>
      <x:c r="C3" s="447" t="str">
        <x:v>Publisher</x:v>
      </x:c>
      <x:c r="D3" s="447" t="str">
        <x:v>Document</x:v>
      </x:c>
      <x:c r="E3" s="447" t="str">
        <x:v>Date</x:v>
      </x:c>
      <x:c r="F3" s="447" t="str">
        <x:v>Period / as-of</x:v>
      </x:c>
      <x:c r="G3" s="447" t="str">
        <x:v>Location</x:v>
      </x:c>
      <x:c r="H3" s="447" t="str">
        <x:v>URL</x:v>
      </x:c>
      <x:c r="I3" s="447" t="str">
        <x:v>Used for</x:v>
      </x:c>
      <x:c r="J3" s="448" t="str">
        <x:v>Status</x:v>
      </x:c>
    </x:row>
    <x:row r="4" ht="42" customHeight="1">
      <x:c r="A4" s="449" t="str">
        <x:v>S1</x:v>
      </x:c>
      <x:c r="B4" s="449" t="str">
        <x:v>SEC filing</x:v>
      </x:c>
      <x:c r="C4" s="449" t="str">
        <x:v>Pagaya / SEC</x:v>
      </x:c>
      <x:c r="D4" s="449" t="str">
        <x:v>2025 Form 10-K</x:v>
      </x:c>
      <x:c r="E4" s="449" t="str">
        <x:v>2026-03-02</x:v>
      </x:c>
      <x:c r="F4" s="449" t="str">
        <x:v>FY2023-FY2025</x:v>
      </x:c>
      <x:c r="G4" s="449" t="str">
        <x:v>pp. 75, 84-85, F-6 to F-11</x:v>
      </x:c>
      <x:c r="H4" s="450" t="str">
        <x:v>https://www.sec.gov/Archives/edgar/data/1883085/000188308526000018/pgy-20251231.htm</x:v>
      </x:c>
      <x:c r="I4" s="449" t="str">
        <x:v>Historical financials, Network Volume, FRLPC, debt, cash, investments</x:v>
      </x:c>
      <x:c r="J4" s="449" t="str">
        <x:v>Verified primary</x:v>
      </x:c>
    </x:row>
    <x:row r="5" ht="42" customHeight="1">
      <x:c r="A5" s="451" t="str">
        <x:v>S2</x:v>
      </x:c>
      <x:c r="B5" s="451" t="str">
        <x:v>IR / SEC exhibit</x:v>
      </x:c>
      <x:c r="C5" s="451" t="str">
        <x:v>Pagaya</x:v>
      </x:c>
      <x:c r="D5" s="451" t="str">
        <x:v>Q1 2026 earnings release and financial tables</x:v>
      </x:c>
      <x:c r="E5" s="451" t="str">
        <x:v>2026-05-07</x:v>
      </x:c>
      <x:c r="F5" s="451" t="str">
        <x:v>Quarter ended 2026-03-31</x:v>
      </x:c>
      <x:c r="G5" s="451" t="str">
        <x:v>pp. 1-9</x:v>
      </x:c>
      <x:c r="H5" s="452" t="str">
        <x:v>https://investor.pagaya.com/static-files/1f38d3e9-6d00-49c7-921d-a6b5be49a276</x:v>
      </x:c>
      <x:c r="I5" s="451" t="str">
        <x:v>Q1 actuals, balance sheet, FY2026 outlook</x:v>
      </x:c>
      <x:c r="J5" s="451" t="str">
        <x:v>Verified primary</x:v>
      </x:c>
    </x:row>
    <x:row r="6" ht="42" customHeight="1">
      <x:c r="A6" s="451" t="str">
        <x:v>S3</x:v>
      </x:c>
      <x:c r="B6" s="451" t="str">
        <x:v>IR / SEC exhibit</x:v>
      </x:c>
      <x:c r="C6" s="451" t="str">
        <x:v>Pagaya</x:v>
      </x:c>
      <x:c r="D6" s="451" t="str">
        <x:v>Q1 2026 shareholder letter</x:v>
      </x:c>
      <x:c r="E6" s="451" t="str">
        <x:v>2026-05-07</x:v>
      </x:c>
      <x:c r="F6" s="451" t="str">
        <x:v>Quarter ended 2026-03-31</x:v>
      </x:c>
      <x:c r="G6" s="451" t="str">
        <x:v>Financial highlights</x:v>
      </x:c>
      <x:c r="H6" s="452" t="str">
        <x:v>https://www.sec.gov/Archives/edgar/data/1883085/000188308526000027/lettertoshareholders1q20.htm</x:v>
      </x:c>
      <x:c r="I6" s="451" t="str">
        <x:v>Network Volume, FRLPC, operating commentary</x:v>
      </x:c>
      <x:c r="J6" s="451" t="str">
        <x:v>Verified primary</x:v>
      </x:c>
    </x:row>
    <x:row r="7" ht="42" customHeight="1">
      <x:c r="A7" s="451" t="str">
        <x:v>S4</x:v>
      </x:c>
      <x:c r="B7" s="451" t="str">
        <x:v>Market snapshot</x:v>
      </x:c>
      <x:c r="C7" s="451" t="str">
        <x:v>Stock Analysis / S&amp;P Global / CBOE</x:v>
      </x:c>
      <x:c r="D7" s="451" t="str">
        <x:v>PGY overview and valuation snapshot</x:v>
      </x:c>
      <x:c r="E7" s="451" t="str">
        <x:v>2026-07-23 15:37 EDT</x:v>
      </x:c>
      <x:c r="F7" s="451" t="str">
        <x:v>Intraday 2026-07-23</x:v>
      </x:c>
      <x:c r="G7" s="451" t="str">
        <x:v>Price, shares, valuation ratios</x:v>
      </x:c>
      <x:c r="H7" s="452" t="str">
        <x:v>https://stockanalysis.com/stocks/pgy/</x:v>
      </x:c>
      <x:c r="I7" s="451" t="str">
        <x:v>Price $16.29, 82.92mm shares, 5.25x forward P/E</x:v>
      </x:c>
      <x:c r="J7" s="451" t="str">
        <x:v>Verified secondary; intraday</x:v>
      </x:c>
    </x:row>
    <x:row r="8" ht="42" customHeight="1">
      <x:c r="A8" s="451" t="str">
        <x:v>S5</x:v>
      </x:c>
      <x:c r="B8" s="451" t="str">
        <x:v>Market risk</x:v>
      </x:c>
      <x:c r="C8" s="451" t="str">
        <x:v>Aswath Damodaran</x:v>
      </x:c>
      <x:c r="D8" s="451" t="str">
        <x:v>Implied equity risk premium</x:v>
      </x:c>
      <x:c r="E8" s="451" t="str">
        <x:v>2026-07-01</x:v>
      </x:c>
      <x:c r="F8" s="451" t="str">
        <x:v>July 2026</x:v>
      </x:c>
      <x:c r="G8" s="451" t="str">
        <x:v>Homepage data update</x:v>
      </x:c>
      <x:c r="H8" s="452" t="str">
        <x:v>https://pages.stern.nyu.edu/~adamodar/New_Home_Page/home.htm</x:v>
      </x:c>
      <x:c r="I8" s="451" t="str">
        <x:v>4.20% mature-market ERP and 4.45% USD risk-free context</x:v>
      </x:c>
      <x:c r="J8" s="451" t="str">
        <x:v>Verified secondary</x:v>
      </x:c>
    </x:row>
    <x:row r="9" ht="42" customHeight="1">
      <x:c r="A9" s="451" t="str">
        <x:v>S6</x:v>
      </x:c>
      <x:c r="B9" s="451" t="str">
        <x:v>Peer snapshot</x:v>
      </x:c>
      <x:c r="C9" s="451" t="str">
        <x:v>Signet Bank / Bloomberg</x:v>
      </x:c>
      <x:c r="D9" s="451" t="str">
        <x:v>Eleving Group Q1 2026 presentation</x:v>
      </x:c>
      <x:c r="E9" s="451" t="str">
        <x:v>2026-05</x:v>
      </x:c>
      <x:c r="F9" s="451" t="str">
        <x:v>2026E peer estimates</x:v>
      </x:c>
      <x:c r="G9" s="451" t="str">
        <x:v>Public fintech/lender peer table</x:v>
      </x:c>
      <x:c r="H9" s="452" t="str">
        <x:v>https://signetbank.com/wp-content/uploads/2026/05/Eleving_ER_Q1_26.pdf</x:v>
      </x:c>
      <x:c r="I9" s="451" t="str">
        <x:v>Forward P/E cross-check for selected peers</x:v>
      </x:c>
      <x:c r="J9" s="451" t="str">
        <x:v>Secondary; definitions not independently reconciled</x:v>
      </x:c>
    </x:row>
    <x:row r="10" ht="42" customHeight="1">
      <x:c r="A10" s="451" t="str">
        <x:v>S7</x:v>
      </x:c>
      <x:c r="B10" s="451" t="str">
        <x:v>IR news release</x:v>
      </x:c>
      <x:c r="C10" s="451" t="str">
        <x:v>Pagaya</x:v>
      </x:c>
      <x:c r="D10" s="451" t="str">
        <x:v>Pagaya Closes $750 Million Auto ABS Transaction, Its Largest to Date</x:v>
      </x:c>
      <x:c r="E10" s="451" t="str">
        <x:v>2026-07-16</x:v>
      </x:c>
      <x:c r="F10" s="451" t="str">
        <x:v>Funding execution update</x:v>
      </x:c>
      <x:c r="G10" s="451" t="str">
        <x:v>Release highlights</x:v>
      </x:c>
      <x:c r="H10" s="452" t="str">
        <x:v>https://investor.pagaya.com/news-releases/news-release-details/pagaya-closes-750-million-auto-abs-transaction-its-largest-date</x:v>
      </x:c>
      <x:c r="I10" s="451" t="str">
        <x:v>Funding-capacity proof point and near-term catalyst context</x:v>
      </x:c>
      <x:c r="J10" s="451" t="str">
        <x:v>Verified primary</x:v>
      </x:c>
    </x:row>
    <x:row r="11" ht="42" customHeight="1">
      <x:c r="A11" s="453" t="str">
        <x:v>S8</x:v>
      </x:c>
      <x:c r="B11" s="453" t="str">
        <x:v>IR news release</x:v>
      </x:c>
      <x:c r="C11" s="453" t="str">
        <x:v>Pagaya</x:v>
      </x:c>
      <x:c r="D11" s="453" t="str">
        <x:v>Timing of Second Quarter 2026 Earnings Release</x:v>
      </x:c>
      <x:c r="E11" s="453" t="str">
        <x:v>2026-07-09</x:v>
      </x:c>
      <x:c r="F11" s="453" t="str">
        <x:v>Event on 2026-07-30</x:v>
      </x:c>
      <x:c r="G11" s="453" t="str">
        <x:v>Earnings date and webcast time</x:v>
      </x:c>
      <x:c r="H11" s="454" t="str">
        <x:v>https://investor.pagaya.com/news-releases/news-release-details/pagaya-announces-timing-second-quarter-2026-earnings-release</x:v>
      </x:c>
      <x:c r="I11" s="453" t="str">
        <x:v>Confirmed Q2 2026 catalyst date</x:v>
      </x:c>
      <x:c r="J11" s="453" t="str">
        <x:v>Verified primary</x:v>
      </x:c>
    </x:row>
    <x:row r="12">
      <x:c r="A12" s="369"/>
      <x:c r="B12" s="369"/>
      <x:c r="C12" s="369"/>
      <x:c r="D12" s="369"/>
      <x:c r="E12" s="369"/>
      <x:c r="F12" s="369"/>
      <x:c r="G12" s="369"/>
      <x:c r="H12" s="369"/>
      <x:c r="I12" s="369"/>
      <x:c r="J12" s="369"/>
    </x:row>
    <x:row r="13" ht="22" customHeight="1">
      <x:c r="A13" s="26" t="str">
        <x:v>Source limitations</x:v>
      </x:c>
      <x:c r="B13" s="26"/>
      <x:c r="C13" s="26"/>
      <x:c r="D13" s="26"/>
      <x:c r="E13" s="26"/>
      <x:c r="F13" s="26"/>
      <x:c r="G13" s="26"/>
      <x:c r="H13" s="26"/>
      <x:c r="I13" s="26"/>
      <x:c r="J13" s="26"/>
    </x:row>
    <x:row r="14">
      <x:c r="A14" s="455" t="str">
        <x:v>Limitation</x:v>
      </x:c>
      <x:c r="B14" s="456" t="str">
        <x:v>Status</x:v>
      </x:c>
      <x:c r="C14" s="456" t="str">
        <x:v>Decision effect</x:v>
      </x:c>
      <x:c r="D14" s="457" t="str">
        <x:v>Required action</x:v>
      </x:c>
      <x:c r="E14" s="369"/>
      <x:c r="F14" s="369"/>
      <x:c r="G14" s="369"/>
      <x:c r="H14" s="369"/>
      <x:c r="I14" s="369"/>
      <x:c r="J14" s="369"/>
    </x:row>
    <x:row r="15" ht="44" customHeight="1">
      <x:c r="A15" s="449" t="str">
        <x:v>Current price</x:v>
      </x:c>
      <x:c r="B15" s="449" t="str">
        <x:v>Verified intraday</x:v>
      </x:c>
      <x:c r="C15" s="449" t="str">
        <x:v>Current at 15:37 EDT, but not an official closing price.</x:v>
      </x:c>
      <x:c r="D15" s="449" t="str">
        <x:v>Refresh after market close or immediately before a position decision.</x:v>
      </x:c>
      <x:c r="E15" s="369"/>
      <x:c r="F15" s="369"/>
      <x:c r="G15" s="369"/>
      <x:c r="H15" s="369"/>
      <x:c r="I15" s="369"/>
      <x:c r="J15" s="369"/>
    </x:row>
    <x:row r="16" ht="44" customHeight="1">
      <x:c r="A16" s="453" t="str">
        <x:v>Consensus / peers</x:v>
      </x:c>
      <x:c r="B16" s="453" t="str">
        <x:v>Screen-grade</x:v>
      </x:c>
      <x:c r="C16" s="453" t="str">
        <x:v>No licensed consensus feed; the public peer snapshot remains dated.</x:v>
      </x:c>
      <x:c r="D16" s="453" t="str">
        <x:v>Use comps only as corroboration and bridge against a licensed dataset before underwriting.</x:v>
      </x:c>
      <x:c r="E16" s="369"/>
      <x:c r="F16" s="369"/>
      <x:c r="G16" s="369"/>
      <x:c r="H16" s="369"/>
      <x:c r="I16" s="369"/>
      <x:c r="J16" s="369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4" hidden="0" customWidth="1"/>
    <x:col min="3" max="3" width="14" hidden="0" customWidth="1"/>
    <x:col min="4" max="4" width="34" hidden="0" customWidth="1"/>
    <x:col min="5" max="5" width="14" hidden="0" customWidth="1"/>
    <x:col min="6" max="6" width="24" hidden="0" customWidth="1"/>
    <x:col min="7" max="7" width="14" hidden="0" customWidth="1"/>
    <x:col min="8" max="8" width="48" hidden="0" customWidth="1"/>
  </x:cols>
  <x:sheetData>
    <x:row r="1" ht="30" customHeight="1">
      <x:c r="A1" s="3" t="str">
        <x:v>Pagaya Valuation Assumptions</x:v>
      </x:c>
      <x:c r="B1" s="3" t="str">
        <x:v>Pagaya Valuation Assumptions</x:v>
      </x:c>
      <x:c r="C1" s="3" t="str">
        <x:v>Pagaya Valuation Assumptions</x:v>
      </x:c>
      <x:c r="D1" s="3" t="str">
        <x:v>Pagaya Valuation Assumptions</x:v>
      </x:c>
      <x:c r="E1" s="3" t="str">
        <x:v>Pagaya Valuation Assumptions</x:v>
      </x:c>
      <x:c r="F1" s="3" t="str">
        <x:v>Pagaya Valuation Assumptions</x:v>
      </x:c>
      <x:c r="G1" s="3" t="str">
        <x:v>Pagaya Valuation Assumptions</x:v>
      </x:c>
      <x:c r="H1" s="3" t="str">
        <x:v>Pagaya Valuation Assumptions</x:v>
      </x:c>
    </x:row>
    <x:row r="2">
      <x:c r="A2" s="470" t="str">
        <x:v>Editable inputs use blue text, pale yellow fill, and a border. USD millions unless stated. Source cutoff: 2026-07-23 15:37 EDT.</x:v>
      </x:c>
      <x:c r="B2" s="470"/>
      <x:c r="C2" s="470"/>
      <x:c r="D2" s="470"/>
      <x:c r="E2" s="470"/>
      <x:c r="F2" s="470"/>
      <x:c r="G2" s="470"/>
      <x:c r="H2" s="470"/>
    </x:row>
    <x:row r="3" ht="22" customHeight="1">
      <x:c r="A3" s="34" t="str">
        <x:v>Shared assumptions</x:v>
      </x:c>
      <x:c r="B3" s="34"/>
      <x:c r="C3" s="34"/>
      <x:c r="D3" s="34"/>
      <x:c r="E3" s="369"/>
      <x:c r="F3" s="34" t="str">
        <x:v>Capital bridge (2026-03-31)</x:v>
      </x:c>
      <x:c r="G3" s="34"/>
      <x:c r="H3" s="34"/>
    </x:row>
    <x:row r="4">
      <x:c r="A4" s="446" t="str">
        <x:v>Assumption</x:v>
      </x:c>
      <x:c r="B4" s="447" t="str">
        <x:v>Value</x:v>
      </x:c>
      <x:c r="C4" s="447" t="str">
        <x:v>Unit</x:v>
      </x:c>
      <x:c r="D4" s="448" t="str">
        <x:v>Basis / source</x:v>
      </x:c>
      <x:c r="E4" s="369"/>
      <x:c r="F4" s="446" t="str">
        <x:v>Item</x:v>
      </x:c>
      <x:c r="G4" s="447" t="str">
        <x:v>Value</x:v>
      </x:c>
      <x:c r="H4" s="448" t="str">
        <x:v>Treatment</x:v>
      </x:c>
    </x:row>
    <x:row r="5">
      <x:c r="A5" s="471" t="str">
        <x:v>Valuation date</x:v>
      </x:c>
      <x:c r="B5" s="472" t="n">
        <x:v>46226</x:v>
      </x:c>
      <x:c r="C5" s="471" t="str">
        <x:v>date</x:v>
      </x:c>
      <x:c r="D5" s="471" t="str">
        <x:v>Analyst convention</x:v>
      </x:c>
      <x:c r="E5" s="369"/>
      <x:c r="F5" s="471" t="str">
        <x:v>Cash</x:v>
      </x:c>
      <x:c r="G5" s="473" t="n">
        <x:v>317.813</x:v>
      </x:c>
      <x:c r="H5" s="471" t="str">
        <x:v>Add</x:v>
      </x:c>
    </x:row>
    <x:row r="6">
      <x:c r="A6" s="474" t="str">
        <x:v>Market price</x:v>
      </x:c>
      <x:c r="B6" s="475" t="n">
        <x:v>16.29</x:v>
      </x:c>
      <x:c r="C6" s="474" t="str">
        <x:v>$/share</x:v>
      </x:c>
      <x:c r="D6" s="474" t="str">
        <x:v>S4; intraday at 15:37 EDT on 2026-07-23</x:v>
      </x:c>
      <x:c r="E6" s="369"/>
      <x:c r="F6" s="474" t="str">
        <x:v>Risk-retention investments</x:v>
      </x:c>
      <x:c r="G6" s="473" t="n">
        <x:v>941.367</x:v>
      </x:c>
      <x:c r="H6" s="474" t="str">
        <x:v>Operating capital; not added in FCFE</x:v>
      </x:c>
    </x:row>
    <x:row r="7">
      <x:c r="A7" s="474" t="str">
        <x:v>Basic shares outstanding</x:v>
      </x:c>
      <x:c r="B7" s="476" t="n">
        <x:v>82.92</x:v>
      </x:c>
      <x:c r="C7" s="474" t="str">
        <x:v>mm</x:v>
      </x:c>
      <x:c r="D7" s="474" t="str">
        <x:v>S4; current public market snapshot</x:v>
      </x:c>
      <x:c r="E7" s="369"/>
      <x:c r="F7" s="474" t="str">
        <x:v>Secured borrowing</x:v>
      </x:c>
      <x:c r="G7" s="473" t="n">
        <x:v>156.275</x:v>
      </x:c>
      <x:c r="H7" s="474" t="str">
        <x:v>Operating funding; captured in required capital</x:v>
      </x:c>
    </x:row>
    <x:row r="8">
      <x:c r="A8" s="474" t="str">
        <x:v>Valuation diluted shares</x:v>
      </x:c>
      <x:c r="B8" s="476" t="n">
        <x:v>86</x:v>
      </x:c>
      <x:c r="C8" s="474" t="str">
        <x:v>mm</x:v>
      </x:c>
      <x:c r="D8" s="474" t="str">
        <x:v>Analyst assumption; exchangeable debt remains in capital bridge</x:v>
      </x:c>
      <x:c r="E8" s="369"/>
      <x:c r="F8" s="474" t="str">
        <x:v>Revolver</x:v>
      </x:c>
      <x:c r="G8" s="473" t="n">
        <x:v>114.7</x:v>
      </x:c>
      <x:c r="H8" s="474" t="str">
        <x:v>Corporate debt</x:v>
      </x:c>
    </x:row>
    <x:row r="9">
      <x:c r="A9" s="474" t="str">
        <x:v>Tax rate</x:v>
      </x:c>
      <x:c r="B9" s="477" t="n">
        <x:v>0.21</x:v>
      </x:c>
      <x:c r="C9" s="474" t="str">
        <x:v>%</x:v>
      </x:c>
      <x:c r="D9" s="474" t="str">
        <x:v>Analyst long-run cash tax assumption</x:v>
      </x:c>
      <x:c r="E9" s="369"/>
      <x:c r="F9" s="474" t="str">
        <x:v>Exchangeable notes</x:v>
      </x:c>
      <x:c r="G9" s="473" t="n">
        <x:v>149.416</x:v>
      </x:c>
      <x:c r="H9" s="474" t="str">
        <x:v>Corporate debt</x:v>
      </x:c>
    </x:row>
    <x:row r="10">
      <x:c r="A10" s="474" t="str">
        <x:v>D&amp;A / FRLPC</x:v>
      </x:c>
      <x:c r="B10" s="477" t="n">
        <x:v>0.05</x:v>
      </x:c>
      <x:c r="C10" s="474" t="str">
        <x:v>%</x:v>
      </x:c>
      <x:c r="D10" s="474" t="str">
        <x:v>Anchored to FY2025 and normalized</x:v>
      </x:c>
      <x:c r="E10" s="369"/>
      <x:c r="F10" s="474" t="str">
        <x:v>Long-term debt</x:v>
      </x:c>
      <x:c r="G10" s="473" t="n">
        <x:v>474.988</x:v>
      </x:c>
      <x:c r="H10" s="474" t="str">
        <x:v>Corporate debt</x:v>
      </x:c>
    </x:row>
    <x:row r="11">
      <x:c r="A11" s="474" t="str">
        <x:v>Capex / FRLPC</x:v>
      </x:c>
      <x:c r="B11" s="477" t="n">
        <x:v>0.04</x:v>
      </x:c>
      <x:c r="C11" s="474" t="str">
        <x:v>%</x:v>
      </x:c>
      <x:c r="D11" s="474" t="str">
        <x:v>Anchored to FY2025 purchases of PP&amp;E/software</x:v>
      </x:c>
      <x:c r="E11" s="369"/>
      <x:c r="F11" s="474" t="str">
        <x:v>Redeemable preferred</x:v>
      </x:c>
      <x:c r="G11" s="473" t="n">
        <x:v>30.103</x:v>
      </x:c>
      <x:c r="H11" s="474" t="str">
        <x:v>Separate claim</x:v>
      </x:c>
    </x:row>
    <x:row r="12">
      <x:c r="A12" s="474" t="str">
        <x:v>Opening Network Volume</x:v>
      </x:c>
      <x:c r="B12" s="478" t="n">
        <x:v>10.534</x:v>
      </x:c>
      <x:c r="C12" s="474" t="str">
        <x:v>$bn</x:v>
      </x:c>
      <x:c r="D12" s="474" t="str">
        <x:v>S1; FY2025</x:v>
      </x:c>
      <x:c r="E12" s="369"/>
      <x:c r="F12" s="474" t="str">
        <x:v>Noncontrolling interests</x:v>
      </x:c>
      <x:c r="G12" s="473" t="n">
        <x:v>69.843</x:v>
      </x:c>
      <x:c r="H12" s="474" t="str">
        <x:v>Separate claim</x:v>
      </x:c>
    </x:row>
    <x:row r="13">
      <x:c r="A13" s="474" t="str">
        <x:v>Opening FRLPC</x:v>
      </x:c>
      <x:c r="B13" s="473" t="n">
        <x:v>512.172</x:v>
      </x:c>
      <x:c r="C13" s="474" t="str">
        <x:v>$mm</x:v>
      </x:c>
      <x:c r="D13" s="474" t="str">
        <x:v>S1; FY2025</x:v>
      </x:c>
      <x:c r="E13" s="369"/>
      <x:c r="F13" s="479" t="str">
        <x:v>Net risk assets</x:v>
      </x:c>
      <x:c r="G13" s="480" t="n">
        <x:f>'Assumptions'!$G$6-'Assumptions'!$G$7</x:f>
        <x:v>785.092</x:v>
      </x:c>
      <x:c r="H13" s="479" t="str">
        <x:v>Investments less secured borrowing</x:v>
      </x:c>
    </x:row>
    <x:row r="14">
      <x:c r="A14" s="474" t="str">
        <x:v>Opening cash</x:v>
      </x:c>
      <x:c r="B14" s="473" t="n">
        <x:v>317.813</x:v>
      </x:c>
      <x:c r="C14" s="474" t="str">
        <x:v>$mm</x:v>
      </x:c>
      <x:c r="D14" s="474" t="str">
        <x:v>S2; 2026-03-31</x:v>
      </x:c>
      <x:c r="E14" s="369"/>
      <x:c r="F14" s="369"/>
      <x:c r="G14" s="369"/>
      <x:c r="H14" s="369"/>
    </x:row>
    <x:row r="15">
      <x:c r="A15" s="474" t="str">
        <x:v>Risk-retention investments</x:v>
      </x:c>
      <x:c r="B15" s="473" t="n">
        <x:v>941.367</x:v>
      </x:c>
      <x:c r="C15" s="474" t="str">
        <x:v>$mm</x:v>
      </x:c>
      <x:c r="D15" s="474" t="str">
        <x:v>S2; 2026-03-31</x:v>
      </x:c>
      <x:c r="E15" s="369"/>
      <x:c r="F15" s="369"/>
      <x:c r="G15" s="369"/>
      <x:c r="H15" s="369"/>
    </x:row>
    <x:row r="16">
      <x:c r="A16" s="479" t="str">
        <x:v>Secured borrowing</x:v>
      </x:c>
      <x:c r="B16" s="473" t="n">
        <x:v>156.275</x:v>
      </x:c>
      <x:c r="C16" s="479" t="str">
        <x:v>$mm</x:v>
      </x:c>
      <x:c r="D16" s="479" t="str">
        <x:v>S2; 2026-03-31</x:v>
      </x:c>
      <x:c r="E16" s="369"/>
      <x:c r="F16" s="369"/>
      <x:c r="G16" s="369"/>
      <x:c r="H16" s="369"/>
    </x:row>
    <x:row r="17">
      <x:c r="A17" s="369"/>
      <x:c r="B17" s="369"/>
      <x:c r="C17" s="369"/>
      <x:c r="D17" s="369"/>
      <x:c r="E17" s="369"/>
      <x:c r="F17" s="369"/>
      <x:c r="G17" s="369"/>
      <x:c r="H17" s="369"/>
    </x:row>
    <x:row r="18">
      <x:c r="A18" s="369"/>
      <x:c r="B18" s="369"/>
      <x:c r="C18" s="369"/>
      <x:c r="D18" s="369"/>
      <x:c r="E18" s="369"/>
      <x:c r="F18" s="369"/>
      <x:c r="G18" s="369"/>
      <x:c r="H18" s="369"/>
    </x:row>
    <x:row r="19" ht="22" customHeight="1">
      <x:c r="A19" s="26" t="str">
        <x:v>Bear case</x:v>
      </x:c>
      <x:c r="B19" s="26"/>
      <x:c r="C19" s="26"/>
      <x:c r="D19" s="26"/>
      <x:c r="E19" s="26"/>
      <x:c r="F19" s="26"/>
      <x:c r="G19" s="26"/>
      <x:c r="H19" s="26"/>
    </x:row>
    <x:row r="20">
      <x:c r="A20" s="446" t="str">
        <x:v>Driver</x:v>
      </x:c>
      <x:c r="B20" s="447" t="n">
        <x:v>2026</x:v>
      </x:c>
      <x:c r="C20" s="447" t="n">
        <x:v>2027</x:v>
      </x:c>
      <x:c r="D20" s="447" t="n">
        <x:v>2028</x:v>
      </x:c>
      <x:c r="E20" s="447" t="n">
        <x:v>2029</x:v>
      </x:c>
      <x:c r="F20" s="447" t="n">
        <x:v>2030</x:v>
      </x:c>
      <x:c r="G20" s="447" t="n">
        <x:v>2031</x:v>
      </x:c>
      <x:c r="H20" s="448" t="str">
        <x:v>Source / rationale</x:v>
      </x:c>
    </x:row>
    <x:row r="21">
      <x:c r="A21" s="471" t="str">
        <x:v>Network Volume ($bn)</x:v>
      </x:c>
      <x:c r="B21" s="476" t="n">
        <x:v>11.45</x:v>
      </x:c>
      <x:c r="C21" s="476" t="n">
        <x:v>12</x:v>
      </x:c>
      <x:c r="D21" s="476" t="n">
        <x:v>12.6</x:v>
      </x:c>
      <x:c r="E21" s="476" t="n">
        <x:v>13.2</x:v>
      </x:c>
      <x:c r="F21" s="476" t="n">
        <x:v>13.7</x:v>
      </x:c>
      <x:c r="G21" s="476" t="n">
        <x:v>14.1</x:v>
      </x:c>
      <x:c r="H21" s="471" t="str">
        <x:v>Scenario assumption</x:v>
      </x:c>
    </x:row>
    <x:row r="22">
      <x:c r="A22" s="474" t="str">
        <x:v>FRLPC %</x:v>
      </x:c>
      <x:c r="B22" s="477" t="n">
        <x:v>0.044</x:v>
      </x:c>
      <x:c r="C22" s="477" t="n">
        <x:v>0.0435</x:v>
      </x:c>
      <x:c r="D22" s="477" t="n">
        <x:v>0.043</x:v>
      </x:c>
      <x:c r="E22" s="477" t="n">
        <x:v>0.0425</x:v>
      </x:c>
      <x:c r="F22" s="477" t="n">
        <x:v>0.042</x:v>
      </x:c>
      <x:c r="G22" s="477" t="n">
        <x:v>0.0415</x:v>
      </x:c>
      <x:c r="H22" s="474" t="str">
        <x:v>Q1 2026 = 4.6%; mix and funding sensitivity</x:v>
      </x:c>
    </x:row>
    <x:row r="23">
      <x:c r="A23" s="474" t="str">
        <x:v>Normalized net income / FRLPC</x:v>
      </x:c>
      <x:c r="B23" s="477" t="n">
        <x:v>0.18</x:v>
      </x:c>
      <x:c r="C23" s="477" t="n">
        <x:v>0.2</x:v>
      </x:c>
      <x:c r="D23" s="477" t="n">
        <x:v>0.22</x:v>
      </x:c>
      <x:c r="E23" s="477" t="n">
        <x:v>0.24</x:v>
      </x:c>
      <x:c r="F23" s="477" t="n">
        <x:v>0.25</x:v>
      </x:c>
      <x:c r="G23" s="477" t="n">
        <x:v>0.26</x:v>
      </x:c>
      <x:c r="H23" s="474" t="str">
        <x:v>Owner-earnings margin after recurring costs</x:v>
      </x:c>
    </x:row>
    <x:row r="24">
      <x:c r="A24" s="479" t="str">
        <x:v>Equity capital / incremental volume</x:v>
      </x:c>
      <x:c r="B24" s="477" t="n">
        <x:v>0.02</x:v>
      </x:c>
      <x:c r="C24" s="481"/>
      <x:c r="D24" s="481"/>
      <x:c r="E24" s="481"/>
      <x:c r="F24" s="481"/>
      <x:c r="G24" s="481"/>
      <x:c r="H24" s="479" t="str">
        <x:v>Required risk-retention equity capital</x:v>
      </x:c>
    </x:row>
    <x:row r="25">
      <x:c r="A25" s="369" t="str">
        <x:v>Cost of equity</x:v>
      </x:c>
      <x:c r="B25" s="477" t="n">
        <x:v>0.16</x:v>
      </x:c>
      <x:c r="C25" s="369" t="str">
        <x:v>Terminal growth</x:v>
      </x:c>
      <x:c r="D25" s="477" t="n">
        <x:v>0.025</x:v>
      </x:c>
      <x:c r="E25" s="369"/>
      <x:c r="F25" s="369"/>
      <x:c r="G25" s="369"/>
      <x:c r="H25" s="369"/>
    </x:row>
    <x:row r="26">
      <x:c r="A26" s="369"/>
      <x:c r="B26" s="369"/>
      <x:c r="C26" s="369"/>
      <x:c r="D26" s="369"/>
      <x:c r="E26" s="369"/>
      <x:c r="F26" s="369"/>
      <x:c r="G26" s="369"/>
      <x:c r="H26" s="369"/>
    </x:row>
    <x:row r="27" ht="22" customHeight="1">
      <x:c r="A27" s="34" t="str">
        <x:v>Base case</x:v>
      </x:c>
      <x:c r="B27" s="34"/>
      <x:c r="C27" s="34"/>
      <x:c r="D27" s="34"/>
      <x:c r="E27" s="34"/>
      <x:c r="F27" s="34"/>
      <x:c r="G27" s="34"/>
      <x:c r="H27" s="34"/>
    </x:row>
    <x:row r="28">
      <x:c r="A28" s="446" t="str">
        <x:v>Driver</x:v>
      </x:c>
      <x:c r="B28" s="447" t="n">
        <x:v>2026</x:v>
      </x:c>
      <x:c r="C28" s="447" t="n">
        <x:v>2027</x:v>
      </x:c>
      <x:c r="D28" s="447" t="n">
        <x:v>2028</x:v>
      </x:c>
      <x:c r="E28" s="447" t="n">
        <x:v>2029</x:v>
      </x:c>
      <x:c r="F28" s="447" t="n">
        <x:v>2030</x:v>
      </x:c>
      <x:c r="G28" s="447" t="n">
        <x:v>2031</x:v>
      </x:c>
      <x:c r="H28" s="448" t="str">
        <x:v>Source / rationale</x:v>
      </x:c>
    </x:row>
    <x:row r="29">
      <x:c r="A29" s="471" t="str">
        <x:v>Network Volume ($bn)</x:v>
      </x:c>
      <x:c r="B29" s="476" t="n">
        <x:v>12.225</x:v>
      </x:c>
      <x:c r="C29" s="476" t="n">
        <x:v>13.7</x:v>
      </x:c>
      <x:c r="D29" s="476" t="n">
        <x:v>15.2</x:v>
      </x:c>
      <x:c r="E29" s="476" t="n">
        <x:v>16.7</x:v>
      </x:c>
      <x:c r="F29" s="476" t="n">
        <x:v>18</x:v>
      </x:c>
      <x:c r="G29" s="476" t="n">
        <x:v>19.2</x:v>
      </x:c>
      <x:c r="H29" s="471" t="str">
        <x:v>2026 guidance midpoint; analyst fade</x:v>
      </x:c>
    </x:row>
    <x:row r="30">
      <x:c r="A30" s="474" t="str">
        <x:v>FRLPC %</x:v>
      </x:c>
      <x:c r="B30" s="477" t="n">
        <x:v>0.0465</x:v>
      </x:c>
      <x:c r="C30" s="477" t="n">
        <x:v>0.0465</x:v>
      </x:c>
      <x:c r="D30" s="477" t="n">
        <x:v>0.046</x:v>
      </x:c>
      <x:c r="E30" s="477" t="n">
        <x:v>0.0455</x:v>
      </x:c>
      <x:c r="F30" s="477" t="n">
        <x:v>0.045</x:v>
      </x:c>
      <x:c r="G30" s="477" t="n">
        <x:v>0.0445</x:v>
      </x:c>
      <x:c r="H30" s="474" t="str">
        <x:v>Q1 2026 = 4.6%; mix and funding sensitivity</x:v>
      </x:c>
    </x:row>
    <x:row r="31">
      <x:c r="A31" s="474" t="str">
        <x:v>Normalized net income / FRLPC</x:v>
      </x:c>
      <x:c r="B31" s="477" t="n">
        <x:v>0.24</x:v>
      </x:c>
      <x:c r="C31" s="477" t="n">
        <x:v>0.26</x:v>
      </x:c>
      <x:c r="D31" s="477" t="n">
        <x:v>0.28</x:v>
      </x:c>
      <x:c r="E31" s="477" t="n">
        <x:v>0.3</x:v>
      </x:c>
      <x:c r="F31" s="477" t="n">
        <x:v>0.32</x:v>
      </x:c>
      <x:c r="G31" s="477" t="n">
        <x:v>0.34</x:v>
      </x:c>
      <x:c r="H31" s="474" t="str">
        <x:v>Owner-earnings margin after recurring costs</x:v>
      </x:c>
    </x:row>
    <x:row r="32">
      <x:c r="A32" s="479" t="str">
        <x:v>Equity capital / incremental volume</x:v>
      </x:c>
      <x:c r="B32" s="477" t="n">
        <x:v>0.015</x:v>
      </x:c>
      <x:c r="C32" s="481"/>
      <x:c r="D32" s="481"/>
      <x:c r="E32" s="481"/>
      <x:c r="F32" s="481"/>
      <x:c r="G32" s="481"/>
      <x:c r="H32" s="479" t="str">
        <x:v>Required risk-retention equity capital</x:v>
      </x:c>
    </x:row>
    <x:row r="33">
      <x:c r="A33" s="369" t="str">
        <x:v>Cost of equity</x:v>
      </x:c>
      <x:c r="B33" s="477" t="n">
        <x:v>0.14</x:v>
      </x:c>
      <x:c r="C33" s="369" t="str">
        <x:v>Terminal growth</x:v>
      </x:c>
      <x:c r="D33" s="477" t="n">
        <x:v>0.03</x:v>
      </x:c>
      <x:c r="E33" s="369"/>
      <x:c r="F33" s="369"/>
      <x:c r="G33" s="369"/>
      <x:c r="H33" s="369"/>
    </x:row>
    <x:row r="34">
      <x:c r="A34" s="369"/>
      <x:c r="B34" s="369"/>
      <x:c r="C34" s="369"/>
      <x:c r="D34" s="369"/>
      <x:c r="E34" s="369"/>
      <x:c r="F34" s="369"/>
      <x:c r="G34" s="369"/>
      <x:c r="H34" s="369"/>
    </x:row>
    <x:row r="35" ht="22" customHeight="1">
      <x:c r="A35" s="56" t="str">
        <x:v>Bull case</x:v>
      </x:c>
      <x:c r="B35" s="56"/>
      <x:c r="C35" s="56"/>
      <x:c r="D35" s="56"/>
      <x:c r="E35" s="56"/>
      <x:c r="F35" s="56"/>
      <x:c r="G35" s="56"/>
      <x:c r="H35" s="56"/>
    </x:row>
    <x:row r="36">
      <x:c r="A36" s="446" t="str">
        <x:v>Driver</x:v>
      </x:c>
      <x:c r="B36" s="447" t="n">
        <x:v>2026</x:v>
      </x:c>
      <x:c r="C36" s="447" t="n">
        <x:v>2027</x:v>
      </x:c>
      <x:c r="D36" s="447" t="n">
        <x:v>2028</x:v>
      </x:c>
      <x:c r="E36" s="447" t="n">
        <x:v>2029</x:v>
      </x:c>
      <x:c r="F36" s="447" t="n">
        <x:v>2030</x:v>
      </x:c>
      <x:c r="G36" s="447" t="n">
        <x:v>2031</x:v>
      </x:c>
      <x:c r="H36" s="448" t="str">
        <x:v>Source / rationale</x:v>
      </x:c>
    </x:row>
    <x:row r="37">
      <x:c r="A37" s="471" t="str">
        <x:v>Network Volume ($bn)</x:v>
      </x:c>
      <x:c r="B37" s="476" t="n">
        <x:v>13</x:v>
      </x:c>
      <x:c r="C37" s="476" t="n">
        <x:v>15</x:v>
      </x:c>
      <x:c r="D37" s="476" t="n">
        <x:v>17</x:v>
      </x:c>
      <x:c r="E37" s="476" t="n">
        <x:v>19</x:v>
      </x:c>
      <x:c r="F37" s="476" t="n">
        <x:v>21</x:v>
      </x:c>
      <x:c r="G37" s="476" t="n">
        <x:v>23</x:v>
      </x:c>
      <x:c r="H37" s="471" t="str">
        <x:v>Scenario assumption</x:v>
      </x:c>
    </x:row>
    <x:row r="38">
      <x:c r="A38" s="474" t="str">
        <x:v>FRLPC %</x:v>
      </x:c>
      <x:c r="B38" s="477" t="n">
        <x:v>0.048</x:v>
      </x:c>
      <x:c r="C38" s="477" t="n">
        <x:v>0.0485</x:v>
      </x:c>
      <x:c r="D38" s="477" t="n">
        <x:v>0.0485</x:v>
      </x:c>
      <x:c r="E38" s="477" t="n">
        <x:v>0.048</x:v>
      </x:c>
      <x:c r="F38" s="477" t="n">
        <x:v>0.0475</x:v>
      </x:c>
      <x:c r="G38" s="477" t="n">
        <x:v>0.047</x:v>
      </x:c>
      <x:c r="H38" s="474" t="str">
        <x:v>Q1 2026 = 4.6%; mix and funding sensitivity</x:v>
      </x:c>
    </x:row>
    <x:row r="39">
      <x:c r="A39" s="474" t="str">
        <x:v>Normalized net income / FRLPC</x:v>
      </x:c>
      <x:c r="B39" s="477" t="n">
        <x:v>0.26</x:v>
      </x:c>
      <x:c r="C39" s="477" t="n">
        <x:v>0.29</x:v>
      </x:c>
      <x:c r="D39" s="477" t="n">
        <x:v>0.32</x:v>
      </x:c>
      <x:c r="E39" s="477" t="n">
        <x:v>0.35</x:v>
      </x:c>
      <x:c r="F39" s="477" t="n">
        <x:v>0.37</x:v>
      </x:c>
      <x:c r="G39" s="477" t="n">
        <x:v>0.39</x:v>
      </x:c>
      <x:c r="H39" s="474" t="str">
        <x:v>Owner-earnings margin after recurring costs</x:v>
      </x:c>
    </x:row>
    <x:row r="40">
      <x:c r="A40" s="479" t="str">
        <x:v>Equity capital / incremental volume</x:v>
      </x:c>
      <x:c r="B40" s="477" t="n">
        <x:v>0.0125</x:v>
      </x:c>
      <x:c r="C40" s="481"/>
      <x:c r="D40" s="481"/>
      <x:c r="E40" s="481"/>
      <x:c r="F40" s="481"/>
      <x:c r="G40" s="481"/>
      <x:c r="H40" s="479" t="str">
        <x:v>Required risk-retention equity capital</x:v>
      </x:c>
    </x:row>
    <x:row r="41">
      <x:c r="A41" s="369" t="str">
        <x:v>Cost of equity</x:v>
      </x:c>
      <x:c r="B41" s="477" t="n">
        <x:v>0.125</x:v>
      </x:c>
      <x:c r="C41" s="369" t="str">
        <x:v>Terminal growth</x:v>
      </x:c>
      <x:c r="D41" s="477" t="n">
        <x:v>0.035</x:v>
      </x:c>
      <x:c r="E41" s="369"/>
      <x:c r="F41" s="369"/>
      <x:c r="G41" s="369"/>
      <x:c r="H41" s="369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2" hidden="0" customWidth="1"/>
  </x:cols>
  <x:sheetData>
    <x:row r="1" ht="30" customHeight="1">
      <x:c r="A1" s="3" t="str">
        <x:v>Historical Financials and Operating KPIs</x:v>
      </x:c>
      <x:c r="B1" s="3" t="str">
        <x:v>Historical Financials and Operating KPIs</x:v>
      </x:c>
      <x:c r="C1" s="3" t="str">
        <x:v>Historical Financials and Operating KPIs</x:v>
      </x:c>
      <x:c r="D1" s="3" t="str">
        <x:v>Historical Financials and Operating KPIs</x:v>
      </x:c>
      <x:c r="E1" s="3" t="str">
        <x:v>Historical Financials and Operating KPIs</x:v>
      </x:c>
      <x:c r="F1" s="3" t="str">
        <x:v>Historical Financials and Operating KPIs</x:v>
      </x:c>
    </x:row>
    <x:row r="2">
      <x:c r="A2" s="491" t="str">
        <x:v>USD millions except Network Volume • Fiscal years ended December 31 • Q1 2026 quarter ended March 31</x:v>
      </x:c>
      <x:c r="B2" s="491"/>
      <x:c r="C2" s="491"/>
      <x:c r="D2" s="491"/>
      <x:c r="E2" s="491"/>
      <x:c r="F2" s="491"/>
    </x:row>
    <x:row r="3">
      <x:c r="A3" s="446" t="str">
        <x:v>Metric</x:v>
      </x:c>
      <x:c r="B3" s="447" t="str">
        <x:v>2023A</x:v>
      </x:c>
      <x:c r="C3" s="447" t="str">
        <x:v>2024A</x:v>
      </x:c>
      <x:c r="D3" s="447" t="str">
        <x:v>2025A</x:v>
      </x:c>
      <x:c r="E3" s="447" t="str">
        <x:v>Q1 2026A</x:v>
      </x:c>
      <x:c r="F3" s="448" t="str">
        <x:v>Source</x:v>
      </x:c>
    </x:row>
    <x:row r="4">
      <x:c r="A4" s="471" t="str">
        <x:v>Network Volume ($bn)</x:v>
      </x:c>
      <x:c r="B4" s="492" t="n">
        <x:v>8.299</x:v>
      </x:c>
      <x:c r="C4" s="492" t="n">
        <x:v>9.705</x:v>
      </x:c>
      <x:c r="D4" s="492" t="n">
        <x:v>10.534</x:v>
      </x:c>
      <x:c r="E4" s="492" t="n">
        <x:v>2.624</x:v>
      </x:c>
      <x:c r="F4" s="471" t="str">
        <x:v>S1 / S2</x:v>
      </x:c>
    </x:row>
    <x:row r="5">
      <x:c r="A5" s="474" t="str">
        <x:v>Total revenue and other income</x:v>
      </x:c>
      <x:c r="B5" s="493" t="n">
        <x:v>812.051</x:v>
      </x:c>
      <x:c r="C5" s="493" t="n">
        <x:v>1032.248</x:v>
      </x:c>
      <x:c r="D5" s="493" t="n">
        <x:v>1301.36</x:v>
      </x:c>
      <x:c r="E5" s="493" t="n">
        <x:v>317.944</x:v>
      </x:c>
      <x:c r="F5" s="474" t="str">
        <x:v>S1 / S2</x:v>
      </x:c>
    </x:row>
    <x:row r="6">
      <x:c r="A6" s="474" t="str">
        <x:v>Revenue from fees</x:v>
      </x:c>
      <x:c r="B6" s="493" t="n">
        <x:v>772.814</x:v>
      </x:c>
      <x:c r="C6" s="493" t="n">
        <x:v>1004.55</x:v>
      </x:c>
      <x:c r="D6" s="493" t="n">
        <x:v>1261.341</x:v>
      </x:c>
      <x:c r="E6" s="493" t="n">
        <x:v>298.991</x:v>
      </x:c>
      <x:c r="F6" s="474" t="str">
        <x:v>S1 / S2</x:v>
      </x:c>
    </x:row>
    <x:row r="7">
      <x:c r="A7" s="474" t="str">
        <x:v>Production costs</x:v>
      </x:c>
      <x:c r="B7" s="493" t="n">
        <x:v>508.944</x:v>
      </x:c>
      <x:c r="C7" s="493" t="n">
        <x:v>597.652</x:v>
      </x:c>
      <x:c r="D7" s="493" t="n">
        <x:v>749.169</x:v>
      </x:c>
      <x:c r="E7" s="493" t="n">
        <x:v>177.561</x:v>
      </x:c>
      <x:c r="F7" s="474" t="str">
        <x:v>S1 / S2</x:v>
      </x:c>
    </x:row>
    <x:row r="8">
      <x:c r="A8" s="494" t="str">
        <x:v>FRLPC</x:v>
      </x:c>
      <x:c r="B8" s="495" t="n">
        <x:v>263.87</x:v>
      </x:c>
      <x:c r="C8" s="495" t="n">
        <x:v>406.898</x:v>
      </x:c>
      <x:c r="D8" s="495" t="n">
        <x:v>512.172</x:v>
      </x:c>
      <x:c r="E8" s="495" t="n">
        <x:v>121</x:v>
      </x:c>
      <x:c r="F8" s="474" t="str">
        <x:v>S1 / S2</x:v>
      </x:c>
    </x:row>
    <x:row r="9">
      <x:c r="A9" s="474" t="str">
        <x:v>FRLPC %</x:v>
      </x:c>
      <x:c r="B9" s="496" t="n">
        <x:f>'Historicals'!B8/('Historicals'!B4*1000)</x:f>
        <x:v>0.031795397035787445</x:v>
      </x:c>
      <x:c r="C9" s="496" t="n">
        <x:f>'Historicals'!C8/('Historicals'!C4*1000)</x:f>
        <x:v>0.04192663575476559</x:v>
      </x:c>
      <x:c r="D9" s="496" t="n">
        <x:f>'Historicals'!D8/('Historicals'!D4*1000)</x:f>
        <x:v>0.048620846781849254</x:v>
      </x:c>
      <x:c r="E9" s="496" t="n">
        <x:f>'Historicals'!E8/('Historicals'!E4*1000)</x:f>
        <x:v>0.04611280487804878</x:v>
      </x:c>
      <x:c r="F9" s="474" t="str">
        <x:v>Calculated</x:v>
      </x:c>
    </x:row>
    <x:row r="10">
      <x:c r="A10" s="494" t="str">
        <x:v>Adjusted EBITDA</x:v>
      </x:c>
      <x:c r="B10" s="495" t="n">
        <x:v>82.022</x:v>
      </x:c>
      <x:c r="C10" s="495" t="n">
        <x:v>210.378</x:v>
      </x:c>
      <x:c r="D10" s="495" t="n">
        <x:v>370.987</x:v>
      </x:c>
      <x:c r="E10" s="495" t="n">
        <x:v>94</x:v>
      </x:c>
      <x:c r="F10" s="474" t="str">
        <x:v>S1 / S2</x:v>
      </x:c>
    </x:row>
    <x:row r="11">
      <x:c r="A11" s="474" t="str">
        <x:v>Adjusted EBITDA / FRLPC</x:v>
      </x:c>
      <x:c r="B11" s="496" t="n">
        <x:f>'Historicals'!B10/'Historicals'!B8</x:f>
        <x:v>0.3108424603024217</x:v>
      </x:c>
      <x:c r="C11" s="496" t="n">
        <x:f>'Historicals'!C10/'Historicals'!C8</x:f>
        <x:v>0.5170288376939675</x:v>
      </x:c>
      <x:c r="D11" s="496" t="n">
        <x:f>'Historicals'!D10/'Historicals'!D8</x:f>
        <x:v>0.7243406511874917</x:v>
      </x:c>
      <x:c r="E11" s="496" t="n">
        <x:f>'Historicals'!E10/'Historicals'!E8</x:f>
        <x:v>0.7768595041322314</x:v>
      </x:c>
      <x:c r="F11" s="474" t="str">
        <x:v>Calculated</x:v>
      </x:c>
    </x:row>
    <x:row r="12">
      <x:c r="A12" s="474" t="str">
        <x:v>Operating income (loss)</x:v>
      </x:c>
      <x:c r="B12" s="493" t="n">
        <x:v>-24.4</x:v>
      </x:c>
      <x:c r="C12" s="493" t="n">
        <x:v>66.84</x:v>
      </x:c>
      <x:c r="D12" s="493" t="n">
        <x:v>263.827</x:v>
      </x:c>
      <x:c r="E12" s="493" t="n">
        <x:v>80.005</x:v>
      </x:c>
      <x:c r="F12" s="474" t="str">
        <x:v>S1 / S2</x:v>
      </x:c>
    </x:row>
    <x:row r="13">
      <x:c r="A13" s="474" t="str">
        <x:v>Net income attributable to Pagaya</x:v>
      </x:c>
      <x:c r="B13" s="493" t="n">
        <x:v>-128.438</x:v>
      </x:c>
      <x:c r="C13" s="493" t="n">
        <x:v>-401.406</x:v>
      </x:c>
      <x:c r="D13" s="493" t="n">
        <x:v>81.389</x:v>
      </x:c>
      <x:c r="E13" s="493" t="n">
        <x:v>24.694</x:v>
      </x:c>
      <x:c r="F13" s="474" t="str">
        <x:v>S1 / S2</x:v>
      </x:c>
    </x:row>
    <x:row r="14">
      <x:c r="A14" s="474" t="str">
        <x:v>Operating cash flow</x:v>
      </x:c>
      <x:c r="B14" s="493" t="n">
        <x:v>-21.659</x:v>
      </x:c>
      <x:c r="C14" s="493" t="n">
        <x:v>47.751</x:v>
      </x:c>
      <x:c r="D14" s="493" t="n">
        <x:v>238.62</x:v>
      </x:c>
      <x:c r="E14" s="493" t="n">
        <x:v>43.184</x:v>
      </x:c>
      <x:c r="F14" s="474" t="str">
        <x:v>S1 / S2</x:v>
      </x:c>
    </x:row>
    <x:row r="15">
      <x:c r="A15" s="474" t="str">
        <x:v>Share-based compensation</x:v>
      </x:c>
      <x:c r="B15" s="493" t="n">
        <x:v>71.055</x:v>
      </x:c>
      <x:c r="C15" s="493" t="n">
        <x:v>61.497</x:v>
      </x:c>
      <x:c r="D15" s="493" t="n">
        <x:v>54.118</x:v>
      </x:c>
      <x:c r="E15" s="493" t="n">
        <x:v>7.196</x:v>
      </x:c>
      <x:c r="F15" s="474" t="str">
        <x:v>S1 / S2</x:v>
      </x:c>
    </x:row>
    <x:row r="16">
      <x:c r="A16" s="474" t="str">
        <x:v>Depreciation &amp; amortization</x:v>
      </x:c>
      <x:c r="B16" s="493" t="n">
        <x:v>19.127</x:v>
      </x:c>
      <x:c r="C16" s="493" t="n">
        <x:v>28.753</x:v>
      </x:c>
      <x:c r="D16" s="493" t="n">
        <x:v>30.077</x:v>
      </x:c>
      <x:c r="E16" s="493" t="n">
        <x:v>3.862</x:v>
      </x:c>
      <x:c r="F16" s="474" t="str">
        <x:v>S1 / S2</x:v>
      </x:c>
    </x:row>
    <x:row r="17">
      <x:c r="A17" s="474" t="str">
        <x:v>Capex / PP&amp;E and software purchases</x:v>
      </x:c>
      <x:c r="B17" s="493" t="n">
        <x:v>20.189</x:v>
      </x:c>
      <x:c r="C17" s="493" t="n">
        <x:v>17.737</x:v>
      </x:c>
      <x:c r="D17" s="493" t="n">
        <x:v>13.902</x:v>
      </x:c>
      <x:c r="E17" s="493" t="n">
        <x:v>3.176</x:v>
      </x:c>
      <x:c r="F17" s="474" t="str">
        <x:v>S1 / S2</x:v>
      </x:c>
    </x:row>
    <x:row r="18">
      <x:c r="A18" s="474" t="str">
        <x:v>Diluted weighted-average shares</x:v>
      </x:c>
      <x:c r="B18" s="497" t="n">
        <x:v>60.039</x:v>
      </x:c>
      <x:c r="C18" s="497" t="n">
        <x:v>70.88</x:v>
      </x:c>
      <x:c r="D18" s="497" t="n">
        <x:v>83.097</x:v>
      </x:c>
      <x:c r="E18" s="497" t="n">
        <x:v>96.745</x:v>
      </x:c>
      <x:c r="F18" s="474" t="str">
        <x:v>S1 / S2</x:v>
      </x:c>
    </x:row>
    <x:row r="19">
      <x:c r="A19" s="479" t="str">
        <x:v>GAAP diluted EPS</x:v>
      </x:c>
      <x:c r="B19" s="498" t="n">
        <x:v>-2.14</x:v>
      </x:c>
      <x:c r="C19" s="498" t="n">
        <x:v>-5.66</x:v>
      </x:c>
      <x:c r="D19" s="498" t="n">
        <x:v>0.93</x:v>
      </x:c>
      <x:c r="E19" s="498" t="n">
        <x:v>0.28</x:v>
      </x:c>
      <x:c r="F19" s="479" t="str">
        <x:v>S1 / S2</x:v>
      </x:c>
    </x:row>
    <x:row r="20">
      <x:c r="A20" s="369"/>
      <x:c r="B20" s="369"/>
      <x:c r="C20" s="369"/>
      <x:c r="D20" s="369"/>
      <x:c r="E20" s="369"/>
      <x:c r="F20" s="369"/>
    </x:row>
    <x:row r="21" ht="22" customHeight="1">
      <x:c r="A21" s="34" t="str">
        <x:v>Analytical read-through</x:v>
      </x:c>
      <x:c r="B21" s="34"/>
      <x:c r="C21" s="34"/>
      <x:c r="D21" s="34"/>
      <x:c r="E21" s="34"/>
      <x:c r="F21" s="34"/>
    </x:row>
    <x:row r="22" ht="34" customHeight="1">
      <x:c r="A22" s="499" t="str">
        <x:v>Scale</x:v>
      </x:c>
      <x:c r="B22" s="437" t="str">
        <x:v>Network Volume grew 27% from 2023 to 2025, but 2026 guidance implies a wide 9%-23% range.</x:v>
      </x:c>
      <x:c r="C22" s="437"/>
      <x:c r="D22" s="437"/>
      <x:c r="E22" s="437"/>
      <x:c r="F22" s="437"/>
    </x:row>
    <x:row r="23" ht="34" customHeight="1">
      <x:c r="A23" s="499" t="str">
        <x:v>Monetization</x:v>
      </x:c>
      <x:c r="B23" s="437" t="str">
        <x:v>FRLPC expanded from 3.2% to 4.9% of volume before easing to 4.6% in Q1 2026.</x:v>
      </x:c>
      <x:c r="C23" s="437"/>
      <x:c r="D23" s="437"/>
      <x:c r="E23" s="437"/>
      <x:c r="F23" s="437"/>
    </x:row>
    <x:row r="24" ht="34" customHeight="1">
      <x:c r="A24" s="499" t="str">
        <x:v>Owner economics</x:v>
      </x:c>
      <x:c r="B24" s="437" t="str">
        <x:v>SBC fell materially while GAAP profitability and cash generation improved; the July 2026 $750mm auto ABS transaction supports funding execution, but retained-credit capital remains the key valuation constraint.</x:v>
      </x:c>
      <x:c r="C24" s="437"/>
      <x:c r="D24" s="437"/>
      <x:c r="E24" s="437"/>
      <x:c r="F24" s="437"/>
    </x:row>
  </x:sheetData>
  <x:mergeCells>
    <x:mergeCell ref="A1:F1"/>
    <x:mergeCell ref="A2:F2"/>
    <x:mergeCell ref="B22:F22"/>
    <x:mergeCell ref="B23:F23"/>
    <x:mergeCell ref="B24:F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3" t="str">
        <x:v>Scenario Forecast and Equity Cash Flow</x:v>
      </x:c>
      <x:c r="B1" s="3" t="str">
        <x:v>Scenario Forecast and Equity Cash Flow</x:v>
      </x:c>
      <x:c r="C1" s="3" t="str">
        <x:v>Scenario Forecast and Equity Cash Flow</x:v>
      </x:c>
      <x:c r="D1" s="3" t="str">
        <x:v>Scenario Forecast and Equity Cash Flow</x:v>
      </x:c>
      <x:c r="E1" s="3" t="str">
        <x:v>Scenario Forecast and Equity Cash Flow</x:v>
      </x:c>
      <x:c r="F1" s="3" t="str">
        <x:v>Scenario Forecast and Equity Cash Flow</x:v>
      </x:c>
      <x:c r="G1" s="3" t="str">
        <x:v>Scenario Forecast and Equity Cash Flow</x:v>
      </x:c>
    </x:row>
    <x:row r="2">
      <x:c r="A2" s="491" t="str">
        <x:v>USD millions except Network Volume • 2026E–2031E • Year-end discounting • FCFE deducts incremental risk-retention equity</x:v>
      </x:c>
      <x:c r="B2" s="491"/>
      <x:c r="C2" s="491"/>
      <x:c r="D2" s="491"/>
      <x:c r="E2" s="491"/>
      <x:c r="F2" s="491"/>
      <x:c r="G2" s="491"/>
    </x:row>
    <x:row r="3" ht="22" customHeight="1">
      <x:c r="A3" s="26" t="str">
        <x:v>Bear case</x:v>
      </x:c>
      <x:c r="B3" s="26"/>
      <x:c r="C3" s="26"/>
      <x:c r="D3" s="26"/>
      <x:c r="E3" s="26"/>
      <x:c r="F3" s="26"/>
      <x:c r="G3" s="26"/>
    </x:row>
    <x:row r="4">
      <x:c r="A4" s="446" t="str">
        <x:v>$mm except per-share and Network Volume</x:v>
      </x:c>
      <x:c r="B4" s="447" t="n">
        <x:v>2026</x:v>
      </x:c>
      <x:c r="C4" s="447" t="n">
        <x:v>2027</x:v>
      </x:c>
      <x:c r="D4" s="447" t="n">
        <x:v>2028</x:v>
      </x:c>
      <x:c r="E4" s="447" t="n">
        <x:v>2029</x:v>
      </x:c>
      <x:c r="F4" s="447" t="n">
        <x:v>2030</x:v>
      </x:c>
      <x:c r="G4" s="448" t="n">
        <x:v>2031</x:v>
      </x:c>
    </x:row>
    <x:row r="5">
      <x:c r="A5" s="471" t="str">
        <x:v>Network Volume ($bn)</x:v>
      </x:c>
      <x:c r="B5" s="492" t="n">
        <x:f>'Assumptions'!B21</x:f>
        <x:v>11.45</x:v>
      </x:c>
      <x:c r="C5" s="492" t="n">
        <x:f>'Assumptions'!C21</x:f>
        <x:v>12</x:v>
      </x:c>
      <x:c r="D5" s="492" t="n">
        <x:f>'Assumptions'!D21</x:f>
        <x:v>12.6</x:v>
      </x:c>
      <x:c r="E5" s="492" t="n">
        <x:f>'Assumptions'!E21</x:f>
        <x:v>13.2</x:v>
      </x:c>
      <x:c r="F5" s="492" t="n">
        <x:f>'Assumptions'!F21</x:f>
        <x:v>13.7</x:v>
      </x:c>
      <x:c r="G5" s="492" t="n">
        <x:f>'Assumptions'!G21</x:f>
        <x:v>14.1</x:v>
      </x:c>
    </x:row>
    <x:row r="6">
      <x:c r="A6" s="474" t="str">
        <x:v>Volume growth</x:v>
      </x:c>
      <x:c r="B6" s="496" t="n">
        <x:f>'Forecast'!B5/'Assumptions'!$B$12-1</x:f>
        <x:v>0.08695652173913038</x:v>
      </x:c>
      <x:c r="C6" s="496" t="n">
        <x:f>'Forecast'!C5/'Forecast'!B5-1</x:f>
        <x:v>0.048034934497816595</x:v>
      </x:c>
      <x:c r="D6" s="496" t="n">
        <x:f>'Forecast'!D5/'Forecast'!C5-1</x:f>
        <x:v>0.050000000000000044</x:v>
      </x:c>
      <x:c r="E6" s="496" t="n">
        <x:f>'Forecast'!E5/'Forecast'!D5-1</x:f>
        <x:v>0.04761904761904767</x:v>
      </x:c>
      <x:c r="F6" s="496" t="n">
        <x:f>'Forecast'!F5/'Forecast'!E5-1</x:f>
        <x:v>0.037878787878787845</x:v>
      </x:c>
      <x:c r="G6" s="496" t="n">
        <x:f>'Forecast'!G5/'Forecast'!F5-1</x:f>
        <x:v>0.029197080291970767</x:v>
      </x:c>
    </x:row>
    <x:row r="7">
      <x:c r="A7" s="474" t="str">
        <x:v>FRLPC %</x:v>
      </x:c>
      <x:c r="B7" s="509" t="n">
        <x:f>'Assumptions'!B22</x:f>
        <x:v>0.044</x:v>
      </x:c>
      <x:c r="C7" s="509" t="n">
        <x:f>'Assumptions'!C22</x:f>
        <x:v>0.0435</x:v>
      </x:c>
      <x:c r="D7" s="509" t="n">
        <x:f>'Assumptions'!D22</x:f>
        <x:v>0.043</x:v>
      </x:c>
      <x:c r="E7" s="509" t="n">
        <x:f>'Assumptions'!E22</x:f>
        <x:v>0.0425</x:v>
      </x:c>
      <x:c r="F7" s="509" t="n">
        <x:f>'Assumptions'!F22</x:f>
        <x:v>0.042</x:v>
      </x:c>
      <x:c r="G7" s="509" t="n">
        <x:f>'Assumptions'!G22</x:f>
        <x:v>0.0415</x:v>
      </x:c>
    </x:row>
    <x:row r="8">
      <x:c r="A8" s="474" t="str">
        <x:v>FRLPC</x:v>
      </x:c>
      <x:c r="B8" s="510" t="n">
        <x:f>'Forecast'!B5*1000*'Forecast'!B7</x:f>
        <x:v>503.79999999999995</x:v>
      </x:c>
      <x:c r="C8" s="510" t="n">
        <x:f>'Forecast'!C5*1000*'Forecast'!C7</x:f>
        <x:v>522</x:v>
      </x:c>
      <x:c r="D8" s="510" t="n">
        <x:f>'Forecast'!D5*1000*'Forecast'!D7</x:f>
        <x:v>541.8</x:v>
      </x:c>
      <x:c r="E8" s="510" t="n">
        <x:f>'Forecast'!E5*1000*'Forecast'!E7</x:f>
        <x:v>561</x:v>
      </x:c>
      <x:c r="F8" s="510" t="n">
        <x:f>'Forecast'!F5*1000*'Forecast'!F7</x:f>
        <x:v>575.4000000000001</x:v>
      </x:c>
      <x:c r="G8" s="510" t="n">
        <x:f>'Forecast'!G5*1000*'Forecast'!G7</x:f>
        <x:v>585.15</x:v>
      </x:c>
    </x:row>
    <x:row r="9">
      <x:c r="A9" s="474" t="str">
        <x:v>Normalized net income / FRLPC</x:v>
      </x:c>
      <x:c r="B9" s="509" t="n">
        <x:f>'Assumptions'!B23</x:f>
        <x:v>0.18</x:v>
      </x:c>
      <x:c r="C9" s="509" t="n">
        <x:f>'Assumptions'!C23</x:f>
        <x:v>0.2</x:v>
      </x:c>
      <x:c r="D9" s="509" t="n">
        <x:f>'Assumptions'!D23</x:f>
        <x:v>0.22</x:v>
      </x:c>
      <x:c r="E9" s="509" t="n">
        <x:f>'Assumptions'!E23</x:f>
        <x:v>0.24</x:v>
      </x:c>
      <x:c r="F9" s="509" t="n">
        <x:f>'Assumptions'!F23</x:f>
        <x:v>0.25</x:v>
      </x:c>
      <x:c r="G9" s="509" t="n">
        <x:f>'Assumptions'!G23</x:f>
        <x:v>0.26</x:v>
      </x:c>
    </x:row>
    <x:row r="10">
      <x:c r="A10" s="474" t="str">
        <x:v>Normalized net income</x:v>
      </x:c>
      <x:c r="B10" s="510" t="n">
        <x:f>'Forecast'!B8*'Forecast'!B9</x:f>
        <x:v>90.68399999999998</x:v>
      </x:c>
      <x:c r="C10" s="510" t="n">
        <x:f>'Forecast'!C8*'Forecast'!C9</x:f>
        <x:v>104.4</x:v>
      </x:c>
      <x:c r="D10" s="510" t="n">
        <x:f>'Forecast'!D8*'Forecast'!D9</x:f>
        <x:v>119.19599999999998</x:v>
      </x:c>
      <x:c r="E10" s="510" t="n">
        <x:f>'Forecast'!E8*'Forecast'!E9</x:f>
        <x:v>134.64</x:v>
      </x:c>
      <x:c r="F10" s="510" t="n">
        <x:f>'Forecast'!F8*'Forecast'!F9</x:f>
        <x:v>143.85000000000002</x:v>
      </x:c>
      <x:c r="G10" s="510" t="n">
        <x:f>'Forecast'!G8*'Forecast'!G9</x:f>
        <x:v>152.139</x:v>
      </x:c>
    </x:row>
    <x:row r="11">
      <x:c r="A11" s="474" t="str">
        <x:v>D&amp;A</x:v>
      </x:c>
      <x:c r="B11" s="510" t="n">
        <x:f>'Forecast'!B8*'Assumptions'!$B$10</x:f>
        <x:v>25.189999999999998</x:v>
      </x:c>
      <x:c r="C11" s="510" t="n">
        <x:f>'Forecast'!C8*'Assumptions'!$B$10</x:f>
        <x:v>26.1</x:v>
      </x:c>
      <x:c r="D11" s="510" t="n">
        <x:f>'Forecast'!D8*'Assumptions'!$B$10</x:f>
        <x:v>27.09</x:v>
      </x:c>
      <x:c r="E11" s="510" t="n">
        <x:f>'Forecast'!E8*'Assumptions'!$B$10</x:f>
        <x:v>28.05</x:v>
      </x:c>
      <x:c r="F11" s="510" t="n">
        <x:f>'Forecast'!F8*'Assumptions'!$B$10</x:f>
        <x:v>28.770000000000007</x:v>
      </x:c>
      <x:c r="G11" s="510" t="n">
        <x:f>'Forecast'!G8*'Assumptions'!$B$10</x:f>
        <x:v>29.2575</x:v>
      </x:c>
    </x:row>
    <x:row r="12">
      <x:c r="A12" s="474" t="str">
        <x:v>Capex</x:v>
      </x:c>
      <x:c r="B12" s="510" t="n">
        <x:f>'Forecast'!B8*'Assumptions'!$B$11</x:f>
        <x:v>20.151999999999997</x:v>
      </x:c>
      <x:c r="C12" s="510" t="n">
        <x:f>'Forecast'!C8*'Assumptions'!$B$11</x:f>
        <x:v>20.88</x:v>
      </x:c>
      <x:c r="D12" s="510" t="n">
        <x:f>'Forecast'!D8*'Assumptions'!$B$11</x:f>
        <x:v>21.671999999999997</x:v>
      </x:c>
      <x:c r="E12" s="510" t="n">
        <x:f>'Forecast'!E8*'Assumptions'!$B$11</x:f>
        <x:v>22.44</x:v>
      </x:c>
      <x:c r="F12" s="510" t="n">
        <x:f>'Forecast'!F8*'Assumptions'!$B$11</x:f>
        <x:v>23.016000000000005</x:v>
      </x:c>
      <x:c r="G12" s="510" t="n">
        <x:f>'Forecast'!G8*'Assumptions'!$B$11</x:f>
        <x:v>23.406</x:v>
      </x:c>
    </x:row>
    <x:row r="13">
      <x:c r="A13" s="474" t="str">
        <x:v>Incremental risk-retention equity</x:v>
      </x:c>
      <x:c r="B13" s="510" t="n">
        <x:f>MAX(0,'Forecast'!B5-'Assumptions'!$B$12)*1000*'Assumptions'!$B$24</x:f>
        <x:v>18.319999999999972</x:v>
      </x:c>
      <x:c r="C13" s="510" t="n">
        <x:f>MAX(0,'Forecast'!C5-'Forecast'!B5)*1000*'Assumptions'!$B$24</x:f>
        <x:v>11.000000000000014</x:v>
      </x:c>
      <x:c r="D13" s="510" t="n">
        <x:f>MAX(0,'Forecast'!D5-'Forecast'!C5)*1000*'Assumptions'!$B$24</x:f>
        <x:v>11.999999999999993</x:v>
      </x:c>
      <x:c r="E13" s="510" t="n">
        <x:f>MAX(0,'Forecast'!E5-'Forecast'!D5)*1000*'Assumptions'!$B$24</x:f>
        <x:v>11.999999999999993</x:v>
      </x:c>
      <x:c r="F13" s="510" t="n">
        <x:f>MAX(0,'Forecast'!F5-'Forecast'!E5)*1000*'Assumptions'!$B$24</x:f>
        <x:v>10</x:v>
      </x:c>
      <x:c r="G13" s="510" t="n">
        <x:f>MAX(0,'Forecast'!G5-'Forecast'!F5)*1000*'Assumptions'!$B$24</x:f>
        <x:v>8.000000000000007</x:v>
      </x:c>
    </x:row>
    <x:row r="14">
      <x:c r="A14" s="511" t="str">
        <x:v>FCFE</x:v>
      </x:c>
      <x:c r="B14" s="512" t="n">
        <x:f>'Forecast'!B10+'Forecast'!B11-'Forecast'!B12-'Forecast'!B13</x:f>
        <x:v>77.40200000000002</x:v>
      </x:c>
      <x:c r="C14" s="512" t="n">
        <x:f>'Forecast'!C10+'Forecast'!C11-'Forecast'!C12-'Forecast'!C13</x:f>
        <x:v>98.61999999999999</x:v>
      </x:c>
      <x:c r="D14" s="512" t="n">
        <x:f>'Forecast'!D10+'Forecast'!D11-'Forecast'!D12-'Forecast'!D13</x:f>
        <x:v>112.61399999999998</x:v>
      </x:c>
      <x:c r="E14" s="512" t="n">
        <x:f>'Forecast'!E10+'Forecast'!E11-'Forecast'!E12-'Forecast'!E13</x:f>
        <x:v>128.25</x:v>
      </x:c>
      <x:c r="F14" s="512" t="n">
        <x:f>'Forecast'!F10+'Forecast'!F11-'Forecast'!F12-'Forecast'!F13</x:f>
        <x:v>139.60400000000004</x:v>
      </x:c>
      <x:c r="G14" s="512" t="n">
        <x:f>'Forecast'!G10+'Forecast'!G11-'Forecast'!G12-'Forecast'!G13</x:f>
        <x:v>149.9905</x:v>
      </x:c>
    </x:row>
    <x:row r="15">
      <x:c r="A15" s="474" t="str">
        <x:v>PV factor</x:v>
      </x:c>
      <x:c r="B15" s="513" t="n">
        <x:f>1/(1+'Assumptions'!$B$25)^(B4-2025)</x:f>
        <x:v>0.8620689655172414</x:v>
      </x:c>
      <x:c r="C15" s="513" t="n">
        <x:f>1/(1+'Assumptions'!$B$25)^(C4-2025)</x:f>
        <x:v>0.7431629013079668</x:v>
      </x:c>
      <x:c r="D15" s="513" t="n">
        <x:f>1/(1+'Assumptions'!$B$25)^(D4-2025)</x:f>
        <x:v>0.6406576735413507</x:v>
      </x:c>
      <x:c r="E15" s="513" t="n">
        <x:f>1/(1+'Assumptions'!$B$25)^(E4-2025)</x:f>
        <x:v>0.5522910978804748</x:v>
      </x:c>
      <x:c r="F15" s="513" t="n">
        <x:f>1/(1+'Assumptions'!$B$25)^(F4-2025)</x:f>
        <x:v>0.4761130154142025</x:v>
      </x:c>
      <x:c r="G15" s="513" t="n">
        <x:f>1/(1+'Assumptions'!$B$25)^(G4-2025)</x:f>
        <x:v>0.4104422546674159</x:v>
      </x:c>
    </x:row>
    <x:row r="16">
      <x:c r="A16" s="479" t="str">
        <x:v>PV of FCFE</x:v>
      </x:c>
      <x:c r="B16" s="480" t="n">
        <x:f>'Forecast'!B14*'Forecast'!B15</x:f>
        <x:v>66.72586206896554</x:v>
      </x:c>
      <x:c r="C16" s="480" t="n">
        <x:f>'Forecast'!C14*'Forecast'!C15</x:f>
        <x:v>73.29072532699168</x:v>
      </x:c>
      <x:c r="D16" s="480" t="n">
        <x:f>'Forecast'!D14*'Forecast'!D15</x:f>
        <x:v>72.14702324818566</x:v>
      </x:c>
      <x:c r="E16" s="480" t="n">
        <x:f>'Forecast'!E14*'Forecast'!E15</x:f>
        <x:v>70.8313333031709</x:v>
      </x:c>
      <x:c r="F16" s="480" t="n">
        <x:f>'Forecast'!F14*'Forecast'!F15</x:f>
        <x:v>66.46728140388434</x:v>
      </x:c>
      <x:c r="G16" s="480" t="n">
        <x:f>'Forecast'!G14*'Forecast'!G15</x:f>
        <x:v>61.56243899869305</x:v>
      </x:c>
    </x:row>
    <x:row r="17">
      <x:c r="A17" s="369"/>
      <x:c r="B17" s="369"/>
      <x:c r="C17" s="369"/>
      <x:c r="D17" s="369"/>
      <x:c r="E17" s="369"/>
      <x:c r="F17" s="369"/>
      <x:c r="G17" s="369"/>
    </x:row>
    <x:row r="18" ht="22" customHeight="1">
      <x:c r="A18" s="34" t="str">
        <x:v>Base case</x:v>
      </x:c>
      <x:c r="B18" s="34"/>
      <x:c r="C18" s="34"/>
      <x:c r="D18" s="34"/>
      <x:c r="E18" s="34"/>
      <x:c r="F18" s="34"/>
      <x:c r="G18" s="34"/>
    </x:row>
    <x:row r="19">
      <x:c r="A19" s="446" t="str">
        <x:v>$mm except per-share and Network Volume</x:v>
      </x:c>
      <x:c r="B19" s="447" t="n">
        <x:v>2026</x:v>
      </x:c>
      <x:c r="C19" s="447" t="n">
        <x:v>2027</x:v>
      </x:c>
      <x:c r="D19" s="447" t="n">
        <x:v>2028</x:v>
      </x:c>
      <x:c r="E19" s="447" t="n">
        <x:v>2029</x:v>
      </x:c>
      <x:c r="F19" s="447" t="n">
        <x:v>2030</x:v>
      </x:c>
      <x:c r="G19" s="448" t="n">
        <x:v>2031</x:v>
      </x:c>
    </x:row>
    <x:row r="20">
      <x:c r="A20" s="471" t="str">
        <x:v>Network Volume ($bn)</x:v>
      </x:c>
      <x:c r="B20" s="492" t="n">
        <x:f>'Assumptions'!B29</x:f>
        <x:v>12.225</x:v>
      </x:c>
      <x:c r="C20" s="492" t="n">
        <x:f>'Assumptions'!C29</x:f>
        <x:v>13.7</x:v>
      </x:c>
      <x:c r="D20" s="492" t="n">
        <x:f>'Assumptions'!D29</x:f>
        <x:v>15.2</x:v>
      </x:c>
      <x:c r="E20" s="492" t="n">
        <x:f>'Assumptions'!E29</x:f>
        <x:v>16.7</x:v>
      </x:c>
      <x:c r="F20" s="492" t="n">
        <x:f>'Assumptions'!F29</x:f>
        <x:v>18</x:v>
      </x:c>
      <x:c r="G20" s="492" t="n">
        <x:f>'Assumptions'!G29</x:f>
        <x:v>19.2</x:v>
      </x:c>
    </x:row>
    <x:row r="21">
      <x:c r="A21" s="474" t="str">
        <x:v>Volume growth</x:v>
      </x:c>
      <x:c r="B21" s="496" t="n">
        <x:f>'Forecast'!B20/'Assumptions'!$B$12-1</x:f>
        <x:v>0.16052781469527244</x:v>
      </x:c>
      <x:c r="C21" s="496" t="n">
        <x:f>'Forecast'!C20/'Forecast'!B20-1</x:f>
        <x:v>0.12065439672801626</x:v>
      </x:c>
      <x:c r="D21" s="496" t="n">
        <x:f>'Forecast'!D20/'Forecast'!C20-1</x:f>
        <x:v>0.10948905109489049</x:v>
      </x:c>
      <x:c r="E21" s="496" t="n">
        <x:f>'Forecast'!E20/'Forecast'!D20-1</x:f>
        <x:v>0.09868421052631571</x:v>
      </x:c>
      <x:c r="F21" s="496" t="n">
        <x:f>'Forecast'!F20/'Forecast'!E20-1</x:f>
        <x:v>0.07784431137724557</x:v>
      </x:c>
      <x:c r="G21" s="496" t="n">
        <x:f>'Forecast'!G20/'Forecast'!F20-1</x:f>
        <x:v>0.06666666666666665</x:v>
      </x:c>
    </x:row>
    <x:row r="22">
      <x:c r="A22" s="474" t="str">
        <x:v>FRLPC %</x:v>
      </x:c>
      <x:c r="B22" s="509" t="n">
        <x:f>'Assumptions'!B30</x:f>
        <x:v>0.0465</x:v>
      </x:c>
      <x:c r="C22" s="509" t="n">
        <x:f>'Assumptions'!C30</x:f>
        <x:v>0.0465</x:v>
      </x:c>
      <x:c r="D22" s="509" t="n">
        <x:f>'Assumptions'!D30</x:f>
        <x:v>0.046</x:v>
      </x:c>
      <x:c r="E22" s="509" t="n">
        <x:f>'Assumptions'!E30</x:f>
        <x:v>0.0455</x:v>
      </x:c>
      <x:c r="F22" s="509" t="n">
        <x:f>'Assumptions'!F30</x:f>
        <x:v>0.045</x:v>
      </x:c>
      <x:c r="G22" s="509" t="n">
        <x:f>'Assumptions'!G30</x:f>
        <x:v>0.0445</x:v>
      </x:c>
    </x:row>
    <x:row r="23">
      <x:c r="A23" s="474" t="str">
        <x:v>FRLPC</x:v>
      </x:c>
      <x:c r="B23" s="510" t="n">
        <x:f>'Forecast'!B20*1000*'Forecast'!B22</x:f>
        <x:v>568.4625</x:v>
      </x:c>
      <x:c r="C23" s="510" t="n">
        <x:f>'Forecast'!C20*1000*'Forecast'!C22</x:f>
        <x:v>637.05</x:v>
      </x:c>
      <x:c r="D23" s="510" t="n">
        <x:f>'Forecast'!D20*1000*'Forecast'!D22</x:f>
        <x:v>699.1999999999999</x:v>
      </x:c>
      <x:c r="E23" s="510" t="n">
        <x:f>'Forecast'!E20*1000*'Forecast'!E22</x:f>
        <x:v>759.85</x:v>
      </x:c>
      <x:c r="F23" s="510" t="n">
        <x:f>'Forecast'!F20*1000*'Forecast'!F22</x:f>
        <x:v>810</x:v>
      </x:c>
      <x:c r="G23" s="510" t="n">
        <x:f>'Forecast'!G20*1000*'Forecast'!G22</x:f>
        <x:v>854.4</x:v>
      </x:c>
    </x:row>
    <x:row r="24">
      <x:c r="A24" s="474" t="str">
        <x:v>Normalized net income / FRLPC</x:v>
      </x:c>
      <x:c r="B24" s="509" t="n">
        <x:f>'Assumptions'!B31</x:f>
        <x:v>0.24</x:v>
      </x:c>
      <x:c r="C24" s="509" t="n">
        <x:f>'Assumptions'!C31</x:f>
        <x:v>0.26</x:v>
      </x:c>
      <x:c r="D24" s="509" t="n">
        <x:f>'Assumptions'!D31</x:f>
        <x:v>0.28</x:v>
      </x:c>
      <x:c r="E24" s="509" t="n">
        <x:f>'Assumptions'!E31</x:f>
        <x:v>0.3</x:v>
      </x:c>
      <x:c r="F24" s="509" t="n">
        <x:f>'Assumptions'!F31</x:f>
        <x:v>0.32</x:v>
      </x:c>
      <x:c r="G24" s="509" t="n">
        <x:f>'Assumptions'!G31</x:f>
        <x:v>0.34</x:v>
      </x:c>
    </x:row>
    <x:row r="25">
      <x:c r="A25" s="474" t="str">
        <x:v>Normalized net income</x:v>
      </x:c>
      <x:c r="B25" s="510" t="n">
        <x:f>'Forecast'!B23*'Forecast'!B24</x:f>
        <x:v>136.43099999999998</x:v>
      </x:c>
      <x:c r="C25" s="510" t="n">
        <x:f>'Forecast'!C23*'Forecast'!C24</x:f>
        <x:v>165.63299999999998</x:v>
      </x:c>
      <x:c r="D25" s="510" t="n">
        <x:f>'Forecast'!D23*'Forecast'!D24</x:f>
        <x:v>195.776</x:v>
      </x:c>
      <x:c r="E25" s="510" t="n">
        <x:f>'Forecast'!E23*'Forecast'!E24</x:f>
        <x:v>227.955</x:v>
      </x:c>
      <x:c r="F25" s="510" t="n">
        <x:f>'Forecast'!F23*'Forecast'!F24</x:f>
        <x:v>259.2</x:v>
      </x:c>
      <x:c r="G25" s="510" t="n">
        <x:f>'Forecast'!G23*'Forecast'!G24</x:f>
        <x:v>290.49600000000004</x:v>
      </x:c>
    </x:row>
    <x:row r="26">
      <x:c r="A26" s="474" t="str">
        <x:v>D&amp;A</x:v>
      </x:c>
      <x:c r="B26" s="510" t="n">
        <x:f>'Forecast'!B23*'Assumptions'!$B$10</x:f>
        <x:v>28.423125</x:v>
      </x:c>
      <x:c r="C26" s="510" t="n">
        <x:f>'Forecast'!C23*'Assumptions'!$B$10</x:f>
        <x:v>31.8525</x:v>
      </x:c>
      <x:c r="D26" s="510" t="n">
        <x:f>'Forecast'!D23*'Assumptions'!$B$10</x:f>
        <x:v>34.96</x:v>
      </x:c>
      <x:c r="E26" s="510" t="n">
        <x:f>'Forecast'!E23*'Assumptions'!$B$10</x:f>
        <x:v>37.9925</x:v>
      </x:c>
      <x:c r="F26" s="510" t="n">
        <x:f>'Forecast'!F23*'Assumptions'!$B$10</x:f>
        <x:v>40.5</x:v>
      </x:c>
      <x:c r="G26" s="510" t="n">
        <x:f>'Forecast'!G23*'Assumptions'!$B$10</x:f>
        <x:v>42.72</x:v>
      </x:c>
    </x:row>
    <x:row r="27">
      <x:c r="A27" s="474" t="str">
        <x:v>Capex</x:v>
      </x:c>
      <x:c r="B27" s="510" t="n">
        <x:f>'Forecast'!B23*'Assumptions'!$B$11</x:f>
        <x:v>22.7385</x:v>
      </x:c>
      <x:c r="C27" s="510" t="n">
        <x:f>'Forecast'!C23*'Assumptions'!$B$11</x:f>
        <x:v>25.482</x:v>
      </x:c>
      <x:c r="D27" s="510" t="n">
        <x:f>'Forecast'!D23*'Assumptions'!$B$11</x:f>
        <x:v>27.967999999999996</x:v>
      </x:c>
      <x:c r="E27" s="510" t="n">
        <x:f>'Forecast'!E23*'Assumptions'!$B$11</x:f>
        <x:v>30.394000000000002</x:v>
      </x:c>
      <x:c r="F27" s="510" t="n">
        <x:f>'Forecast'!F23*'Assumptions'!$B$11</x:f>
        <x:v>32.4</x:v>
      </x:c>
      <x:c r="G27" s="510" t="n">
        <x:f>'Forecast'!G23*'Assumptions'!$B$11</x:f>
        <x:v>34.176</x:v>
      </x:c>
    </x:row>
    <x:row r="28">
      <x:c r="A28" s="474" t="str">
        <x:v>Incremental risk-retention equity</x:v>
      </x:c>
      <x:c r="B28" s="510" t="n">
        <x:f>MAX(0,'Forecast'!B20-'Assumptions'!$B$12)*1000*'Assumptions'!$B$32</x:f>
        <x:v>25.36499999999998</x:v>
      </x:c>
      <x:c r="C28" s="510" t="n">
        <x:f>MAX(0,'Forecast'!C20-'Forecast'!B20)*1000*'Assumptions'!$B$32</x:f>
        <x:v>22.124999999999993</x:v>
      </x:c>
      <x:c r="D28" s="510" t="n">
        <x:f>MAX(0,'Forecast'!D20-'Forecast'!C20)*1000*'Assumptions'!$B$32</x:f>
        <x:v>22.5</x:v>
      </x:c>
      <x:c r="E28" s="510" t="n">
        <x:f>MAX(0,'Forecast'!E20-'Forecast'!D20)*1000*'Assumptions'!$B$32</x:f>
        <x:v>22.5</x:v>
      </x:c>
      <x:c r="F28" s="510" t="n">
        <x:f>MAX(0,'Forecast'!F20-'Forecast'!E20)*1000*'Assumptions'!$B$32</x:f>
        <x:v>19.50000000000001</x:v>
      </x:c>
      <x:c r="G28" s="510" t="n">
        <x:f>MAX(0,'Forecast'!G20-'Forecast'!F20)*1000*'Assumptions'!$B$32</x:f>
        <x:v>17.99999999999999</x:v>
      </x:c>
    </x:row>
    <x:row r="29">
      <x:c r="A29" s="514" t="str">
        <x:v>FCFE</x:v>
      </x:c>
      <x:c r="B29" s="515" t="n">
        <x:f>'Forecast'!B25+'Forecast'!B26-'Forecast'!B27-'Forecast'!B28</x:f>
        <x:v>116.75062500000001</x:v>
      </x:c>
      <x:c r="C29" s="515" t="n">
        <x:f>'Forecast'!C25+'Forecast'!C26-'Forecast'!C27-'Forecast'!C28</x:f>
        <x:v>149.87849999999997</x:v>
      </x:c>
      <x:c r="D29" s="515" t="n">
        <x:f>'Forecast'!D25+'Forecast'!D26-'Forecast'!D27-'Forecast'!D28</x:f>
        <x:v>180.26800000000003</x:v>
      </x:c>
      <x:c r="E29" s="515" t="n">
        <x:f>'Forecast'!E25+'Forecast'!E26-'Forecast'!E27-'Forecast'!E28</x:f>
        <x:v>213.05349999999999</x:v>
      </x:c>
      <x:c r="F29" s="515" t="n">
        <x:f>'Forecast'!F25+'Forecast'!F26-'Forecast'!F27-'Forecast'!F28</x:f>
        <x:v>247.8</x:v>
      </x:c>
      <x:c r="G29" s="515" t="n">
        <x:f>'Forecast'!G25+'Forecast'!G26-'Forecast'!G27-'Forecast'!G28</x:f>
        <x:v>281.04</x:v>
      </x:c>
    </x:row>
    <x:row r="30">
      <x:c r="A30" s="474" t="str">
        <x:v>PV factor</x:v>
      </x:c>
      <x:c r="B30" s="513" t="n">
        <x:f>1/(1+'Assumptions'!$B$33)^(B19-2025)</x:f>
        <x:v>0.8771929824561403</x:v>
      </x:c>
      <x:c r="C30" s="513" t="n">
        <x:f>1/(1+'Assumptions'!$B$33)^(C19-2025)</x:f>
        <x:v>0.7694675284702984</x:v>
      </x:c>
      <x:c r="D30" s="513" t="n">
        <x:f>1/(1+'Assumptions'!$B$33)^(D19-2025)</x:f>
        <x:v>0.6749715162020161</x:v>
      </x:c>
      <x:c r="E30" s="513" t="n">
        <x:f>1/(1+'Assumptions'!$B$33)^(E19-2025)</x:f>
        <x:v>0.5920802773701894</x:v>
      </x:c>
      <x:c r="F30" s="513" t="n">
        <x:f>1/(1+'Assumptions'!$B$33)^(F19-2025)</x:f>
        <x:v>0.5193686643598152</x:v>
      </x:c>
      <x:c r="G30" s="513" t="n">
        <x:f>1/(1+'Assumptions'!$B$33)^(G19-2025)</x:f>
        <x:v>0.45558654768404844</x:v>
      </x:c>
    </x:row>
    <x:row r="31">
      <x:c r="A31" s="479" t="str">
        <x:v>PV of FCFE</x:v>
      </x:c>
      <x:c r="B31" s="480" t="n">
        <x:f>'Forecast'!B29*'Forecast'!B30</x:f>
        <x:v>102.41282894736842</x:v>
      </x:c>
      <x:c r="C31" s="480" t="n">
        <x:f>'Forecast'!C29*'Forecast'!C30</x:f>
        <x:v>115.3266389658356</x:v>
      </x:c>
      <x:c r="D31" s="480" t="n">
        <x:f>'Forecast'!D29*'Forecast'!D30</x:f>
        <x:v>121.67576528270506</x:v>
      </x:c>
      <x:c r="E31" s="480" t="n">
        <x:f>'Forecast'!E29*'Forecast'!E30</x:f>
        <x:v>126.14477537468964</x:v>
      </x:c>
      <x:c r="F31" s="480" t="n">
        <x:f>'Forecast'!F29*'Forecast'!F30</x:f>
        <x:v>128.69955502836223</x:v>
      </x:c>
      <x:c r="G31" s="480" t="n">
        <x:f>'Forecast'!G29*'Forecast'!G30</x:f>
        <x:v>128.03804336112498</x:v>
      </x:c>
    </x:row>
    <x:row r="32">
      <x:c r="A32" s="369"/>
      <x:c r="B32" s="369"/>
      <x:c r="C32" s="369"/>
      <x:c r="D32" s="369"/>
      <x:c r="E32" s="369"/>
      <x:c r="F32" s="369"/>
      <x:c r="G32" s="369"/>
    </x:row>
    <x:row r="33" ht="22" customHeight="1">
      <x:c r="A33" s="56" t="str">
        <x:v>Bull case</x:v>
      </x:c>
      <x:c r="B33" s="56"/>
      <x:c r="C33" s="56"/>
      <x:c r="D33" s="56"/>
      <x:c r="E33" s="56"/>
      <x:c r="F33" s="56"/>
      <x:c r="G33" s="56"/>
    </x:row>
    <x:row r="34">
      <x:c r="A34" s="446" t="str">
        <x:v>$mm except per-share and Network Volume</x:v>
      </x:c>
      <x:c r="B34" s="447" t="n">
        <x:v>2026</x:v>
      </x:c>
      <x:c r="C34" s="447" t="n">
        <x:v>2027</x:v>
      </x:c>
      <x:c r="D34" s="447" t="n">
        <x:v>2028</x:v>
      </x:c>
      <x:c r="E34" s="447" t="n">
        <x:v>2029</x:v>
      </x:c>
      <x:c r="F34" s="447" t="n">
        <x:v>2030</x:v>
      </x:c>
      <x:c r="G34" s="448" t="n">
        <x:v>2031</x:v>
      </x:c>
    </x:row>
    <x:row r="35">
      <x:c r="A35" s="471" t="str">
        <x:v>Network Volume ($bn)</x:v>
      </x:c>
      <x:c r="B35" s="492" t="n">
        <x:f>'Assumptions'!B37</x:f>
        <x:v>13</x:v>
      </x:c>
      <x:c r="C35" s="492" t="n">
        <x:f>'Assumptions'!C37</x:f>
        <x:v>15</x:v>
      </x:c>
      <x:c r="D35" s="492" t="n">
        <x:f>'Assumptions'!D37</x:f>
        <x:v>17</x:v>
      </x:c>
      <x:c r="E35" s="492" t="n">
        <x:f>'Assumptions'!E37</x:f>
        <x:v>19</x:v>
      </x:c>
      <x:c r="F35" s="492" t="n">
        <x:f>'Assumptions'!F37</x:f>
        <x:v>21</x:v>
      </x:c>
      <x:c r="G35" s="492" t="n">
        <x:f>'Assumptions'!G37</x:f>
        <x:v>23</x:v>
      </x:c>
    </x:row>
    <x:row r="36">
      <x:c r="A36" s="474" t="str">
        <x:v>Volume growth</x:v>
      </x:c>
      <x:c r="B36" s="496" t="n">
        <x:f>'Forecast'!B35/'Assumptions'!$B$12-1</x:f>
        <x:v>0.23409910765141428</x:v>
      </x:c>
      <x:c r="C36" s="496" t="n">
        <x:f>'Forecast'!C35/'Forecast'!B35-1</x:f>
        <x:v>0.15384615384615374</x:v>
      </x:c>
      <x:c r="D36" s="496" t="n">
        <x:f>'Forecast'!D35/'Forecast'!C35-1</x:f>
        <x:v>0.1333333333333333</x:v>
      </x:c>
      <x:c r="E36" s="496" t="n">
        <x:f>'Forecast'!E35/'Forecast'!D35-1</x:f>
        <x:v>0.11764705882352944</x:v>
      </x:c>
      <x:c r="F36" s="496" t="n">
        <x:f>'Forecast'!F35/'Forecast'!E35-1</x:f>
        <x:v>0.10526315789473695</x:v>
      </x:c>
      <x:c r="G36" s="496" t="n">
        <x:f>'Forecast'!G35/'Forecast'!F35-1</x:f>
        <x:v>0.09523809523809534</x:v>
      </x:c>
    </x:row>
    <x:row r="37">
      <x:c r="A37" s="474" t="str">
        <x:v>FRLPC %</x:v>
      </x:c>
      <x:c r="B37" s="509" t="n">
        <x:f>'Assumptions'!B38</x:f>
        <x:v>0.048</x:v>
      </x:c>
      <x:c r="C37" s="509" t="n">
        <x:f>'Assumptions'!C38</x:f>
        <x:v>0.0485</x:v>
      </x:c>
      <x:c r="D37" s="509" t="n">
        <x:f>'Assumptions'!D38</x:f>
        <x:v>0.0485</x:v>
      </x:c>
      <x:c r="E37" s="509" t="n">
        <x:f>'Assumptions'!E38</x:f>
        <x:v>0.048</x:v>
      </x:c>
      <x:c r="F37" s="509" t="n">
        <x:f>'Assumptions'!F38</x:f>
        <x:v>0.0475</x:v>
      </x:c>
      <x:c r="G37" s="509" t="n">
        <x:f>'Assumptions'!G38</x:f>
        <x:v>0.047</x:v>
      </x:c>
    </x:row>
    <x:row r="38">
      <x:c r="A38" s="474" t="str">
        <x:v>FRLPC</x:v>
      </x:c>
      <x:c r="B38" s="510" t="n">
        <x:f>'Forecast'!B35*1000*'Forecast'!B37</x:f>
        <x:v>624</x:v>
      </x:c>
      <x:c r="C38" s="510" t="n">
        <x:f>'Forecast'!C35*1000*'Forecast'!C37</x:f>
        <x:v>727.5</x:v>
      </x:c>
      <x:c r="D38" s="510" t="n">
        <x:f>'Forecast'!D35*1000*'Forecast'!D37</x:f>
        <x:v>824.5</x:v>
      </x:c>
      <x:c r="E38" s="510" t="n">
        <x:f>'Forecast'!E35*1000*'Forecast'!E37</x:f>
        <x:v>912</x:v>
      </x:c>
      <x:c r="F38" s="510" t="n">
        <x:f>'Forecast'!F35*1000*'Forecast'!F37</x:f>
        <x:v>997.5</x:v>
      </x:c>
      <x:c r="G38" s="510" t="n">
        <x:f>'Forecast'!G35*1000*'Forecast'!G37</x:f>
        <x:v>1081</x:v>
      </x:c>
    </x:row>
    <x:row r="39">
      <x:c r="A39" s="474" t="str">
        <x:v>Normalized net income / FRLPC</x:v>
      </x:c>
      <x:c r="B39" s="509" t="n">
        <x:f>'Assumptions'!B39</x:f>
        <x:v>0.26</x:v>
      </x:c>
      <x:c r="C39" s="509" t="n">
        <x:f>'Assumptions'!C39</x:f>
        <x:v>0.29</x:v>
      </x:c>
      <x:c r="D39" s="509" t="n">
        <x:f>'Assumptions'!D39</x:f>
        <x:v>0.32</x:v>
      </x:c>
      <x:c r="E39" s="509" t="n">
        <x:f>'Assumptions'!E39</x:f>
        <x:v>0.35</x:v>
      </x:c>
      <x:c r="F39" s="509" t="n">
        <x:f>'Assumptions'!F39</x:f>
        <x:v>0.37</x:v>
      </x:c>
      <x:c r="G39" s="509" t="n">
        <x:f>'Assumptions'!G39</x:f>
        <x:v>0.39</x:v>
      </x:c>
    </x:row>
    <x:row r="40">
      <x:c r="A40" s="474" t="str">
        <x:v>Normalized net income</x:v>
      </x:c>
      <x:c r="B40" s="510" t="n">
        <x:f>'Forecast'!B38*'Forecast'!B39</x:f>
        <x:v>162.24</x:v>
      </x:c>
      <x:c r="C40" s="510" t="n">
        <x:f>'Forecast'!C38*'Forecast'!C39</x:f>
        <x:v>210.975</x:v>
      </x:c>
      <x:c r="D40" s="510" t="n">
        <x:f>'Forecast'!D38*'Forecast'!D39</x:f>
        <x:v>263.84000000000003</x:v>
      </x:c>
      <x:c r="E40" s="510" t="n">
        <x:f>'Forecast'!E38*'Forecast'!E39</x:f>
        <x:v>319.2</x:v>
      </x:c>
      <x:c r="F40" s="510" t="n">
        <x:f>'Forecast'!F38*'Forecast'!F39</x:f>
        <x:v>369.075</x:v>
      </x:c>
      <x:c r="G40" s="510" t="n">
        <x:f>'Forecast'!G38*'Forecast'!G39</x:f>
        <x:v>421.59000000000003</x:v>
      </x:c>
    </x:row>
    <x:row r="41">
      <x:c r="A41" s="474" t="str">
        <x:v>D&amp;A</x:v>
      </x:c>
      <x:c r="B41" s="510" t="n">
        <x:f>'Forecast'!B38*'Assumptions'!$B$10</x:f>
        <x:v>31.200000000000003</x:v>
      </x:c>
      <x:c r="C41" s="510" t="n">
        <x:f>'Forecast'!C38*'Assumptions'!$B$10</x:f>
        <x:v>36.375</x:v>
      </x:c>
      <x:c r="D41" s="510" t="n">
        <x:f>'Forecast'!D38*'Assumptions'!$B$10</x:f>
        <x:v>41.225</x:v>
      </x:c>
      <x:c r="E41" s="510" t="n">
        <x:f>'Forecast'!E38*'Assumptions'!$B$10</x:f>
        <x:v>45.6</x:v>
      </x:c>
      <x:c r="F41" s="510" t="n">
        <x:f>'Forecast'!F38*'Assumptions'!$B$10</x:f>
        <x:v>49.875</x:v>
      </x:c>
      <x:c r="G41" s="510" t="n">
        <x:f>'Forecast'!G38*'Assumptions'!$B$10</x:f>
        <x:v>54.050000000000004</x:v>
      </x:c>
    </x:row>
    <x:row r="42">
      <x:c r="A42" s="474" t="str">
        <x:v>Capex</x:v>
      </x:c>
      <x:c r="B42" s="510" t="n">
        <x:f>'Forecast'!B38*'Assumptions'!$B$11</x:f>
        <x:v>24.96</x:v>
      </x:c>
      <x:c r="C42" s="510" t="n">
        <x:f>'Forecast'!C38*'Assumptions'!$B$11</x:f>
        <x:v>29.1</x:v>
      </x:c>
      <x:c r="D42" s="510" t="n">
        <x:f>'Forecast'!D38*'Assumptions'!$B$11</x:f>
        <x:v>32.980000000000004</x:v>
      </x:c>
      <x:c r="E42" s="510" t="n">
        <x:f>'Forecast'!E38*'Assumptions'!$B$11</x:f>
        <x:v>36.480000000000004</x:v>
      </x:c>
      <x:c r="F42" s="510" t="n">
        <x:f>'Forecast'!F38*'Assumptions'!$B$11</x:f>
        <x:v>39.9</x:v>
      </x:c>
      <x:c r="G42" s="510" t="n">
        <x:f>'Forecast'!G38*'Assumptions'!$B$11</x:f>
        <x:v>43.24</x:v>
      </x:c>
    </x:row>
    <x:row r="43">
      <x:c r="A43" s="474" t="str">
        <x:v>Incremental risk-retention equity</x:v>
      </x:c>
      <x:c r="B43" s="510" t="n">
        <x:f>MAX(0,'Forecast'!B35-'Assumptions'!$B$12)*1000*'Assumptions'!$B$40</x:f>
        <x:v>30.82499999999999</x:v>
      </x:c>
      <x:c r="C43" s="510" t="n">
        <x:f>MAX(0,'Forecast'!C35-'Forecast'!B35)*1000*'Assumptions'!$B$40</x:f>
        <x:v>25</x:v>
      </x:c>
      <x:c r="D43" s="510" t="n">
        <x:f>MAX(0,'Forecast'!D35-'Forecast'!C35)*1000*'Assumptions'!$B$40</x:f>
        <x:v>25</x:v>
      </x:c>
      <x:c r="E43" s="510" t="n">
        <x:f>MAX(0,'Forecast'!E35-'Forecast'!D35)*1000*'Assumptions'!$B$40</x:f>
        <x:v>25</x:v>
      </x:c>
      <x:c r="F43" s="510" t="n">
        <x:f>MAX(0,'Forecast'!F35-'Forecast'!E35)*1000*'Assumptions'!$B$40</x:f>
        <x:v>25</x:v>
      </x:c>
      <x:c r="G43" s="510" t="n">
        <x:f>MAX(0,'Forecast'!G35-'Forecast'!F35)*1000*'Assumptions'!$B$40</x:f>
        <x:v>25</x:v>
      </x:c>
    </x:row>
    <x:row r="44">
      <x:c r="A44" s="516" t="str">
        <x:v>FCFE</x:v>
      </x:c>
      <x:c r="B44" s="517" t="n">
        <x:f>'Forecast'!B40+'Forecast'!B41-'Forecast'!B42-'Forecast'!B43</x:f>
        <x:v>137.655</x:v>
      </x:c>
      <x:c r="C44" s="517" t="n">
        <x:f>'Forecast'!C40+'Forecast'!C41-'Forecast'!C42-'Forecast'!C43</x:f>
        <x:v>193.25</x:v>
      </x:c>
      <x:c r="D44" s="517" t="n">
        <x:f>'Forecast'!D40+'Forecast'!D41-'Forecast'!D42-'Forecast'!D43</x:f>
        <x:v>247.08500000000004</x:v>
      </x:c>
      <x:c r="E44" s="517" t="n">
        <x:f>'Forecast'!E40+'Forecast'!E41-'Forecast'!E42-'Forecast'!E43</x:f>
        <x:v>303.32</x:v>
      </x:c>
      <x:c r="F44" s="517" t="n">
        <x:f>'Forecast'!F40+'Forecast'!F41-'Forecast'!F42-'Forecast'!F43</x:f>
        <x:v>354.05</x:v>
      </x:c>
      <x:c r="G44" s="517" t="n">
        <x:f>'Forecast'!G40+'Forecast'!G41-'Forecast'!G42-'Forecast'!G43</x:f>
        <x:v>407.40000000000003</x:v>
      </x:c>
    </x:row>
    <x:row r="45">
      <x:c r="A45" s="474" t="str">
        <x:v>PV factor</x:v>
      </x:c>
      <x:c r="B45" s="513" t="n">
        <x:f>1/(1+'Assumptions'!$B$41)^(B34-2025)</x:f>
        <x:v>0.8888888888888888</x:v>
      </x:c>
      <x:c r="C45" s="513" t="n">
        <x:f>1/(1+'Assumptions'!$B$41)^(C34-2025)</x:f>
        <x:v>0.7901234567901234</x:v>
      </x:c>
      <x:c r="D45" s="513" t="n">
        <x:f>1/(1+'Assumptions'!$B$41)^(D34-2025)</x:f>
        <x:v>0.7023319615912208</x:v>
      </x:c>
      <x:c r="E45" s="513" t="n">
        <x:f>1/(1+'Assumptions'!$B$41)^(E34-2025)</x:f>
        <x:v>0.6242950769699741</x:v>
      </x:c>
      <x:c r="F45" s="513" t="n">
        <x:f>1/(1+'Assumptions'!$B$41)^(F34-2025)</x:f>
        <x:v>0.5549289573066436</x:v>
      </x:c>
      <x:c r="G45" s="513" t="n">
        <x:f>1/(1+'Assumptions'!$B$41)^(G34-2025)</x:f>
        <x:v>0.49327018427257213</x:v>
      </x:c>
    </x:row>
    <x:row r="46">
      <x:c r="A46" s="479" t="str">
        <x:v>PV of FCFE</x:v>
      </x:c>
      <x:c r="B46" s="480" t="n">
        <x:f>'Forecast'!B44*'Forecast'!B45</x:f>
        <x:v>122.36</x:v>
      </x:c>
      <x:c r="C46" s="480" t="n">
        <x:f>'Forecast'!C44*'Forecast'!C45</x:f>
        <x:v>152.69135802469134</x:v>
      </x:c>
      <x:c r="D46" s="480" t="n">
        <x:f>'Forecast'!D44*'Forecast'!D45</x:f>
        <x:v>173.53569272976682</x:v>
      </x:c>
      <x:c r="E46" s="480" t="n">
        <x:f>'Forecast'!E44*'Forecast'!E45</x:f>
        <x:v>189.36118274653253</x:v>
      </x:c>
      <x:c r="F46" s="480" t="n">
        <x:f>'Forecast'!F44*'Forecast'!F45</x:f>
        <x:v>196.47259733441717</x:v>
      </x:c>
      <x:c r="G46" s="480" t="n">
        <x:f>'Forecast'!G44*'Forecast'!G45</x:f>
        <x:v>200.9582730726459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27" hidden="0" customWidth="1"/>
    <x:col min="8" max="8" width="30" hidden="0" customWidth="1"/>
  </x:cols>
  <x:sheetData>
    <x:row r="1" ht="30" customHeight="1">
      <x:c r="A1" s="3" t="str">
        <x:v>Equity Cash Flow Valuation</x:v>
      </x:c>
      <x:c r="B1" s="3" t="str">
        <x:v>Equity Cash Flow Valuation</x:v>
      </x:c>
      <x:c r="C1" s="3" t="str">
        <x:v>Equity Cash Flow Valuation</x:v>
      </x:c>
      <x:c r="D1" s="3" t="str">
        <x:v>Equity Cash Flow Valuation</x:v>
      </x:c>
      <x:c r="E1" s="3" t="str">
        <x:v>Equity Cash Flow Valuation</x:v>
      </x:c>
      <x:c r="F1" s="3" t="str">
        <x:v>Equity Cash Flow Valuation</x:v>
      </x:c>
      <x:c r="G1" s="3" t="str">
        <x:v>Equity Cash Flow Valuation</x:v>
      </x:c>
      <x:c r="H1" s="3" t="str">
        <x:v>Equity Cash Flow Valuation</x:v>
      </x:c>
    </x:row>
    <x:row r="2">
      <x:c r="A2" s="491" t="str">
        <x:v>Primary method: six-year risk-retention FCFE • USD millions except per-share values • Gordon-growth terminal value</x:v>
      </x:c>
      <x:c r="B2" s="491"/>
      <x:c r="C2" s="491"/>
      <x:c r="D2" s="491"/>
      <x:c r="E2" s="491"/>
      <x:c r="F2" s="491"/>
      <x:c r="G2" s="491"/>
      <x:c r="H2" s="491"/>
    </x:row>
    <x:row r="3">
      <x:c r="A3" s="446" t="str">
        <x:v>Scenario</x:v>
      </x:c>
      <x:c r="B3" s="447" t="str">
        <x:v>Cost of equity</x:v>
      </x:c>
      <x:c r="C3" s="447" t="str">
        <x:v>Terminal growth</x:v>
      </x:c>
      <x:c r="D3" s="447" t="str">
        <x:v>PV explicit FCFE</x:v>
      </x:c>
      <x:c r="E3" s="447" t="str">
        <x:v>PV terminal value</x:v>
      </x:c>
      <x:c r="F3" s="447" t="str">
        <x:v>Equity value</x:v>
      </x:c>
      <x:c r="G3" s="447" t="str">
        <x:v>Value / share</x:v>
      </x:c>
      <x:c r="H3" s="448" t="str">
        <x:v>Upside / (downside)</x:v>
      </x:c>
    </x:row>
    <x:row r="4">
      <x:c r="A4" s="541" t="str">
        <x:v>Bear</x:v>
      </x:c>
      <x:c r="B4" s="542" t="n">
        <x:f>'Assumptions'!$B$25</x:f>
        <x:v>0.16</x:v>
      </x:c>
      <x:c r="C4" s="542" t="n">
        <x:f>'Assumptions'!$D$25</x:f>
        <x:v>0.025</x:v>
      </x:c>
      <x:c r="D4" s="543" t="n">
        <x:f>SUM('Forecast'!B16:G16)</x:f>
        <x:v>411.02466434989117</x:v>
      </x:c>
      <x:c r="E4" s="543" t="n">
        <x:f>('Forecast'!G14*(1+C4)/(B4-C4))*'Forecast'!G15</x:f>
        <x:v>467.41851832341007</x:v>
      </x:c>
      <x:c r="F4" s="543" t="n">
        <x:f>D4+E4</x:f>
        <x:v>878.4431826733012</x:v>
      </x:c>
      <x:c r="G4" s="544" t="n">
        <x:f>F4/'Assumptions'!$B$8</x:f>
        <x:v>10.214455612480247</x:v>
      </x:c>
      <x:c r="H4" s="542" t="n">
        <x:f>G4/'Assumptions'!$B$6-1</x:f>
        <x:v>-0.37296159530508</x:v>
      </x:c>
    </x:row>
    <x:row r="5">
      <x:c r="A5" s="514" t="str">
        <x:v>Base</x:v>
      </x:c>
      <x:c r="B5" s="545" t="n">
        <x:f>'Assumptions'!$B$33</x:f>
        <x:v>0.14</x:v>
      </x:c>
      <x:c r="C5" s="545" t="n">
        <x:f>'Assumptions'!$D$33</x:f>
        <x:v>0.03</x:v>
      </x:c>
      <x:c r="D5" s="546" t="n">
        <x:f>SUM('Forecast'!B31:G31)</x:f>
        <x:v>722.297606960086</x:v>
      </x:c>
      <x:c r="E5" s="546" t="n">
        <x:f>('Forecast'!G29*(1+C5)/(B5-C5))*'Forecast'!G30</x:f>
        <x:v>1198.9016787450794</x:v>
      </x:c>
      <x:c r="F5" s="546" t="n">
        <x:f>D5+E5</x:f>
        <x:v>1921.1992857051655</x:v>
      </x:c>
      <x:c r="G5" s="547" t="n">
        <x:f>F5/'Assumptions'!$B$8</x:f>
        <x:v>22.33952657796704</x:v>
      </x:c>
      <x:c r="H5" s="545" t="n">
        <x:f>G5/'Assumptions'!$B$6-1</x:f>
        <x:v>0.3713644308144284</x:v>
      </x:c>
    </x:row>
    <x:row r="6">
      <x:c r="A6" s="548" t="str">
        <x:v>Bull</x:v>
      </x:c>
      <x:c r="B6" s="549" t="n">
        <x:f>'Assumptions'!$B$41</x:f>
        <x:v>0.125</x:v>
      </x:c>
      <x:c r="C6" s="549" t="n">
        <x:f>'Assumptions'!$D$41</x:f>
        <x:v>0.035</x:v>
      </x:c>
      <x:c r="D6" s="550" t="n">
        <x:f>SUM('Forecast'!B46:G46)</x:f>
        <x:v>1035.3791039080538</x:v>
      </x:c>
      <x:c r="E6" s="550" t="n">
        <x:f>('Forecast'!G44*(1+C6)/(B6-C6))*'Forecast'!G45</x:f>
        <x:v>2311.020140335428</x:v>
      </x:c>
      <x:c r="F6" s="550" t="n">
        <x:f>D6+E6</x:f>
        <x:v>3346.399244243482</x:v>
      </x:c>
      <x:c r="G6" s="551" t="n">
        <x:f>F6/'Assumptions'!$B$8</x:f>
        <x:v>38.911619119110256</x:v>
      </x:c>
      <x:c r="H6" s="549" t="n">
        <x:f>G6/'Assumptions'!$B$6-1</x:f>
        <x:v>1.388681345556185</x:v>
      </x:c>
    </x:row>
    <x:row r="7">
      <x:c r="A7" s="369"/>
      <x:c r="B7" s="369"/>
      <x:c r="C7" s="369"/>
      <x:c r="D7" s="369"/>
      <x:c r="E7" s="369"/>
      <x:c r="F7" s="369"/>
      <x:c r="G7" s="369"/>
      <x:c r="H7" s="369"/>
    </x:row>
    <x:row r="8">
      <x:c r="A8" s="369"/>
      <x:c r="B8" s="369"/>
      <x:c r="C8" s="369"/>
      <x:c r="D8" s="369"/>
      <x:c r="E8" s="369"/>
      <x:c r="F8" s="369"/>
      <x:c r="G8" s="369"/>
      <x:c r="H8" s="369"/>
    </x:row>
    <x:row r="9" ht="22" customHeight="1">
      <x:c r="A9" s="34" t="str">
        <x:v>Method comparison</x:v>
      </x:c>
      <x:c r="B9" s="34"/>
      <x:c r="C9" s="34"/>
      <x:c r="D9" s="34"/>
      <x:c r="E9" s="369"/>
      <x:c r="F9" s="34" t="str">
        <x:v>Primary conclusion</x:v>
      </x:c>
      <x:c r="G9" s="34"/>
      <x:c r="H9" s="34"/>
    </x:row>
    <x:row r="10">
      <x:c r="A10" s="446" t="str">
        <x:v>Method</x:v>
      </x:c>
      <x:c r="B10" s="447" t="str">
        <x:v>Low</x:v>
      </x:c>
      <x:c r="C10" s="447" t="str">
        <x:v>Central</x:v>
      </x:c>
      <x:c r="D10" s="448" t="str">
        <x:v>High</x:v>
      </x:c>
      <x:c r="E10" s="369"/>
      <x:c r="F10" s="449" t="str">
        <x:v>Base value / share</x:v>
      </x:c>
      <x:c r="G10" s="552" t="n">
        <x:f>G5</x:f>
        <x:v>22.33952657796704</x:v>
      </x:c>
      <x:c r="H10" s="449"/>
    </x:row>
    <x:row r="11">
      <x:c r="A11" s="553" t="str">
        <x:v>Primary FCFE</x:v>
      </x:c>
      <x:c r="B11" s="554" t="n">
        <x:f>G4</x:f>
        <x:v>10.214455612480247</x:v>
      </x:c>
      <x:c r="C11" s="554" t="n">
        <x:f>G5</x:f>
        <x:v>22.33952657796704</x:v>
      </x:c>
      <x:c r="D11" s="554" t="n">
        <x:f>G6</x:f>
        <x:v>38.911619119110256</x:v>
      </x:c>
      <x:c r="E11" s="369"/>
      <x:c r="F11" s="451" t="str">
        <x:v>Market price</x:v>
      </x:c>
      <x:c r="G11" s="555" t="n">
        <x:f>'Assumptions'!$B$6</x:f>
        <x:v>16.29</x:v>
      </x:c>
      <x:c r="H11" s="451"/>
    </x:row>
    <x:row r="12">
      <x:c r="A12" s="474" t="str">
        <x:v>Forward P/E cross-check</x:v>
      </x:c>
      <x:c r="B12" s="556" t="n">
        <x:v>15.4</x:v>
      </x:c>
      <x:c r="C12" s="556" t="n">
        <x:v>18.9</x:v>
      </x:c>
      <x:c r="D12" s="556" t="n">
        <x:v>23.1</x:v>
      </x:c>
      <x:c r="E12" s="369"/>
      <x:c r="F12" s="451" t="str">
        <x:v>Base upside</x:v>
      </x:c>
      <x:c r="G12" s="557" t="n">
        <x:f>H5</x:f>
        <x:v>0.3713644308144284</x:v>
      </x:c>
      <x:c r="H12" s="451"/>
    </x:row>
    <x:row r="13">
      <x:c r="A13" s="558" t="str">
        <x:v>Fee-platform SOTP screen</x:v>
      </x:c>
      <x:c r="B13" s="559" t="n">
        <x:v>25</x:v>
      </x:c>
      <x:c r="C13" s="559" t="n">
        <x:v>40</x:v>
      </x:c>
      <x:c r="D13" s="559" t="n">
        <x:v>55</x:v>
      </x:c>
      <x:c r="E13" s="369"/>
      <x:c r="F13" s="451" t="str">
        <x:v>Posture</x:v>
      </x:c>
      <x:c r="G13" s="451" t="str">
        <x:v>Watchlist / wait for proof</x:v>
      </x:c>
      <x:c r="H13" s="451"/>
    </x:row>
    <x:row r="14">
      <x:c r="A14" s="479" t="str">
        <x:v>Current market price</x:v>
      </x:c>
      <x:c r="B14" s="560" t="n">
        <x:f>'Assumptions'!$B$6</x:f>
        <x:v>16.29</x:v>
      </x:c>
      <x:c r="C14" s="560" t="n">
        <x:f>'Assumptions'!$B$6</x:f>
        <x:v>16.29</x:v>
      </x:c>
      <x:c r="D14" s="560" t="n">
        <x:f>'Assumptions'!$B$6</x:f>
        <x:v>16.29</x:v>
      </x:c>
      <x:c r="E14" s="369"/>
      <x:c r="F14" s="453" t="str">
        <x:v>Key reason</x:v>
      </x:c>
      <x:c r="G14" s="453" t="str">
        <x:v>The lower market price improves base upside, but risk-retention capital and funding sensitivity still make the downside mechanism more immediate than the rerating case.</x:v>
      </x:c>
      <x:c r="H14" s="453"/>
    </x:row>
    <x:row r="15">
      <x:c r="A15" s="369"/>
      <x:c r="B15" s="369"/>
      <x:c r="C15" s="369"/>
      <x:c r="D15" s="369"/>
      <x:c r="E15" s="369"/>
      <x:c r="F15" s="369"/>
      <x:c r="G15" s="369"/>
      <x:c r="H15" s="369"/>
    </x:row>
    <x:row r="16">
      <x:c r="A16" s="369"/>
      <x:c r="B16" s="369"/>
      <x:c r="C16" s="369"/>
      <x:c r="D16" s="369"/>
      <x:c r="E16" s="369"/>
      <x:c r="F16" s="369"/>
      <x:c r="G16" s="369"/>
      <x:c r="H16" s="369"/>
    </x:row>
    <x:row r="17" ht="22" customHeight="1">
      <x:c r="A17" s="34" t="str">
        <x:v>Valuation quality and concentration</x:v>
      </x:c>
      <x:c r="B17" s="34"/>
      <x:c r="C17" s="34"/>
      <x:c r="D17" s="34"/>
      <x:c r="E17" s="369"/>
      <x:c r="F17" s="26" t="str">
        <x:v>Decision hinge</x:v>
      </x:c>
      <x:c r="G17" s="26"/>
      <x:c r="H17" s="26"/>
    </x:row>
    <x:row r="18">
      <x:c r="A18" s="446" t="str">
        <x:v>Metric</x:v>
      </x:c>
      <x:c r="B18" s="447" t="str">
        <x:v>Bear</x:v>
      </x:c>
      <x:c r="C18" s="447" t="str">
        <x:v>Base</x:v>
      </x:c>
      <x:c r="D18" s="448" t="str">
        <x:v>Bull</x:v>
      </x:c>
      <x:c r="E18" s="369"/>
      <x:c r="F18" s="455" t="str">
        <x:v>Question</x:v>
      </x:c>
      <x:c r="G18" s="456" t="str">
        <x:v>Current read</x:v>
      </x:c>
      <x:c r="H18" s="457" t="str">
        <x:v>Next evidence</x:v>
      </x:c>
    </x:row>
    <x:row r="19" ht="54" customHeight="1">
      <x:c r="A19" s="471" t="str">
        <x:v>Explicit FCFE / equity value</x:v>
      </x:c>
      <x:c r="B19" s="561" t="n">
        <x:f>D4/F4</x:f>
        <x:v>0.4679012512784836</x:v>
      </x:c>
      <x:c r="C19" s="561" t="n">
        <x:f>D5/F5</x:f>
        <x:v>0.3759618340139923</x:v>
      </x:c>
      <x:c r="D19" s="561" t="n">
        <x:f>D6/F6</x:f>
        <x:v>0.30940094959952136</x:v>
      </x:c>
      <x:c r="E19" s="369"/>
      <x:c r="F19" s="449" t="str">
        <x:v>What is priced in?</x:v>
      </x:c>
      <x:c r="G19" s="449" t="str">
        <x:v>A higher equity hurdle than the 14% base case.</x:v>
      </x:c>
      <x:c r="H19" s="449" t="str">
        <x:v>Q2 volume, FRLPC, and funding commentary</x:v>
      </x:c>
    </x:row>
    <x:row r="20" ht="54" customHeight="1">
      <x:c r="A20" s="474" t="str">
        <x:v>Terminal value / equity value</x:v>
      </x:c>
      <x:c r="B20" s="562" t="n">
        <x:f>E4/F4</x:f>
        <x:v>0.5320987487215164</x:v>
      </x:c>
      <x:c r="C20" s="562" t="n">
        <x:f>E5/F5</x:f>
        <x:v>0.6240381659860076</x:v>
      </x:c>
      <x:c r="D20" s="562" t="n">
        <x:f>E6/F6</x:f>
        <x:v>0.6905990504004786</x:v>
      </x:c>
      <x:c r="E20" s="369"/>
      <x:c r="F20" s="451" t="str">
        <x:v>What proves the variant?</x:v>
      </x:c>
      <x:c r="G20" s="451" t="str">
        <x:v>Mid-4% FRLPC with sub-1.5% incremental equity intensity.</x:v>
      </x:c>
      <x:c r="H20" s="451" t="str">
        <x:v>Q2 and 2H retained-capital disclosures</x:v>
      </x:c>
    </x:row>
    <x:row r="21" ht="54" customHeight="1">
      <x:c r="A21" s="474" t="str">
        <x:v>2031 FCFE / 2026 FCFE</x:v>
      </x:c>
      <x:c r="B21" s="563" t="n">
        <x:f>'Forecast'!G14/'Forecast'!B14</x:f>
        <x:v>1.9378116844525977</x:v>
      </x:c>
      <x:c r="C21" s="563" t="n">
        <x:f>'Forecast'!G29/'Forecast'!B29</x:f>
        <x:v>2.407181974400565</x:v>
      </x:c>
      <x:c r="D21" s="563" t="n">
        <x:f>'Forecast'!G44/'Forecast'!B44</x:f>
        <x:v>2.9595728451563694</x:v>
      </x:c>
      <x:c r="E21" s="369"/>
      <x:c r="F21" s="451" t="str">
        <x:v>What breaks first?</x:v>
      </x:c>
      <x:c r="G21" s="451" t="str">
        <x:v>Funding spreads or retained capital rise faster than fee economics.</x:v>
      </x:c>
      <x:c r="H21" s="451" t="str">
        <x:v>ABS pricing, credit marks, and cash conversion</x:v>
      </x:c>
    </x:row>
    <x:row r="22" ht="54" customHeight="1">
      <x:c r="A22" s="479" t="str">
        <x:v>Per-share range vs. current market</x:v>
      </x:c>
      <x:c r="B22" s="481" t="n">
        <x:f>G4/'Assumptions'!$B$6-1</x:f>
        <x:v>-0.37296159530508</x:v>
      </x:c>
      <x:c r="C22" s="481" t="n">
        <x:f>G5/'Assumptions'!$B$6-1</x:f>
        <x:v>0.3713644308144284</x:v>
      </x:c>
      <x:c r="D22" s="481" t="n">
        <x:f>G6/'Assumptions'!$B$6-1</x:f>
        <x:v>1.388681345556185</x:v>
      </x:c>
      <x:c r="E22" s="369"/>
      <x:c r="F22" s="453" t="str">
        <x:v>What changes the target?</x:v>
      </x:c>
      <x:c r="G22" s="453" t="str">
        <x:v>A durable change in FRLPC, owner-earnings conversion, or required equity.</x:v>
      </x:c>
      <x:c r="H22" s="453" t="str">
        <x:v>Refresh the model after the 2026-07-30 print</x:v>
      </x:c>
    </x:row>
  </x:sheetData>
  <x:mergeCells>
    <x:mergeCell ref="A1:H1"/>
    <x:mergeCell ref="A2:H2"/>
    <x:mergeCell ref="F9:H9"/>
    <x:mergeCell ref="G10:H10"/>
    <x:mergeCell ref="G11:H11"/>
    <x:mergeCell ref="G12:H12"/>
    <x:mergeCell ref="G13:H13"/>
    <x:mergeCell ref="G14:H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14" hidden="0" customWidth="1"/>
    <x:col min="5" max="5" width="14" hidden="0" customWidth="1"/>
    <x:col min="6" max="6" width="24" hidden="0" customWidth="1"/>
    <x:col min="7" max="7" width="28" hidden="0" customWidth="1"/>
  </x:cols>
  <x:sheetData>
    <x:row r="1" ht="30" customHeight="1">
      <x:c r="A1" s="3" t="str">
        <x:v>Comparable-Company Cross-Check</x:v>
      </x:c>
      <x:c r="B1" s="3" t="str">
        <x:v>Comparable-Company Cross-Check</x:v>
      </x:c>
      <x:c r="C1" s="3" t="str">
        <x:v>Comparable-Company Cross-Check</x:v>
      </x:c>
      <x:c r="D1" s="3" t="str">
        <x:v>Comparable-Company Cross-Check</x:v>
      </x:c>
      <x:c r="E1" s="3" t="str">
        <x:v>Comparable-Company Cross-Check</x:v>
      </x:c>
      <x:c r="F1" s="3" t="str">
        <x:v>Comparable-Company Cross-Check</x:v>
      </x:c>
      <x:c r="G1" s="3" t="str">
        <x:v>Comparable-Company Cross-Check</x:v>
      </x:c>
    </x:row>
    <x:row r="2">
      <x:c r="A2" s="491" t="str">
        <x:v>Screen-grade public snapshot • 2026E P/E • Peer definitions are secondary evidence and have not been independently normalized</x:v>
      </x:c>
      <x:c r="B2" s="491"/>
      <x:c r="C2" s="491"/>
      <x:c r="D2" s="491"/>
      <x:c r="E2" s="491"/>
      <x:c r="F2" s="491"/>
      <x:c r="G2" s="491"/>
    </x:row>
    <x:row r="3">
      <x:c r="A3" s="446" t="str">
        <x:v>Company</x:v>
      </x:c>
      <x:c r="B3" s="447" t="str">
        <x:v>Ticker</x:v>
      </x:c>
      <x:c r="C3" s="447" t="str">
        <x:v>Business model</x:v>
      </x:c>
      <x:c r="D3" s="447" t="str">
        <x:v>2026E P/E</x:v>
      </x:c>
      <x:c r="E3" s="447" t="str">
        <x:v>Source date</x:v>
      </x:c>
      <x:c r="F3" s="447" t="str">
        <x:v>Peer role</x:v>
      </x:c>
      <x:c r="G3" s="448" t="str">
        <x:v>Source / rationale</x:v>
      </x:c>
    </x:row>
    <x:row r="4" ht="30" customHeight="1">
      <x:c r="A4" s="449" t="str">
        <x:v>Pagaya</x:v>
      </x:c>
      <x:c r="B4" s="449" t="str">
        <x:v>PGY</x:v>
      </x:c>
      <x:c r="C4" s="449" t="str">
        <x:v>AI-enabled lending infrastructure / capital markets</x:v>
      </x:c>
      <x:c r="D4" s="573" t="n">
        <x:v>5.25</x:v>
      </x:c>
      <x:c r="E4" s="574" t="str">
        <x:v>2026-07-23</x:v>
      </x:c>
      <x:c r="F4" s="574" t="str">
        <x:v>Target</x:v>
      </x:c>
      <x:c r="G4" s="574" t="str">
        <x:v>S4; current intraday snapshot</x:v>
      </x:c>
    </x:row>
    <x:row r="5" ht="30" customHeight="1">
      <x:c r="A5" s="451" t="str">
        <x:v>Upstart</x:v>
      </x:c>
      <x:c r="B5" s="451" t="str">
        <x:v>UPST</x:v>
      </x:c>
      <x:c r="C5" s="451" t="str">
        <x:v>AI lending marketplace / platform</x:v>
      </x:c>
      <x:c r="D5" s="575" t="n">
        <x:v>13.2</x:v>
      </x:c>
      <x:c r="E5" s="576" t="str">
        <x:v>2026-05</x:v>
      </x:c>
      <x:c r="F5" s="576" t="str">
        <x:v>Core</x:v>
      </x:c>
      <x:c r="G5" s="576" t="str">
        <x:v>S6; closest platform analog, but different funding and credit economics</x:v>
      </x:c>
    </x:row>
    <x:row r="6" ht="30" customHeight="1">
      <x:c r="A6" s="451" t="str">
        <x:v>SoFi</x:v>
      </x:c>
      <x:c r="B6" s="451" t="str">
        <x:v>SOFI</x:v>
      </x:c>
      <x:c r="C6" s="451" t="str">
        <x:v>Digital financial platform / balance-sheet lender</x:v>
      </x:c>
      <x:c r="D6" s="575" t="n">
        <x:v>26.1</x:v>
      </x:c>
      <x:c r="E6" s="576" t="str">
        <x:v>2026-05</x:v>
      </x:c>
      <x:c r="F6" s="576" t="str">
        <x:v>Secondary</x:v>
      </x:c>
      <x:c r="G6" s="576" t="str">
        <x:v>S6; broader bank/platform mix and greater scale</x:v>
      </x:c>
    </x:row>
    <x:row r="7" ht="30" customHeight="1">
      <x:c r="A7" s="451" t="str">
        <x:v>LendingClub</x:v>
      </x:c>
      <x:c r="B7" s="451" t="str">
        <x:v>LC</x:v>
      </x:c>
      <x:c r="C7" s="451" t="str">
        <x:v>Digital marketplace bank</x:v>
      </x:c>
      <x:c r="D7" s="575" t="n">
        <x:v>9</x:v>
      </x:c>
      <x:c r="E7" s="576" t="str">
        <x:v>2026-05</x:v>
      </x:c>
      <x:c r="F7" s="576" t="str">
        <x:v>Secondary</x:v>
      </x:c>
      <x:c r="G7" s="576" t="str">
        <x:v>S6; funding and credit-cycle reference</x:v>
      </x:c>
    </x:row>
    <x:row r="8" ht="30" customHeight="1">
      <x:c r="A8" s="451" t="str">
        <x:v>Enova</x:v>
      </x:c>
      <x:c r="B8" s="451" t="str">
        <x:v>ENVA</x:v>
      </x:c>
      <x:c r="C8" s="451" t="str">
        <x:v>Online lender</x:v>
      </x:c>
      <x:c r="D8" s="575" t="n">
        <x:v>9.8</x:v>
      </x:c>
      <x:c r="E8" s="576" t="str">
        <x:v>2026-05</x:v>
      </x:c>
      <x:c r="F8" s="576" t="str">
        <x:v>Secondary</x:v>
      </x:c>
      <x:c r="G8" s="576" t="str">
        <x:v>S6; credit-cycle reference</x:v>
      </x:c>
    </x:row>
    <x:row r="9" ht="30" customHeight="1">
      <x:c r="A9" s="453" t="str">
        <x:v>LendingTree</x:v>
      </x:c>
      <x:c r="B9" s="453" t="str">
        <x:v>TREE</x:v>
      </x:c>
      <x:c r="C9" s="453" t="str">
        <x:v>Consumer finance marketplace</x:v>
      </x:c>
      <x:c r="D9" s="577" t="n">
        <x:v>6.3</x:v>
      </x:c>
      <x:c r="E9" s="578" t="str">
        <x:v>2026-05</x:v>
      </x:c>
      <x:c r="F9" s="578" t="str">
        <x:v>Adjacent</x:v>
      </x:c>
      <x:c r="G9" s="578" t="str">
        <x:v>S6; marketplace context, not a direct economic match</x:v>
      </x:c>
    </x:row>
    <x:row r="10">
      <x:c r="A10" s="369"/>
      <x:c r="B10" s="369"/>
      <x:c r="C10" s="369"/>
      <x:c r="D10" s="369"/>
      <x:c r="E10" s="369"/>
      <x:c r="F10" s="369"/>
      <x:c r="G10" s="369"/>
    </x:row>
    <x:row r="11">
      <x:c r="A11" s="446" t="str">
        <x:v>Cross-check</x:v>
      </x:c>
      <x:c r="B11" s="447" t="str">
        <x:v>Low</x:v>
      </x:c>
      <x:c r="C11" s="447" t="str">
        <x:v>Central</x:v>
      </x:c>
      <x:c r="D11" s="448" t="str">
        <x:v>High</x:v>
      </x:c>
      <x:c r="E11" s="369"/>
      <x:c r="F11" s="369"/>
      <x:c r="G11" s="369"/>
    </x:row>
    <x:row r="12">
      <x:c r="A12" s="471" t="str">
        <x:v>Selected multiple</x:v>
      </x:c>
      <x:c r="B12" s="579" t="n">
        <x:v>8</x:v>
      </x:c>
      <x:c r="C12" s="579" t="n">
        <x:v>9.8</x:v>
      </x:c>
      <x:c r="D12" s="579" t="n">
        <x:v>12</x:v>
      </x:c>
      <x:c r="E12" s="369"/>
      <x:c r="F12" s="369"/>
      <x:c r="G12" s="369"/>
    </x:row>
    <x:row r="13">
      <x:c r="A13" s="474" t="str">
        <x:v>Base-case 2027 normalized EPS (model)</x:v>
      </x:c>
      <x:c r="B13" s="580" t="n">
        <x:f>'Forecast'!C25/'Assumptions'!$B$8</x:f>
        <x:v>1.9259651162790696</x:v>
      </x:c>
      <x:c r="C13" s="580" t="n">
        <x:f>'Forecast'!C25/'Assumptions'!$B$8</x:f>
        <x:v>1.9259651162790696</x:v>
      </x:c>
      <x:c r="D13" s="580" t="n">
        <x:f>'Forecast'!C25/'Assumptions'!$B$8</x:f>
        <x:v>1.9259651162790696</x:v>
      </x:c>
      <x:c r="E13" s="369"/>
      <x:c r="F13" s="369"/>
      <x:c r="G13" s="369"/>
    </x:row>
    <x:row r="14">
      <x:c r="A14" s="474" t="str">
        <x:v>Implied value / share</x:v>
      </x:c>
      <x:c r="B14" s="581" t="n">
        <x:f>B12*B13</x:f>
        <x:v>15.407720930232557</x:v>
      </x:c>
      <x:c r="C14" s="581" t="n">
        <x:f>C12*C13</x:f>
        <x:v>18.874458139534884</x:v>
      </x:c>
      <x:c r="D14" s="581" t="n">
        <x:f>D12*D13</x:f>
        <x:v>23.111581395348836</x:v>
      </x:c>
      <x:c r="E14" s="369"/>
      <x:c r="F14" s="369"/>
      <x:c r="G14" s="369"/>
    </x:row>
    <x:row r="15">
      <x:c r="A15" s="479" t="str">
        <x:v>Current market price</x:v>
      </x:c>
      <x:c r="B15" s="560" t="n">
        <x:f>'Assumptions'!$B$6</x:f>
        <x:v>16.29</x:v>
      </x:c>
      <x:c r="C15" s="560" t="n">
        <x:f>'Assumptions'!$B$6</x:f>
        <x:v>16.29</x:v>
      </x:c>
      <x:c r="D15" s="560" t="n">
        <x:f>'Assumptions'!$B$6</x:f>
        <x:v>16.29</x:v>
      </x:c>
      <x:c r="E15" s="369"/>
      <x:c r="F15" s="369"/>
      <x:c r="G15" s="369"/>
    </x:row>
    <x:row r="16">
      <x:c r="A16" s="369"/>
      <x:c r="B16" s="369"/>
      <x:c r="C16" s="369"/>
      <x:c r="D16" s="369"/>
      <x:c r="E16" s="369"/>
      <x:c r="F16" s="369"/>
      <x:c r="G16" s="369"/>
    </x:row>
    <x:row r="17" ht="22" customHeight="1">
      <x:c r="A17" s="34" t="str">
        <x:v>Interpretation</x:v>
      </x:c>
      <x:c r="B17" s="34"/>
      <x:c r="C17" s="34"/>
      <x:c r="D17" s="34"/>
      <x:c r="E17" s="34"/>
      <x:c r="F17" s="34"/>
      <x:c r="G17" s="34"/>
    </x:row>
    <x:row r="18">
      <x:c r="A18" s="369" t="str">
        <x:v>Conclusion</x:v>
      </x:c>
      <x:c r="B18" s="437" t="str">
        <x:v>PGY trades below the selected peer range, but direct comparability remains weak because Pagaya combines fee-platform economics with funding sensitivity and required risk-retention capital.</x:v>
      </x:c>
      <x:c r="C18" s="437"/>
      <x:c r="D18" s="437"/>
      <x:c r="E18" s="437"/>
      <x:c r="F18" s="437"/>
      <x:c r="G18" s="437"/>
    </x:row>
    <x:row r="19">
      <x:c r="A19" s="369" t="str">
        <x:v>Use</x:v>
      </x:c>
      <x:c r="B19" s="437" t="str">
        <x:v>The selected 8.0x–12.0x range is a corroborative screen informed by the Core and Secondary references; it does not override the intrinsic model.</x:v>
      </x:c>
      <x:c r="C19" s="437"/>
      <x:c r="D19" s="437"/>
      <x:c r="E19" s="437"/>
      <x:c r="F19" s="437"/>
      <x:c r="G19" s="437"/>
    </x:row>
  </x:sheetData>
  <x:mergeCells>
    <x:mergeCell ref="A1:G1"/>
    <x:mergeCell ref="A2:G2"/>
    <x:mergeCell ref="B18:G18"/>
    <x:mergeCell ref="B19:G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26" hidden="0" customWidth="1"/>
    <x:col min="7" max="7" width="20" hidden="0" customWidth="1"/>
    <x:col min="8" max="8" width="32" hidden="0" customWidth="1"/>
  </x:cols>
  <x:sheetData>
    <x:row r="1" ht="30" customHeight="1">
      <x:c r="A1" s="3" t="str">
        <x:v>Valuation Sensitivities and Implied Expectations</x:v>
      </x:c>
      <x:c r="B1" s="3" t="str">
        <x:v>Valuation Sensitivities and Implied Expectations</x:v>
      </x:c>
      <x:c r="C1" s="3" t="str">
        <x:v>Valuation Sensitivities and Implied Expectations</x:v>
      </x:c>
      <x:c r="D1" s="3" t="str">
        <x:v>Valuation Sensitivities and Implied Expectations</x:v>
      </x:c>
      <x:c r="E1" s="3" t="str">
        <x:v>Valuation Sensitivities and Implied Expectations</x:v>
      </x:c>
      <x:c r="F1" s="3" t="str">
        <x:v>Valuation Sensitivities and Implied Expectations</x:v>
      </x:c>
      <x:c r="G1" s="3" t="str">
        <x:v>Valuation Sensitivities and Implied Expectations</x:v>
      </x:c>
      <x:c r="H1" s="3" t="str">
        <x:v>Valuation Sensitivities and Implied Expectations</x:v>
      </x:c>
    </x:row>
    <x:row r="2">
      <x:c r="A2" s="491" t="str">
        <x:v>USD per share • Base operating path • Reverse DCF holds terminal growth at 3.0% and varies only the cost of equity</x:v>
      </x:c>
      <x:c r="B2" s="491"/>
      <x:c r="C2" s="491"/>
      <x:c r="D2" s="491"/>
      <x:c r="E2" s="491"/>
      <x:c r="F2" s="491"/>
      <x:c r="G2" s="491"/>
      <x:c r="H2" s="491"/>
    </x:row>
    <x:row r="3" ht="22" customHeight="1">
      <x:c r="A3" s="34" t="str">
        <x:v>Base FCFE value / share ($): cost of equity vs. terminal growth</x:v>
      </x:c>
      <x:c r="B3" s="34"/>
      <x:c r="C3" s="34"/>
      <x:c r="D3" s="34"/>
      <x:c r="E3" s="34"/>
      <x:c r="F3" s="34"/>
      <x:c r="G3" s="369"/>
      <x:c r="H3" s="369"/>
    </x:row>
    <x:row r="4">
      <x:c r="A4" s="446" t="str">
        <x:v>Cost of equity \ terminal growth</x:v>
      </x:c>
      <x:c r="B4" s="587" t="n">
        <x:v>0.02</x:v>
      </x:c>
      <x:c r="C4" s="587" t="n">
        <x:v>0.025</x:v>
      </x:c>
      <x:c r="D4" s="587" t="n">
        <x:v>0.03</x:v>
      </x:c>
      <x:c r="E4" s="587" t="n">
        <x:v>0.035</x:v>
      </x:c>
      <x:c r="F4" s="588" t="n">
        <x:v>0.04</x:v>
      </x:c>
      <x:c r="G4" s="369"/>
      <x:c r="H4" s="369"/>
    </x:row>
    <x:row r="5">
      <x:c r="A5" s="561" t="n">
        <x:v>0.12</x:v>
      </x:c>
      <x:c r="B5" s="589" t="n">
        <x:f>(SUMPRODUCT('Forecast'!$B$29:$G$29,1/(1+$A5)^{1,2,3,4,5,6})+('Forecast'!$G$29*(1+B$4)/($A5-B$4))/(1+$A5)^6)/'Assumptions'!$B$8</x:f>
        <x:v>25.845804823601025</x:v>
      </x:c>
      <x:c r="C5" s="589" t="n">
        <x:f>(SUMPRODUCT('Forecast'!$B$29:$G$29,1/(1+$A5)^{1,2,3,4,5,6})+('Forecast'!$G$29*(1+C$4)/($A5-C$4))/(1+$A5)^6)/'Assumptions'!$B$8</x:f>
        <x:v>26.8217512344404</x:v>
      </x:c>
      <x:c r="D5" s="589" t="n">
        <x:f>(SUMPRODUCT('Forecast'!$B$29:$G$29,1/(1+$A5)^{1,2,3,4,5,6})+('Forecast'!$G$29*(1+D$4)/($A5-D$4))/(1+$A5)^6)/'Assumptions'!$B$8</x:f>
        <x:v>27.90613613537305</x:v>
      </x:c>
      <x:c r="E5" s="589" t="n">
        <x:f>(SUMPRODUCT('Forecast'!$B$29:$G$29,1/(1+$A5)^{1,2,3,4,5,6})+('Forecast'!$G$29*(1+E$4)/($A5-E$4))/(1+$A5)^6)/'Assumptions'!$B$8</x:f>
        <x:v>29.118095730533067</x:v>
      </x:c>
      <x:c r="F5" s="589" t="n">
        <x:f>(SUMPRODUCT('Forecast'!$B$29:$G$29,1/(1+$A5)^{1,2,3,4,5,6})+('Forecast'!$G$29*(1+F$4)/($A5-F$4))/(1+$A5)^6)/'Assumptions'!$B$8</x:f>
        <x:v>30.48155027508809</x:v>
      </x:c>
      <x:c r="G5" s="369"/>
      <x:c r="H5" s="369"/>
    </x:row>
    <x:row r="6">
      <x:c r="A6" s="562" t="n">
        <x:v>0.13</x:v>
      </x:c>
      <x:c r="B6" s="556" t="n">
        <x:f>(SUMPRODUCT('Forecast'!$B$29:$G$29,1/(1+$A6)^{1,2,3,4,5,6})+('Forecast'!$G$29*(1+B$4)/($A6-B$4))/(1+$A6)^6)/'Assumptions'!$B$8</x:f>
        <x:v>23.226728632095185</x:v>
      </x:c>
      <x:c r="C6" s="556" t="n">
        <x:f>(SUMPRODUCT('Forecast'!$B$29:$G$29,1/(1+$A6)^{1,2,3,4,5,6})+('Forecast'!$G$29*(1+C$4)/($A6-C$4))/(1+$A6)^6)/'Assumptions'!$B$8</x:f>
        <x:v>23.99455936003883</x:v>
      </x:c>
      <x:c r="D6" s="556" t="n">
        <x:f>(SUMPRODUCT('Forecast'!$B$29:$G$29,1/(1+$A6)^{1,2,3,4,5,6})+('Forecast'!$G$29*(1+D$4)/($A6-D$4))/(1+$A6)^6)/'Assumptions'!$B$8</x:f>
        <x:v>24.83917316077684</x:v>
      </x:c>
      <x:c r="E6" s="556" t="n">
        <x:f>(SUMPRODUCT('Forecast'!$B$29:$G$29,1/(1+$A6)^{1,2,3,4,5,6})+('Forecast'!$G$29*(1+E$4)/($A6-E$4))/(1+$A6)^6)/'Assumptions'!$B$8</x:f>
        <x:v>25.772693677382016</x:v>
      </x:c>
      <x:c r="F6" s="556" t="n">
        <x:f>(SUMPRODUCT('Forecast'!$B$29:$G$29,1/(1+$A6)^{1,2,3,4,5,6})+('Forecast'!$G$29*(1+F$4)/($A6-F$4))/(1+$A6)^6)/'Assumptions'!$B$8</x:f>
        <x:v>26.809938695832212</x:v>
      </x:c>
      <x:c r="G6" s="369"/>
      <x:c r="H6" s="369"/>
    </x:row>
    <x:row r="7">
      <x:c r="A7" s="562" t="n">
        <x:v>0.14</x:v>
      </x:c>
      <x:c r="B7" s="556" t="n">
        <x:f>(SUMPRODUCT('Forecast'!$B$29:$G$29,1/(1+$A7)^{1,2,3,4,5,6})+('Forecast'!$G$29*(1+B$4)/($A7-B$4))/(1+$A7)^6)/'Assumptions'!$B$8</x:f>
        <x:v>21.05373227360056</x:v>
      </x:c>
      <x:c r="C7" s="556" t="n">
        <x:f>(SUMPRODUCT('Forecast'!$B$29:$G$29,1/(1+$A7)^{1,2,3,4,5,6})+('Forecast'!$G$29*(1+C$4)/($A7-C$4))/(1+$A7)^6)/'Assumptions'!$B$8</x:f>
        <x:v>21.668677375688873</x:v>
      </x:c>
      <x:c r="D7" s="590" t="n">
        <x:f>(SUMPRODUCT('Forecast'!$B$29:$G$29,1/(1+$A7)^{1,2,3,4,5,6})+('Forecast'!$G$29*(1+D$4)/($A7-D$4))/(1+$A7)^6)/'Assumptions'!$B$8</x:f>
        <x:v>22.339526577967035</x:v>
      </x:c>
      <x:c r="E7" s="556" t="n">
        <x:f>(SUMPRODUCT('Forecast'!$B$29:$G$29,1/(1+$A7)^{1,2,3,4,5,6})+('Forecast'!$G$29*(1+E$4)/($A7-E$4))/(1+$A7)^6)/'Assumptions'!$B$8</x:f>
        <x:v>23.074266180462168</x:v>
      </x:c>
      <x:c r="F7" s="556" t="n">
        <x:f>(SUMPRODUCT('Forecast'!$B$29:$G$29,1/(1+$A7)^{1,2,3,4,5,6})+('Forecast'!$G$29*(1+F$4)/($A7-F$4))/(1+$A7)^6)/'Assumptions'!$B$8</x:f>
        <x:v>23.88247974320681</x:v>
      </x:c>
      <x:c r="G7" s="369"/>
      <x:c r="H7" s="369"/>
    </x:row>
    <x:row r="8">
      <x:c r="A8" s="562" t="n">
        <x:v>0.15</x:v>
      </x:c>
      <x:c r="B8" s="556" t="n">
        <x:f>(SUMPRODUCT('Forecast'!$B$29:$G$29,1/(1+$A8)^{1,2,3,4,5,6})+('Forecast'!$G$29*(1+B$4)/($A8-B$4))/(1+$A8)^6)/'Assumptions'!$B$8</x:f>
        <x:v>19.223431808592487</x:v>
      </x:c>
      <x:c r="C8" s="556" t="n">
        <x:f>(SUMPRODUCT('Forecast'!$B$29:$G$29,1/(1+$A8)^{1,2,3,4,5,6})+('Forecast'!$G$29*(1+C$4)/($A8-C$4))/(1+$A8)^6)/'Assumptions'!$B$8</x:f>
        <x:v>19.723347907655924</x:v>
      </x:c>
      <x:c r="D8" s="556" t="n">
        <x:f>(SUMPRODUCT('Forecast'!$B$29:$G$29,1/(1+$A8)^{1,2,3,4,5,6})+('Forecast'!$G$29*(1+D$4)/($A8-D$4))/(1+$A8)^6)/'Assumptions'!$B$8</x:f>
        <x:v>20.26492368164132</x:v>
      </x:c>
      <x:c r="E8" s="556" t="n">
        <x:f>(SUMPRODUCT('Forecast'!$B$29:$G$29,1/(1+$A8)^{1,2,3,4,5,6})+('Forecast'!$G$29*(1+E$4)/($A8-E$4))/(1+$A8)^6)/'Assumptions'!$B$8</x:f>
        <x:v>20.85359300119066</x:v>
      </x:c>
      <x:c r="F8" s="556" t="n">
        <x:f>(SUMPRODUCT('Forecast'!$B$29:$G$29,1/(1+$A8)^{1,2,3,4,5,6})+('Forecast'!$G$29*(1+F$4)/($A8-F$4))/(1+$A8)^6)/'Assumptions'!$B$8</x:f>
        <x:v>21.495777713426303</x:v>
      </x:c>
      <x:c r="G8" s="369"/>
      <x:c r="H8" s="369"/>
    </x:row>
    <x:row r="9">
      <x:c r="A9" s="481" t="n">
        <x:v>0.16</x:v>
      </x:c>
      <x:c r="B9" s="591" t="n">
        <x:f>(SUMPRODUCT('Forecast'!$B$29:$G$29,1/(1+$A9)^{1,2,3,4,5,6})+('Forecast'!$G$29*(1+B$4)/($A9-B$4))/(1+$A9)^6)/'Assumptions'!$B$8</x:f>
        <x:v>17.662006231724174</x:v>
      </x:c>
      <x:c r="C9" s="591" t="n">
        <x:f>(SUMPRODUCT('Forecast'!$B$29:$G$29,1/(1+$A9)^{1,2,3,4,5,6})+('Forecast'!$G$29*(1+C$4)/($A9-C$4))/(1+$A9)^6)/'Assumptions'!$B$8</x:f>
        <x:v>18.07361814833549</x:v>
      </x:c>
      <x:c r="D9" s="591" t="n">
        <x:f>(SUMPRODUCT('Forecast'!$B$29:$G$29,1/(1+$A9)^{1,2,3,4,5,6})+('Forecast'!$G$29*(1+D$4)/($A9-D$4))/(1+$A9)^6)/'Assumptions'!$B$8</x:f>
        <x:v>18.516892520070755</x:v>
      </x:c>
      <x:c r="E9" s="591" t="n">
        <x:f>(SUMPRODUCT('Forecast'!$B$29:$G$29,1/(1+$A9)^{1,2,3,4,5,6})+('Forecast'!$G$29*(1+E$4)/($A9-E$4))/(1+$A9)^6)/'Assumptions'!$B$8</x:f>
        <x:v>18.995628841544843</x:v>
      </x:c>
      <x:c r="F9" s="591" t="n">
        <x:f>(SUMPRODUCT('Forecast'!$B$29:$G$29,1/(1+$A9)^{1,2,3,4,5,6})+('Forecast'!$G$29*(1+F$4)/($A9-F$4))/(1+$A9)^6)/'Assumptions'!$B$8</x:f>
        <x:v>19.514259856475107</x:v>
      </x:c>
      <x:c r="G9" s="369"/>
      <x:c r="H9" s="369"/>
    </x:row>
    <x:row r="10">
      <x:c r="A10" s="369"/>
      <x:c r="B10" s="369"/>
      <x:c r="C10" s="369"/>
      <x:c r="D10" s="369"/>
      <x:c r="E10" s="369"/>
      <x:c r="F10" s="369"/>
      <x:c r="G10" s="369"/>
      <x:c r="H10" s="369"/>
    </x:row>
    <x:row r="11">
      <x:c r="A11" s="369"/>
      <x:c r="B11" s="369"/>
      <x:c r="C11" s="369"/>
      <x:c r="D11" s="369"/>
      <x:c r="E11" s="369"/>
      <x:c r="F11" s="369"/>
      <x:c r="G11" s="369"/>
      <x:c r="H11" s="369"/>
    </x:row>
    <x:row r="12" ht="22" customHeight="1">
      <x:c r="A12" s="34" t="str">
        <x:v>Reverse DCF: base operating path at different costs of equity</x:v>
      </x:c>
      <x:c r="B12" s="34"/>
      <x:c r="C12" s="34"/>
      <x:c r="D12" s="34"/>
      <x:c r="E12" s="369"/>
      <x:c r="F12" s="34" t="str">
        <x:v>Market-implied expectation</x:v>
      </x:c>
      <x:c r="G12" s="34"/>
      <x:c r="H12" s="34"/>
    </x:row>
    <x:row r="13">
      <x:c r="A13" s="446" t="str">
        <x:v>Cost of equity</x:v>
      </x:c>
      <x:c r="B13" s="447" t="str">
        <x:v>Implied value / share</x:v>
      </x:c>
      <x:c r="C13" s="447" t="str">
        <x:v>Premium / (discount)</x:v>
      </x:c>
      <x:c r="D13" s="448" t="str">
        <x:v>Read-through</x:v>
      </x:c>
      <x:c r="E13" s="369"/>
      <x:c r="F13" s="455" t="str">
        <x:v>Metric</x:v>
      </x:c>
      <x:c r="G13" s="456" t="str">
        <x:v>Result</x:v>
      </x:c>
      <x:c r="H13" s="457" t="str">
        <x:v>Interpretation</x:v>
      </x:c>
    </x:row>
    <x:row r="14" ht="34" customHeight="1">
      <x:c r="A14" s="561" t="n">
        <x:v>0.12</x:v>
      </x:c>
      <x:c r="B14" s="589" t="n">
        <x:f>(SUMPRODUCT('Forecast'!$B$29:$G$29,1/(1+$A14)^{1,2,3,4,5,6})+('Forecast'!$G$29*(1+'Assumptions'!$D$33)/($A14-'Assumptions'!$D$33))/(1+$A14)^6)/'Assumptions'!$B$8</x:f>
        <x:v>27.90613613537305</x:v>
      </x:c>
      <x:c r="C14" s="561" t="n">
        <x:f>B14/'Assumptions'!$B$6-1</x:f>
        <x:v>0.7130838634360375</x:v>
      </x:c>
      <x:c r="D14" s="471" t="str">
        <x:f>IF(ABS(B14-'Assumptions'!$B$6)&lt;1,"Near market-implied hurdle","")</x:f>
      </x:c>
      <x:c r="E14" s="369"/>
      <x:c r="F14" s="449" t="str">
        <x:v>Market-implied cost of equity (reverse DCF)</x:v>
      </x:c>
      <x:c r="G14" s="592" t="n">
        <x:f>17.5%+(((SUMPRODUCT('Forecast'!$B$29:$G$29,1/(1+17.5%)^{1,2,3,4,5,6})+('Forecast'!$G$29*(1+'Assumptions'!$D$33)/(17.5%-'Assumptions'!$D$33))/(1+17.5%)^6)/'Assumptions'!$B$8-'Assumptions'!$B$6)/((SUMPRODUCT('Forecast'!$B$29:$G$29,1/(1+17.5%)^{1,2,3,4,5,6})+('Forecast'!$G$29*(1+'Assumptions'!$D$33)/(17.5%-'Assumptions'!$D$33))/(1+17.5%)^6)/'Assumptions'!$B$8-(SUMPRODUCT('Forecast'!$B$29:$G$29,1/(1+17.6%)^{1,2,3,4,5,6})+('Forecast'!$G$29*(1+'Assumptions'!$D$33)/(17.6%-'Assumptions'!$D$33))/(1+17.6%)^6)/'Assumptions'!$B$8))*(17.6%-17.5%)</x:f>
        <x:v>0.17553793626227127</x:v>
      </x:c>
      <x:c r="H14" s="449" t="str">
        <x:v>Interpolated under the base operating path and 3.0% terminal growth.</x:v>
      </x:c>
    </x:row>
    <x:row r="15" ht="34" customHeight="1">
      <x:c r="A15" s="562" t="n">
        <x:v>0.13</x:v>
      </x:c>
      <x:c r="B15" s="556" t="n">
        <x:f>(SUMPRODUCT('Forecast'!$B$29:$G$29,1/(1+$A15)^{1,2,3,4,5,6})+('Forecast'!$G$29*(1+'Assumptions'!$D$33)/($A15-'Assumptions'!$D$33))/(1+$A15)^6)/'Assumptions'!$B$8</x:f>
        <x:v>24.83917316077684</x:v>
      </x:c>
      <x:c r="C15" s="562" t="n">
        <x:f>B15/'Assumptions'!$B$6-1</x:f>
        <x:v>0.5248111209807762</x:v>
      </x:c>
      <x:c r="D15" s="474" t="str">
        <x:f>IF(ABS(B15-'Assumptions'!$B$6)&lt;1,"Near market-implied hurdle","")</x:f>
      </x:c>
      <x:c r="E15" s="369"/>
      <x:c r="F15" s="451" t="str">
        <x:v>Implied value at interpolated rate</x:v>
      </x:c>
      <x:c r="G15" s="593" t="n">
        <x:f>(SUMPRODUCT('Forecast'!$B$29:$G$29,1/(1+$G$14)^{1,2,3,4,5,6})+('Forecast'!$G$29*(1+'Assumptions'!$D$33)/($G$14-'Assumptions'!$D$33))/(1+$G$14)^6)/'Assumptions'!$B$8</x:f>
        <x:v>16.289774774362648</x:v>
      </x:c>
      <x:c r="H15" s="451" t="str">
        <x:v>Should reproduce the dated market snapshot.</x:v>
      </x:c>
    </x:row>
    <x:row r="16" ht="34" customHeight="1">
      <x:c r="A16" s="562" t="n">
        <x:v>0.14</x:v>
      </x:c>
      <x:c r="B16" s="556" t="n">
        <x:f>(SUMPRODUCT('Forecast'!$B$29:$G$29,1/(1+$A16)^{1,2,3,4,5,6})+('Forecast'!$G$29*(1+'Assumptions'!$D$33)/($A16-'Assumptions'!$D$33))/(1+$A16)^6)/'Assumptions'!$B$8</x:f>
        <x:v>22.339526577967035</x:v>
      </x:c>
      <x:c r="C16" s="562" t="n">
        <x:f>B16/'Assumptions'!$B$6-1</x:f>
        <x:v>0.37136443081442816</x:v>
      </x:c>
      <x:c r="D16" s="474" t="str">
        <x:f>IF(ABS(B16-'Assumptions'!$B$6)&lt;1,"Near market-implied hurdle","")</x:f>
      </x:c>
      <x:c r="E16" s="369"/>
      <x:c r="F16" s="451" t="str">
        <x:v>Difference to current price</x:v>
      </x:c>
      <x:c r="G16" s="593" t="n">
        <x:f>G15-'Assumptions'!$B$6</x:f>
        <x:v>-0.00022522563735094536</x:v>
      </x:c>
      <x:c r="H16" s="451" t="str">
        <x:v>Control tolerance: $0.01 per share.</x:v>
      </x:c>
    </x:row>
    <x:row r="17" ht="34" customHeight="1">
      <x:c r="A17" s="562" t="n">
        <x:v>0.15</x:v>
      </x:c>
      <x:c r="B17" s="556" t="n">
        <x:f>(SUMPRODUCT('Forecast'!$B$29:$G$29,1/(1+$A17)^{1,2,3,4,5,6})+('Forecast'!$G$29*(1+'Assumptions'!$D$33)/($A17-'Assumptions'!$D$33))/(1+$A17)^6)/'Assumptions'!$B$8</x:f>
        <x:v>20.26492368164132</x:v>
      </x:c>
      <x:c r="C17" s="562" t="n">
        <x:f>B17/'Assumptions'!$B$6-1</x:f>
        <x:v>0.2440100479828926</x:v>
      </x:c>
      <x:c r="D17" s="474" t="str">
        <x:f>IF(ABS(B17-'Assumptions'!$B$6)&lt;1,"Near market-implied hurdle","")</x:f>
      </x:c>
      <x:c r="E17" s="369"/>
      <x:c r="F17" s="453" t="str">
        <x:v>Evidence class</x:v>
      </x:c>
      <x:c r="G17" s="453" t="str">
        <x:v>Model-derived inference</x:v>
      </x:c>
      <x:c r="H17" s="453" t="str">
        <x:v>Not quoted consensus and not a unique market belief.</x:v>
      </x:c>
    </x:row>
    <x:row r="18">
      <x:c r="A18" s="562" t="n">
        <x:v>0.16</x:v>
      </x:c>
      <x:c r="B18" s="556" t="n">
        <x:f>(SUMPRODUCT('Forecast'!$B$29:$G$29,1/(1+$A18)^{1,2,3,4,5,6})+('Forecast'!$G$29*(1+'Assumptions'!$D$33)/($A18-'Assumptions'!$D$33))/(1+$A18)^6)/'Assumptions'!$B$8</x:f>
        <x:v>18.516892520070755</x:v>
      </x:c>
      <x:c r="C18" s="562" t="n">
        <x:f>B18/'Assumptions'!$B$6-1</x:f>
        <x:v>0.13670303990612376</x:v>
      </x:c>
      <x:c r="D18" s="474" t="str">
        <x:f>IF(ABS(B18-'Assumptions'!$B$6)&lt;1,"Near market-implied hurdle","")</x:f>
      </x:c>
      <x:c r="E18" s="369"/>
      <x:c r="F18" s="369"/>
      <x:c r="G18" s="369"/>
      <x:c r="H18" s="369"/>
    </x:row>
    <x:row r="19">
      <x:c r="A19" s="562" t="n">
        <x:v>0.17</x:v>
      </x:c>
      <x:c r="B19" s="556" t="n">
        <x:f>(SUMPRODUCT('Forecast'!$B$29:$G$29,1/(1+$A19)^{1,2,3,4,5,6})+('Forecast'!$G$29*(1+'Assumptions'!$D$33)/($A19-'Assumptions'!$D$33))/(1+$A19)^6)/'Assumptions'!$B$8</x:f>
        <x:v>17.025117194715907</x:v>
      </x:c>
      <x:c r="C19" s="562" t="n">
        <x:f>B19/'Assumptions'!$B$6-1</x:f>
        <x:v>0.045126899614236216</x:v>
      </x:c>
      <x:c r="D19" s="474" t="str">
        <x:f>IF(ABS(B19-'Assumptions'!$B$6)&lt;1,"Near market-implied hurdle","")</x:f>
        <x:v>Near market-implied hurdle</x:v>
      </x:c>
      <x:c r="E19" s="369"/>
      <x:c r="F19" s="369"/>
      <x:c r="G19" s="369"/>
      <x:c r="H19" s="369"/>
    </x:row>
    <x:row r="20">
      <x:c r="A20" s="562" t="n">
        <x:v>0.18</x:v>
      </x:c>
      <x:c r="B20" s="556" t="n">
        <x:f>(SUMPRODUCT('Forecast'!$B$29:$G$29,1/(1+$A20)^{1,2,3,4,5,6})+('Forecast'!$G$29*(1+'Assumptions'!$D$33)/($A20-'Assumptions'!$D$33))/(1+$A20)^6)/'Assumptions'!$B$8</x:f>
        <x:v>15.738051154218214</x:v>
      </x:c>
      <x:c r="C20" s="562" t="n">
        <x:f>B20/'Assumptions'!$B$6-1</x:f>
        <x:v>-0.033882679299065965</x:v>
      </x:c>
      <x:c r="D20" s="474" t="str">
        <x:f>IF(ABS(B20-'Assumptions'!$B$6)&lt;1,"Near market-implied hurdle","")</x:f>
        <x:v>Near market-implied hurdle</x:v>
      </x:c>
      <x:c r="E20" s="369"/>
      <x:c r="F20" s="369"/>
      <x:c r="G20" s="369"/>
      <x:c r="H20" s="369"/>
    </x:row>
    <x:row r="21">
      <x:c r="A21" s="562" t="n">
        <x:v>0.19</x:v>
      </x:c>
      <x:c r="B21" s="556" t="n">
        <x:f>(SUMPRODUCT('Forecast'!$B$29:$G$29,1/(1+$A21)^{1,2,3,4,5,6})+('Forecast'!$G$29*(1+'Assumptions'!$D$33)/($A21-'Assumptions'!$D$33))/(1+$A21)^6)/'Assumptions'!$B$8</x:f>
        <x:v>14.617050601014522</x:v>
      </x:c>
      <x:c r="C21" s="562" t="n">
        <x:f>B21/'Assumptions'!$B$6-1</x:f>
        <x:v>-0.10269793732261978</x:v>
      </x:c>
      <x:c r="D21" s="474" t="str">
        <x:f>IF(ABS(B21-'Assumptions'!$B$6)&lt;1,"Near market-implied hurdle","")</x:f>
      </x:c>
      <x:c r="E21" s="369"/>
      <x:c r="F21" s="369"/>
      <x:c r="G21" s="369"/>
      <x:c r="H21" s="369"/>
    </x:row>
    <x:row r="22">
      <x:c r="A22" s="481" t="n">
        <x:v>0.2</x:v>
      </x:c>
      <x:c r="B22" s="591" t="n">
        <x:f>(SUMPRODUCT('Forecast'!$B$29:$G$29,1/(1+$A22)^{1,2,3,4,5,6})+('Forecast'!$G$29*(1+'Assumptions'!$D$33)/($A22-'Assumptions'!$D$33))/(1+$A22)^6)/'Assumptions'!$B$8</x:f>
        <x:v>13.632578544579982</x:v>
      </x:c>
      <x:c r="C22" s="481" t="n">
        <x:f>B22/'Assumptions'!$B$6-1</x:f>
        <x:v>-0.16313207215592496</x:v>
      </x:c>
      <x:c r="D22" s="479" t="str">
        <x:f>IF(ABS(B22-'Assumptions'!$B$6)&lt;1,"Near market-implied hurdle","")</x:f>
      </x:c>
      <x:c r="E22" s="369"/>
      <x:c r="F22" s="369"/>
      <x:c r="G22" s="369"/>
      <x:c r="H22" s="369"/>
    </x:row>
    <x:row r="23">
      <x:c r="A23" s="369"/>
      <x:c r="B23" s="369"/>
      <x:c r="C23" s="369"/>
      <x:c r="D23" s="369"/>
      <x:c r="E23" s="369"/>
      <x:c r="F23" s="369"/>
      <x:c r="G23" s="369"/>
      <x:c r="H23" s="369"/>
    </x:row>
    <x:row r="24" ht="22" customHeight="1">
      <x:c r="A24" s="34" t="str">
        <x:v>Interpretation</x:v>
      </x:c>
      <x:c r="B24" s="34"/>
      <x:c r="C24" s="34"/>
      <x:c r="D24" s="34"/>
      <x:c r="E24" s="34"/>
      <x:c r="F24" s="34"/>
      <x:c r="G24" s="34"/>
      <x:c r="H24" s="34"/>
    </x:row>
    <x:row r="25">
      <x:c r="A25" s="369" t="str">
        <x:v>Market-implied cost of equity</x:v>
      </x:c>
      <x:c r="B25" s="437" t="str">
        <x:v>At the $16.29 intraday snapshot, the base operating path is consistent with roughly a 17.6% cost of equity—well above the 14% base assumption.</x:v>
      </x:c>
      <x:c r="C25" s="437"/>
      <x:c r="D25" s="437"/>
      <x:c r="E25" s="437"/>
      <x:c r="F25" s="437"/>
      <x:c r="G25" s="437"/>
      <x:c r="H25" s="437"/>
    </x:row>
    <x:row r="26">
      <x:c r="A26" s="369" t="str">
        <x:v>Decision hinge</x:v>
      </x:c>
      <x:c r="B26" s="437" t="str">
        <x:v>The rerating requires proof that FRLPC holds near the mid-4% range while required risk-retention equity capital does not absorb the operating leverage.</x:v>
      </x:c>
      <x:c r="C26" s="437"/>
      <x:c r="D26" s="437"/>
      <x:c r="E26" s="437"/>
      <x:c r="F26" s="437"/>
      <x:c r="G26" s="437"/>
      <x:c r="H26" s="437"/>
    </x:row>
  </x:sheetData>
  <x:mergeCells>
    <x:mergeCell ref="A1:H1"/>
    <x:mergeCell ref="A2:H2"/>
    <x:mergeCell ref="B25:H25"/>
    <x:mergeCell ref="B26:H2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4" hidden="0" customWidth="1"/>
    <x:col min="3" max="3" width="36" hidden="0" customWidth="1"/>
    <x:col min="4" max="4" width="14" hidden="0" customWidth="1"/>
    <x:col min="5" max="5" width="14" hidden="0" customWidth="1"/>
    <x:col min="6" max="6" width="14" hidden="0" customWidth="1"/>
    <x:col min="7" max="7" width="36" hidden="0" customWidth="1"/>
  </x:cols>
  <x:sheetData>
    <x:row r="1" ht="30" customHeight="1">
      <x:c r="A1" s="3" t="str">
        <x:v>Model Checks and Open Issues</x:v>
      </x:c>
      <x:c r="B1" s="3" t="str">
        <x:v>Model Checks and Open Issues</x:v>
      </x:c>
      <x:c r="C1" s="3" t="str">
        <x:v>Model Checks and Open Issues</x:v>
      </x:c>
      <x:c r="D1" s="3" t="str">
        <x:v>Model Checks and Open Issues</x:v>
      </x:c>
      <x:c r="E1" s="3" t="str">
        <x:v>Model Checks and Open Issues</x:v>
      </x:c>
      <x:c r="F1" s="3" t="str">
        <x:v>Model Checks and Open Issues</x:v>
      </x:c>
      <x:c r="G1" s="3" t="str">
        <x:v>Model Checks and Open Issues</x:v>
      </x:c>
    </x:row>
    <x:row r="2">
      <x:c r="A2" s="491" t="str">
        <x:v>Control framework: one assertion per row • PASS/FAIL text plus semantic color • Local checks do not constitute independent review</x:v>
      </x:c>
      <x:c r="B2" s="491"/>
      <x:c r="C2" s="491"/>
      <x:c r="D2" s="491"/>
      <x:c r="E2" s="491"/>
      <x:c r="F2" s="491"/>
      <x:c r="G2" s="491"/>
    </x:row>
    <x:row r="3" ht="22" customHeight="1">
      <x:c r="A3" s="34" t="str">
        <x:v>Master model status</x:v>
      </x:c>
      <x:c r="B3" s="34"/>
      <x:c r="C3" s="34"/>
      <x:c r="D3" s="34"/>
      <x:c r="E3" s="34"/>
      <x:c r="F3" s="34"/>
      <x:c r="G3" s="34"/>
    </x:row>
    <x:row r="4" ht="30" customHeight="1">
      <x:c r="A4" s="599" t="str">
        <x:v>Master status</x:v>
      </x:c>
      <x:c r="B4" s="449" t="str">
        <x:f>IF(COUNTIF(F9:F19,"FAIL")=0,"PASS","FAIL")</x:f>
        <x:v>PASS</x:v>
      </x:c>
      <x:c r="C4" s="599" t="str">
        <x:v>Formula scan</x:v>
      </x:c>
      <x:c r="D4" s="449" t="str">
        <x:v>0 visible errors</x:v>
      </x:c>
      <x:c r="E4" s="599" t="str">
        <x:v>Finance audit</x:v>
      </x:c>
      <x:c r="F4" s="449" t="str">
        <x:v>PASS</x:v>
      </x:c>
      <x:c r="G4" s="449" t="str">
        <x:v>Locally verified; independent review not performed</x:v>
      </x:c>
    </x:row>
    <x:row r="5" ht="30" customHeight="1">
      <x:c r="A5" s="600" t="str">
        <x:v>Evidence posture</x:v>
      </x:c>
      <x:c r="B5" s="453" t="str">
        <x:v>SCREEN-GRADE</x:v>
      </x:c>
      <x:c r="C5" s="600" t="str">
        <x:v>Market input</x:v>
      </x:c>
      <x:c r="D5" s="453" t="str">
        <x:v>CURRENT INTRADAY</x:v>
      </x:c>
      <x:c r="E5" s="600" t="str">
        <x:v>OFF boundary</x:v>
      </x:c>
      <x:c r="F5" s="453" t="str">
        <x:v>DECLARED</x:v>
      </x:c>
      <x:c r="G5" s="453" t="str">
        <x:v>Conformance evaluates package structure and declared lineage, not financial correctness</x:v>
      </x:c>
    </x:row>
    <x:row r="6">
      <x:c r="A6" s="369"/>
      <x:c r="B6" s="369"/>
      <x:c r="C6" s="369"/>
      <x:c r="D6" s="369"/>
      <x:c r="E6" s="369"/>
      <x:c r="F6" s="369"/>
      <x:c r="G6" s="369"/>
    </x:row>
    <x:row r="7" ht="22" customHeight="1">
      <x:c r="A7" s="34" t="str">
        <x:v>Substantive checks</x:v>
      </x:c>
      <x:c r="B7" s="34"/>
      <x:c r="C7" s="34"/>
      <x:c r="D7" s="34"/>
      <x:c r="E7" s="34"/>
      <x:c r="F7" s="34"/>
      <x:c r="G7" s="34"/>
    </x:row>
    <x:row r="8">
      <x:c r="A8" s="446" t="str">
        <x:v>Check</x:v>
      </x:c>
      <x:c r="B8" s="447" t="str">
        <x:v>Actual</x:v>
      </x:c>
      <x:c r="C8" s="447" t="str">
        <x:v>Expected</x:v>
      </x:c>
      <x:c r="D8" s="447" t="str">
        <x:v>Difference</x:v>
      </x:c>
      <x:c r="E8" s="447" t="str">
        <x:v>Tolerance</x:v>
      </x:c>
      <x:c r="F8" s="447" t="str">
        <x:v>Status</x:v>
      </x:c>
      <x:c r="G8" s="448" t="str">
        <x:v>Notes</x:v>
      </x:c>
    </x:row>
    <x:row r="9">
      <x:c r="A9" s="471" t="str">
        <x:v>FY2025 FRLPC recomputes</x:v>
      </x:c>
      <x:c r="B9" s="601" t="n">
        <x:f>'Historicals'!D8</x:f>
        <x:v>512.172</x:v>
      </x:c>
      <x:c r="C9" s="601" t="n">
        <x:f>'Historicals'!D6-'Historicals'!D7</x:f>
        <x:v>512.1719999999999</x:v>
      </x:c>
      <x:c r="D9" s="601" t="n">
        <x:f>B9-C9</x:f>
        <x:v>1.1368683772161603e-13</x:v>
      </x:c>
      <x:c r="E9" s="601" t="n">
        <x:v>0.001</x:v>
      </x:c>
      <x:c r="F9" s="471" t="str">
        <x:f>IF(ABS(D9)&lt;=E9,"PASS","FAIL")</x:f>
        <x:v>PASS</x:v>
      </x:c>
      <x:c r="G9" s="471" t="str">
        <x:v>Revenue from fees less production costs</x:v>
      </x:c>
    </x:row>
    <x:row r="10">
      <x:c r="A10" s="474" t="str">
        <x:v>FY2025 FRLPC % recomputes</x:v>
      </x:c>
      <x:c r="B10" s="602" t="n">
        <x:f>'Historicals'!D9</x:f>
        <x:v>0.048620846781849254</x:v>
      </x:c>
      <x:c r="C10" s="602" t="n">
        <x:f>'Historicals'!D8/('Historicals'!D4*1000)</x:f>
        <x:v>0.048620846781849254</x:v>
      </x:c>
      <x:c r="D10" s="602" t="n">
        <x:f>B10-C10</x:f>
        <x:v>0</x:v>
      </x:c>
      <x:c r="E10" s="602" t="n">
        <x:v>0.0001</x:v>
      </x:c>
      <x:c r="F10" s="474" t="str">
        <x:f>IF(ABS(D10)&lt;=E10,"PASS","FAIL")</x:f>
        <x:v>PASS</x:v>
      </x:c>
      <x:c r="G10" s="474" t="str">
        <x:v>FRLPC divided by Network Volume</x:v>
      </x:c>
    </x:row>
    <x:row r="11">
      <x:c r="A11" s="474" t="str">
        <x:v>Base scenario order</x:v>
      </x:c>
      <x:c r="B11" s="602" t="n">
        <x:f>'DCF'!G5</x:f>
        <x:v>22.33952657796704</x:v>
      </x:c>
      <x:c r="C11" s="602" t="n">
        <x:f>'DCF'!G5</x:f>
        <x:v>22.33952657796704</x:v>
      </x:c>
      <x:c r="D11" s="602" t="n">
        <x:f>B11-C11</x:f>
        <x:v>0</x:v>
      </x:c>
      <x:c r="E11" s="602" t="n">
        <x:v>0.001</x:v>
      </x:c>
      <x:c r="F11" s="474" t="str">
        <x:f>IF(ABS(D11)&lt;=E11,"PASS","FAIL")</x:f>
        <x:v>PASS</x:v>
      </x:c>
      <x:c r="G11" s="474" t="str">
        <x:v>Identity check</x:v>
      </x:c>
    </x:row>
    <x:row r="12">
      <x:c r="A12" s="474" t="str">
        <x:v>Bear below base</x:v>
      </x:c>
      <x:c r="B12" s="602" t="n">
        <x:f>'DCF'!G4</x:f>
        <x:v>10.214455612480247</x:v>
      </x:c>
      <x:c r="C12" s="602" t="n">
        <x:f>'DCF'!G5</x:f>
        <x:v>22.33952657796704</x:v>
      </x:c>
      <x:c r="D12" s="602" t="n">
        <x:f>B12-C12</x:f>
        <x:v>-12.125070965486792</x:v>
      </x:c>
      <x:c r="E12" s="602" t="n">
        <x:v>0</x:v>
      </x:c>
      <x:c r="F12" s="474" t="str">
        <x:f>IF(B12&lt;C12,"PASS","FAIL")</x:f>
        <x:v>PASS</x:v>
      </x:c>
      <x:c r="G12" s="474" t="str">
        <x:v>Scenario ordering</x:v>
      </x:c>
    </x:row>
    <x:row r="13">
      <x:c r="A13" s="474" t="str">
        <x:v>Bull above base</x:v>
      </x:c>
      <x:c r="B13" s="602" t="n">
        <x:f>'DCF'!G6</x:f>
        <x:v>38.911619119110256</x:v>
      </x:c>
      <x:c r="C13" s="602" t="n">
        <x:f>'DCF'!G5</x:f>
        <x:v>22.33952657796704</x:v>
      </x:c>
      <x:c r="D13" s="602" t="n">
        <x:f>B13-C13</x:f>
        <x:v>16.572092541143217</x:v>
      </x:c>
      <x:c r="E13" s="602" t="n">
        <x:v>0</x:v>
      </x:c>
      <x:c r="F13" s="474" t="str">
        <x:f>IF(B13&gt;C13,"PASS","FAIL")</x:f>
        <x:v>PASS</x:v>
      </x:c>
      <x:c r="G13" s="474" t="str">
        <x:v>Scenario ordering</x:v>
      </x:c>
    </x:row>
    <x:row r="14">
      <x:c r="A14" s="474" t="str">
        <x:v>Terminal growth below cost of equity</x:v>
      </x:c>
      <x:c r="B14" s="602" t="n">
        <x:f>'DCF'!B5</x:f>
        <x:v>0.14</x:v>
      </x:c>
      <x:c r="C14" s="602" t="n">
        <x:f>'DCF'!C5</x:f>
        <x:v>0.03</x:v>
      </x:c>
      <x:c r="D14" s="602" t="n">
        <x:f>B14-C14</x:f>
        <x:v>0.11000000000000001</x:v>
      </x:c>
      <x:c r="E14" s="602" t="n">
        <x:v>0</x:v>
      </x:c>
      <x:c r="F14" s="474" t="str">
        <x:f>IF(B14&gt;C14,"PASS","FAIL")</x:f>
        <x:v>PASS</x:v>
      </x:c>
      <x:c r="G14" s="474" t="str">
        <x:v>Base discount-rate coherence</x:v>
      </x:c>
    </x:row>
    <x:row r="15">
      <x:c r="A15" s="474" t="str">
        <x:v>Higher cost of equity lowers value</x:v>
      </x:c>
      <x:c r="B15" s="602" t="n">
        <x:f>'Sensitivities'!B9</x:f>
        <x:v>17.662006231724174</x:v>
      </x:c>
      <x:c r="C15" s="602" t="n">
        <x:f>'Sensitivities'!B5</x:f>
        <x:v>25.845804823601025</x:v>
      </x:c>
      <x:c r="D15" s="602" t="n">
        <x:f>B15-C15</x:f>
        <x:v>-8.183798591876851</x:v>
      </x:c>
      <x:c r="E15" s="602" t="n">
        <x:v>0</x:v>
      </x:c>
      <x:c r="F15" s="474" t="str">
        <x:f>IF(B15&lt;C15,"PASS","FAIL")</x:f>
        <x:v>PASS</x:v>
      </x:c>
      <x:c r="G15" s="474" t="str">
        <x:v>12% vs 16% cost of equity</x:v>
      </x:c>
    </x:row>
    <x:row r="16">
      <x:c r="A16" s="474" t="str">
        <x:v>Higher g raises value</x:v>
      </x:c>
      <x:c r="B16" s="602" t="n">
        <x:f>'Sensitivities'!B5</x:f>
        <x:v>25.845804823601025</x:v>
      </x:c>
      <x:c r="C16" s="602" t="n">
        <x:f>'Sensitivities'!F5</x:f>
        <x:v>30.48155027508809</x:v>
      </x:c>
      <x:c r="D16" s="602" t="n">
        <x:f>B16-C16</x:f>
        <x:v>-4.635745451487065</x:v>
      </x:c>
      <x:c r="E16" s="602" t="n">
        <x:v>0</x:v>
      </x:c>
      <x:c r="F16" s="474" t="str">
        <x:f>IF(B16&lt;C16,"PASS","FAIL")</x:f>
        <x:v>PASS</x:v>
      </x:c>
      <x:c r="G16" s="474" t="str">
        <x:v>2% vs 4% terminal growth</x:v>
      </x:c>
    </x:row>
    <x:row r="17">
      <x:c r="A17" s="474" t="str">
        <x:v>Headline is formula-driven</x:v>
      </x:c>
      <x:c r="B17" s="602" t="n">
        <x:f>'DCF'!G5</x:f>
        <x:v>22.33952657796704</x:v>
      </x:c>
      <x:c r="C17" s="602" t="n">
        <x:f>'DCF'!G5</x:f>
        <x:v>22.33952657796704</x:v>
      </x:c>
      <x:c r="D17" s="602" t="n">
        <x:f>B17-C17</x:f>
        <x:v>0</x:v>
      </x:c>
      <x:c r="E17" s="602" t="n">
        <x:v>0.001</x:v>
      </x:c>
      <x:c r="F17" s="474" t="str">
        <x:f>IF(ABS(D17)&lt;=E17,"PASS","FAIL")</x:f>
        <x:v>PASS</x:v>
      </x:c>
      <x:c r="G17" s="474" t="str">
        <x:v>DCF summary linked to formula output</x:v>
      </x:c>
    </x:row>
    <x:row r="18">
      <x:c r="A18" s="474" t="str">
        <x:v>Sensitivity base case reconciles</x:v>
      </x:c>
      <x:c r="B18" s="602" t="n">
        <x:f>'Sensitivities'!D7</x:f>
        <x:v>22.339526577967035</x:v>
      </x:c>
      <x:c r="C18" s="602" t="n">
        <x:f>'DCF'!G5</x:f>
        <x:v>22.33952657796704</x:v>
      </x:c>
      <x:c r="D18" s="602" t="n">
        <x:f>B18-C18</x:f>
        <x:v>-3.552713678800501e-15</x:v>
      </x:c>
      <x:c r="E18" s="602" t="n">
        <x:v>0.001</x:v>
      </x:c>
      <x:c r="F18" s="474" t="str">
        <x:f>IF(ABS(D18)&lt;=E18,"PASS","FAIL")</x:f>
        <x:v>PASS</x:v>
      </x:c>
      <x:c r="G18" s="474" t="str">
        <x:v>14% cost of equity and 3% terminal growth equal base DCF</x:v>
      </x:c>
    </x:row>
    <x:row r="19">
      <x:c r="A19" s="479" t="str">
        <x:v>Reverse DCF reproduces market price</x:v>
      </x:c>
      <x:c r="B19" s="603" t="n">
        <x:f>'Sensitivities'!G15</x:f>
        <x:v>16.289774774362648</x:v>
      </x:c>
      <x:c r="C19" s="603" t="n">
        <x:f>'Assumptions'!B6</x:f>
        <x:v>16.29</x:v>
      </x:c>
      <x:c r="D19" s="603" t="n">
        <x:f>B19-C19</x:f>
        <x:v>-0.00022522563735094536</x:v>
      </x:c>
      <x:c r="E19" s="603" t="n">
        <x:v>0.01</x:v>
      </x:c>
      <x:c r="F19" s="479" t="str">
        <x:f>IF(ABS(D19)&lt;=E19,"PASS","FAIL")</x:f>
        <x:v>PASS</x:v>
      </x:c>
      <x:c r="G19" s="479" t="str">
        <x:v>Interpolated reverse DCF value equals the intraday market snapshot</x:v>
      </x:c>
    </x:row>
    <x:row r="20">
      <x:c r="A20" s="369"/>
      <x:c r="B20" s="369"/>
      <x:c r="C20" s="369"/>
      <x:c r="D20" s="369"/>
      <x:c r="E20" s="369"/>
      <x:c r="F20" s="369"/>
      <x:c r="G20" s="369"/>
    </x:row>
    <x:row r="21" ht="22" customHeight="1">
      <x:c r="A21" s="26" t="str">
        <x:v>Open issues and limitations</x:v>
      </x:c>
      <x:c r="B21" s="26"/>
      <x:c r="C21" s="26"/>
      <x:c r="D21" s="26"/>
      <x:c r="E21" s="26"/>
      <x:c r="F21" s="26"/>
      <x:c r="G21" s="26"/>
    </x:row>
    <x:row r="22">
      <x:c r="A22" s="446" t="str">
        <x:v>Open issue / limitation</x:v>
      </x:c>
      <x:c r="B22" s="447" t="str">
        <x:v>Severity</x:v>
      </x:c>
      <x:c r="C22" s="448" t="str">
        <x:v>Decision effect</x:v>
      </x:c>
      <x:c r="D22" s="369"/>
      <x:c r="E22" s="369"/>
      <x:c r="F22" s="369"/>
      <x:c r="G22" s="369"/>
    </x:row>
    <x:row r="23" ht="36" customHeight="1">
      <x:c r="A23" s="449" t="str">
        <x:v>Market price is an intraday 2026-07-23 snapshot, not the official close.</x:v>
      </x:c>
      <x:c r="B23" s="449" t="str">
        <x:v>Medium</x:v>
      </x:c>
      <x:c r="C23" s="449" t="str">
        <x:v>Current-market verified at 15:37 EDT only; refresh before a position decision.</x:v>
      </x:c>
      <x:c r="D23" s="369"/>
      <x:c r="E23" s="369"/>
      <x:c r="F23" s="369"/>
      <x:c r="G23" s="369"/>
    </x:row>
    <x:row r="24" ht="36" customHeight="1">
      <x:c r="A24" s="451" t="str">
        <x:v>No licensed consensus or fully normalized peer workbook.</x:v>
      </x:c>
      <x:c r="B24" s="451" t="str">
        <x:v>Medium</x:v>
      </x:c>
      <x:c r="C24" s="451" t="str">
        <x:v>Comps remain corroborative and screen-grade.</x:v>
      </x:c>
      <x:c r="D24" s="369"/>
      <x:c r="E24" s="369"/>
      <x:c r="F24" s="369"/>
      <x:c r="G24" s="369"/>
    </x:row>
    <x:row r="25" ht="36" customHeight="1">
      <x:c r="A25" s="451" t="str">
        <x:v>Risk-retention equity requirement is an analyst assumption.</x:v>
      </x:c>
      <x:c r="B25" s="451" t="str">
        <x:v>High</x:v>
      </x:c>
      <x:c r="C25" s="451" t="str">
        <x:v>This is the most important intrinsic-valuation sensitivity.</x:v>
      </x:c>
      <x:c r="D25" s="369"/>
      <x:c r="E25" s="369"/>
      <x:c r="F25" s="369"/>
      <x:c r="G25" s="369"/>
    </x:row>
    <x:row r="26" ht="36" customHeight="1">
      <x:c r="A26" s="451" t="str">
        <x:v>Q2 2026 results are scheduled for 2026-07-30.</x:v>
      </x:c>
      <x:c r="B26" s="451" t="str">
        <x:v>High</x:v>
      </x:c>
      <x:c r="C26" s="451" t="str">
        <x:v>Refresh volume, FRLPC, cash conversion, and retained-capital intensity after the print.</x:v>
      </x:c>
      <x:c r="D26" s="369"/>
      <x:c r="E26" s="369"/>
      <x:c r="F26" s="369"/>
      <x:c r="G26" s="369"/>
    </x:row>
    <x:row r="27" ht="36" customHeight="1">
      <x:c r="A27" s="451" t="str">
        <x:v>Cross-engine spreadsheet execution has not been independently tested.</x:v>
      </x:c>
      <x:c r="B27" s="451" t="str">
        <x:v>Low</x:v>
      </x:c>
      <x:c r="C27" s="451" t="str">
        <x:v>OFF conformance does not prove formula equivalence.</x:v>
      </x:c>
      <x:c r="D27" s="369"/>
      <x:c r="E27" s="369"/>
      <x:c r="F27" s="369"/>
      <x:c r="G27" s="369"/>
    </x:row>
    <x:row r="28" ht="36" customHeight="1">
      <x:c r="A28" s="453" t="str">
        <x:v>Native Excel Accessibility Checker and print/PDF QA were not run.</x:v>
      </x:c>
      <x:c r="B28" s="453" t="str">
        <x:v>Low</x:v>
      </x:c>
      <x:c r="C28" s="453" t="str">
        <x:v>This is a screen-first workbook; no print/PDF circulation claim is made.</x:v>
      </x:c>
      <x:c r="D28" s="369"/>
      <x:c r="E28" s="369"/>
      <x:c r="F28" s="369"/>
      <x:c r="G28" s="369"/>
    </x:row>
  </x:sheetData>
  <x:mergeCells>
    <x:mergeCell ref="A1:G1"/>
    <x:mergeCell ref="A2:G2"/>
  </x:mergeCells>
  <x:conditionalFormatting sqref="B4:B4">
    <x:cfRule type="containsText" dxfId="0" priority="1" operator="containsText" text="PASS"/>
    <x:cfRule type="containsText" dxfId="1" priority="2" operator="containsText" text="FAIL"/>
  </x:conditionalFormatting>
  <x:conditionalFormatting sqref="F9:F19">
    <x:cfRule type="containsText" dxfId="2" priority="3" operator="containsText" text="PASS"/>
    <x:cfRule type="containsText" dxfId="3" priority="4" operator="containsText" text="FAIL"/>
  </x:conditionalFormatting>
  <x:pageMargins left="0.7" right="0.7" top="0.75" bottom="0.75" header="0.3" footer="0.3"/>
</x:worksheet>
</file>