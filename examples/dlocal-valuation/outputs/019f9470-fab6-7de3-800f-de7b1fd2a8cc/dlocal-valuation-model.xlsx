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6657f8bdac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b02704987094d60"/>
    <x:sheet xmlns:r="http://schemas.openxmlformats.org/officeDocument/2006/relationships" name="Sources" sheetId="2" r:id="Rcf8fd2a25a724d2e"/>
    <x:sheet xmlns:r="http://schemas.openxmlformats.org/officeDocument/2006/relationships" name="Assumptions" sheetId="3" r:id="R6a276a1105f74a5d"/>
    <x:sheet xmlns:r="http://schemas.openxmlformats.org/officeDocument/2006/relationships" name="Historicals" sheetId="4" r:id="Rc16d2772b5014180"/>
    <x:sheet xmlns:r="http://schemas.openxmlformats.org/officeDocument/2006/relationships" name="KPIs" sheetId="5" r:id="R6add75e93bf34f52"/>
    <x:sheet xmlns:r="http://schemas.openxmlformats.org/officeDocument/2006/relationships" name="Forecast" sheetId="6" r:id="R018f7adeb1b84575"/>
    <x:sheet xmlns:r="http://schemas.openxmlformats.org/officeDocument/2006/relationships" name="DCF" sheetId="7" r:id="R5bfa9a45bf0a466f"/>
    <x:sheet xmlns:r="http://schemas.openxmlformats.org/officeDocument/2006/relationships" name="Comps" sheetId="8" r:id="Rc5a12110cbdf4691"/>
    <x:sheet xmlns:r="http://schemas.openxmlformats.org/officeDocument/2006/relationships" name="Sensitivities" sheetId="9" r:id="R3ad4813872204b97"/>
    <x:sheet xmlns:r="http://schemas.openxmlformats.org/officeDocument/2006/relationships" name="Reverse DCF" sheetId="10" r:id="Re4226df2b4084c2f"/>
    <x:sheet xmlns:r="http://schemas.openxmlformats.org/officeDocument/2006/relationships" name="Checks" sheetId="11" r:id="Re117853f05c7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yyyy-mm-dd"/>
    <x:numFmt numFmtId="201" formatCode="$0.00;[Red]($0.00);-"/>
    <x:numFmt numFmtId="202" formatCode="$#,##0.0;[Red]($#,##0.0);-"/>
    <x:numFmt numFmtId="203" formatCode="0.0%;[Red](0.0%);-"/>
    <x:numFmt numFmtId="204" formatCode="0.00x"/>
    <x:numFmt numFmtId="205" formatCode="#,##0.0;[Red](#,##0.0);-"/>
    <x:numFmt numFmtId="206" formatCode="0.0"/>
    <x:numFmt numFmtId="207" formatCode="0.000x"/>
    <x:numFmt numFmtId="208" formatCode="0.0x"/>
    <x:numFmt numFmtId="209" formatCode="0.000"/>
  </x:numFmts>
  <x:fonts count="40">
    <x:font>
      <x:sz val="11"/>
      <x:name val="Carlito"/>
    </x:font>
    <x:font>
      <x:b/>
      <x:sz val="16"/>
      <x:color rgb="FFFFFFFF"/>
      <x:name val="Arial"/>
    </x:font>
    <x:font>
      <x:b/>
      <x:sz val="11"/>
      <x:color rgb="FF000000"/>
      <x:name val="Carlito"/>
    </x:font>
    <x:font>
      <x:sz val="9"/>
      <x:color rgb="FF0563C1"/>
      <x:name val="Carlito"/>
    </x:font>
    <x:font>
      <x:b/>
      <x:sz val="11"/>
      <x:color rgb="FFFFFFFF"/>
      <x:name val="Arial"/>
    </x:font>
    <x:font>
      <x:i/>
      <x:sz val="9"/>
      <x:color rgb="FF595959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2"/>
      <x:color rgb="FF548235"/>
      <x:name val="Carlito"/>
    </x:font>
    <x:font>
      <x:b/>
      <x:sz val="9"/>
      <x:color rgb="FF595959"/>
      <x:name val="Carlito"/>
    </x:font>
    <x:font>
      <x:b/>
      <x:sz val="20"/>
      <x:color rgb="FF17365D"/>
      <x:name val="Carlito"/>
    </x:font>
    <x:font>
      <x:sz val="8"/>
      <x:color rgb="FF595959"/>
      <x:name val="Carlito"/>
    </x:font>
    <x:font>
      <x:sz val="10"/>
      <x:color rgb="FF17365D"/>
      <x:name val="Carlito"/>
    </x:font>
    <x:font>
      <x:sz val="10"/>
      <x:color rgb="FF595959"/>
      <x:name val="Carlito"/>
    </x:font>
    <x:font>
      <x:sz val="9"/>
      <x:color rgb="FF000000"/>
      <x:name val="Carlito"/>
    </x:font>
    <x:font>
      <x:b/>
      <x:sz val="9"/>
      <x:color rgb="FF17365D"/>
      <x:name val="Carlito"/>
    </x:font>
    <x:font>
      <x:b/>
      <x:sz val="11"/>
      <x:color rgb="FFA64B44"/>
      <x:name val="Carlito"/>
    </x:font>
    <x:font>
      <x:sz val="9"/>
      <x:color rgb="FFA64B44"/>
      <x:name val="Carlito"/>
    </x:font>
    <x:font>
      <x:i/>
      <x:sz val="9"/>
      <x:color rgb="FF595959"/>
      <x:name val="Arial"/>
    </x:font>
    <x:font>
      <x:sz val="11"/>
      <x:name val="Arial"/>
    </x:font>
    <x:font>
      <x:b/>
      <x:sz val="9"/>
      <x:color rgb="FF595959"/>
      <x:name val="Arial"/>
    </x:font>
    <x:font>
      <x:b/>
      <x:sz val="20"/>
      <x:color rgb="FF17365D"/>
      <x:name val="Arial"/>
    </x:font>
    <x:font>
      <x:sz val="8"/>
      <x:color rgb="FF595959"/>
      <x:name val="Arial"/>
    </x:font>
    <x:font>
      <x:sz val="10"/>
      <x:color rgb="FF17365D"/>
      <x:name val="Arial"/>
    </x:font>
    <x:font>
      <x:sz val="10"/>
      <x:color rgb="FF595959"/>
      <x:name val="Arial"/>
    </x:font>
    <x:font>
      <x:sz val="9"/>
      <x:color rgb="FF000000"/>
      <x:name val="Arial"/>
    </x:font>
    <x:font>
      <x:b/>
      <x:sz val="9"/>
      <x:color rgb="FF17365D"/>
      <x:name val="Arial"/>
    </x:font>
    <x:font>
      <x:b/>
      <x:sz val="11"/>
      <x:color rgb="FFA64B44"/>
      <x:name val="Arial"/>
    </x:font>
    <x:font>
      <x:sz val="9"/>
      <x:color rgb="FFA64B44"/>
      <x:name val="Arial"/>
    </x:font>
    <x:font>
      <x:b/>
      <x:sz val="11"/>
      <x:color rgb="FF000000"/>
      <x:name val="Arial"/>
    </x:font>
    <x:font>
      <x:sz val="9"/>
      <x:color rgb="FF0563C1"/>
      <x:name val="Arial"/>
    </x:font>
    <x:font>
      <x:sz val="11"/>
      <x:color rgb="FF0000FF"/>
      <x:name val="Arial"/>
    </x:font>
    <x:font>
      <x:sz val="11"/>
      <x:color rgb="FF000000"/>
      <x:name val="Arial"/>
    </x:font>
    <x:font>
      <x:sz val="11"/>
      <x:color rgb="FF008000"/>
      <x:name val="Arial"/>
    </x:font>
    <x:font>
      <x:b/>
      <x:sz val="11"/>
      <x:color rgb="FF17365D"/>
      <x:name val="Arial"/>
    </x:font>
    <x:font>
      <x:b/>
      <x:sz val="11"/>
      <x:name val="Arial"/>
    </x:font>
    <x:font>
      <x:b/>
      <x:sz val="12"/>
      <x:color rgb="FF548235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A64B44"/>
      </x:patternFill>
    </x:fill>
    <x:fill>
      <x:patternFill patternType="solid">
        <x:fgColor rgb="FFF4F6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FCE4D6"/>
      </x:patternFill>
    </x:fill>
    <x:fill>
      <x:patternFill patternType="solid">
        <x:fgColor rgb="FFEEF5FA"/>
      </x:patternFill>
    </x:fill>
    <x:fill>
      <x:patternFill patternType="solid">
        <x:fgColor rgb="FFEAF4E4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</x:fills>
  <x:borders count="17">
    <x:border/>
    <x:border>
      <x:right style="thin">
        <x:color rgb="FFC7D7E5"/>
      </x:right>
      <x:bottom style="medium">
        <x:color rgb="FF9FBAD0"/>
      </x:bottom>
    </x:border>
    <x:border>
      <x:left style="thin">
        <x:color rgb="FFC7D7E5"/>
      </x:left>
      <x:right style="thin">
        <x:color rgb="FFC7D7E5"/>
      </x:right>
      <x:bottom style="medium">
        <x:color rgb="FF9FBAD0"/>
      </x:bottom>
    </x:border>
    <x:border>
      <x:left style="thin">
        <x:color rgb="FFC7D7E5"/>
      </x:left>
      <x:bottom style="medium">
        <x:color rgb="FF9FBAD0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top style="thin">
        <x:color rgb="FF000000"/>
      </x:top>
      <x:bottom style="double">
        <x:color rgb="FF000000"/>
      </x:bottom>
    </x:border>
    <x:border>
      <x:left style="medium">
        <x:color rgb="FF548235"/>
      </x:left>
      <x:right style="medium">
        <x:color rgb="FF548235"/>
      </x:right>
      <x:top style="medium">
        <x:color rgb="FF548235"/>
      </x:top>
      <x:bottom style="medium">
        <x:color rgb="FF548235"/>
      </x:bottom>
    </x:border>
    <x:border>
      <x:bottom style="medium">
        <x:color rgb="FF1F4E78"/>
      </x:bottom>
    </x:border>
    <x:border>
      <x:left style="thin">
        <x:color rgb="FFD9E1E8"/>
      </x:left>
      <x:top style="thin">
        <x:color rgb="FFD9E1E8"/>
      </x:top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</x:border>
    <x:border>
      <x:right style="thin">
        <x:color rgb="FFD9E1E8"/>
      </x:right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</x:borders>
  <x:cellStyleXfs count="1">
    <x:xf numFmtId="0" fontId="0" fillId="0" borderId="0"/>
  </x:cellStyleXfs>
  <x:cellXfs count="5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7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200" fontId="6" fillId="7" borderId="7" xfId="0" applyNumberFormat="1" applyFont="1" applyFill="1" applyBorder="1"/>
    <x:xf numFmtId="201" fontId="6" fillId="7" borderId="7" xfId="0" applyNumberFormat="1" applyFont="1" applyFill="1" applyBorder="1"/>
    <x:xf numFmtId="202" fontId="6" fillId="7" borderId="7" xfId="0" applyNumberFormat="1" applyFont="1" applyFill="1" applyBorder="1"/>
    <x:xf numFmtId="202" fontId="7" fillId="0" borderId="5" xfId="0" applyNumberFormat="1" applyFont="1" applyFill="1" applyBorder="1"/>
    <x:xf numFmtId="203" fontId="6" fillId="7" borderId="7" xfId="0" applyNumberFormat="1" applyFont="1" applyFill="1" applyBorder="1"/>
    <x:xf numFmtId="203" fontId="7" fillId="0" borderId="5" xfId="0" applyNumberFormat="1" applyFont="1" applyFill="1" applyBorder="1"/>
    <x:xf numFmtId="203" fontId="0" fillId="0" borderId="5" xfId="0" applyNumberFormat="1" applyFont="1" applyFill="1" applyBorder="1"/>
    <x:xf numFmtId="203" fontId="7" fillId="0" borderId="6" xfId="0" applyNumberFormat="1" applyFont="1" applyFill="1" applyBorder="1"/>
    <x:xf numFmtId="204" fontId="6" fillId="7" borderId="7" xfId="0" applyNumberFormat="1" applyFont="1" applyFill="1" applyBorder="1"/>
    <x:xf numFmtId="0" fontId="0" fillId="7" borderId="6" xfId="0" applyNumberFormat="1" applyFont="1" applyFill="1" applyBorder="1"/>
    <x:xf numFmtId="0" fontId="6" fillId="7" borderId="6" xfId="0" applyNumberFormat="1" applyFont="1" applyFill="1" applyBorder="1"/>
    <x:xf numFmtId="205" fontId="6" fillId="7" borderId="7" xfId="0" applyNumberFormat="1" applyFont="1" applyFill="1" applyBorder="1"/>
    <x:xf numFmtId="203" fontId="0" fillId="0" borderId="6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206" fontId="8" fillId="0" borderId="4" xfId="0" applyNumberFormat="1" applyFont="1" applyFill="1" applyBorder="1"/>
    <x:xf numFmtId="202" fontId="8" fillId="0" borderId="5" xfId="0" applyNumberFormat="1" applyFont="1" applyFill="1" applyBorder="1"/>
    <x:xf numFmtId="205" fontId="8" fillId="0" borderId="5" xfId="0" applyNumberFormat="1" applyFont="1" applyFill="1" applyBorder="1"/>
    <x:xf numFmtId="201" fontId="8" fillId="0" borderId="6" xfId="0" applyNumberFormat="1" applyFont="1" applyFill="1" applyBorder="1"/>
    <x:xf numFmtId="0" fontId="2" fillId="0" borderId="5" xfId="0" applyNumberFormat="1" applyFont="1" applyFill="1" applyBorder="1"/>
    <x:xf numFmtId="202" fontId="2" fillId="0" borderId="5" xfId="0" applyNumberFormat="1" applyFont="1" applyFill="1" applyBorder="1"/>
    <x:xf numFmtId="0" fontId="2" fillId="0" borderId="8" xfId="0" applyNumberFormat="1" applyFont="1" applyFill="1" applyBorder="1"/>
    <x:xf numFmtId="202" fontId="2" fillId="0" borderId="8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3" fontId="0" fillId="0" borderId="4" xfId="0" applyNumberFormat="1" applyFont="1" applyFill="1" applyBorder="1"/>
    <x:xf numFmtId="203" fontId="7" fillId="0" borderId="4" xfId="0" applyNumberFormat="1" applyFont="1" applyFill="1" applyBorder="1"/>
    <x:xf numFmtId="206" fontId="0" fillId="0" borderId="4" xfId="0" applyNumberFormat="1" applyFont="1" applyFill="1" applyBorder="1"/>
    <x:xf numFmtId="202" fontId="0" fillId="0" borderId="5" xfId="0" applyNumberFormat="1" applyFont="1" applyFill="1" applyBorder="1"/>
    <x:xf numFmtId="207" fontId="0" fillId="0" borderId="5" xfId="0" applyNumberFormat="1" applyFont="1" applyFill="1" applyBorder="1"/>
    <x:xf numFmtId="202" fontId="0" fillId="0" borderId="6" xfId="0" applyNumberFormat="1" applyFont="1" applyFill="1" applyBorder="1"/>
    <x:xf numFmtId="206" fontId="7" fillId="0" borderId="4" xfId="0" applyNumberFormat="1" applyFont="1" applyFill="1" applyBorder="1"/>
    <x:xf numFmtId="207" fontId="7" fillId="0" borderId="5" xfId="0" applyNumberFormat="1" applyFont="1" applyFill="1" applyBorder="1"/>
    <x:xf numFmtId="202" fontId="7" fillId="0" borderId="6" xfId="0" applyNumberFormat="1" applyFont="1" applyFill="1" applyBorder="1"/>
    <x:xf numFmtId="203" fontId="8" fillId="0" borderId="5" xfId="0" applyNumberFormat="1" applyFont="1" applyFill="1" applyBorder="1"/>
    <x:xf numFmtId="202" fontId="0" fillId="0" borderId="4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9" borderId="4" xfId="0" applyNumberFormat="1" applyFont="1" applyFill="1" applyBorder="1"/>
    <x:xf numFmtId="203" fontId="0" fillId="9" borderId="4" xfId="0" applyNumberFormat="1" applyFont="1" applyFill="1" applyBorder="1"/>
    <x:xf numFmtId="202" fontId="0" fillId="9" borderId="4" xfId="0" applyNumberFormat="1" applyFont="1" applyFill="1" applyBorder="1"/>
    <x:xf numFmtId="201" fontId="0" fillId="9" borderId="4" xfId="0" applyNumberFormat="1" applyFont="1" applyFill="1" applyBorder="1"/>
    <x:xf numFmtId="0" fontId="0" fillId="10" borderId="5" xfId="0" applyNumberFormat="1" applyFont="1" applyFill="1" applyBorder="1"/>
    <x:xf numFmtId="203" fontId="0" fillId="10" borderId="5" xfId="0" applyNumberFormat="1" applyFont="1" applyFill="1" applyBorder="1"/>
    <x:xf numFmtId="202" fontId="0" fillId="10" borderId="5" xfId="0" applyNumberFormat="1" applyFont="1" applyFill="1" applyBorder="1"/>
    <x:xf numFmtId="201" fontId="0" fillId="10" borderId="5" xfId="0" applyNumberFormat="1" applyFont="1" applyFill="1" applyBorder="1"/>
    <x:xf numFmtId="0" fontId="0" fillId="11" borderId="6" xfId="0" applyNumberFormat="1" applyFont="1" applyFill="1" applyBorder="1"/>
    <x:xf numFmtId="203" fontId="0" fillId="11" borderId="6" xfId="0" applyNumberFormat="1" applyFont="1" applyFill="1" applyBorder="1"/>
    <x:xf numFmtId="202" fontId="0" fillId="11" borderId="6" xfId="0" applyNumberFormat="1" applyFont="1" applyFill="1" applyBorder="1"/>
    <x:xf numFmtId="201" fontId="0" fillId="11" borderId="6" xfId="0" applyNumberFormat="1" applyFont="1" applyFill="1" applyBorder="1"/>
    <x:xf numFmtId="0" fontId="2" fillId="10" borderId="5" xfId="0" applyNumberFormat="1" applyFont="1" applyFill="1" applyBorder="1"/>
    <x:xf numFmtId="203" fontId="2" fillId="10" borderId="5" xfId="0" applyNumberFormat="1" applyFont="1" applyFill="1" applyBorder="1"/>
    <x:xf numFmtId="202" fontId="2" fillId="10" borderId="5" xfId="0" applyNumberFormat="1" applyFont="1" applyFill="1" applyBorder="1"/>
    <x:xf numFmtId="201" fontId="2" fillId="10" borderId="5" xfId="0" applyNumberFormat="1" applyFont="1" applyFill="1" applyBorder="1"/>
    <x:xf numFmtId="0" fontId="2" fillId="10" borderId="8" xfId="0" applyNumberFormat="1" applyFont="1" applyFill="1" applyBorder="1"/>
    <x:xf numFmtId="203" fontId="2" fillId="10" borderId="8" xfId="0" applyNumberFormat="1" applyFont="1" applyFill="1" applyBorder="1"/>
    <x:xf numFmtId="202" fontId="2" fillId="10" borderId="8" xfId="0" applyNumberFormat="1" applyFont="1" applyFill="1" applyBorder="1"/>
    <x:xf numFmtId="201" fontId="2" fillId="10" borderId="8" xfId="0" applyNumberFormat="1" applyFont="1" applyFill="1" applyBorder="1"/>
    <x:xf numFmtId="205" fontId="0" fillId="0" borderId="6" xfId="0" applyNumberFormat="1" applyFont="1" applyFill="1" applyBorder="1"/>
    <x:xf numFmtId="208" fontId="0" fillId="0" borderId="4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2" fillId="3" borderId="2" xfId="0" applyNumberFormat="1" applyFont="1" applyFill="1" applyBorder="1" applyAlignment="1">
      <x:alignment vertical="center"/>
    </x:xf>
    <x:xf numFmtId="203" fontId="2" fillId="3" borderId="3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0" fillId="12" borderId="5" xfId="0" applyNumberFormat="1" applyFont="1" applyFill="1" applyBorder="1"/>
    <x:xf numFmtId="201" fontId="2" fillId="12" borderId="5" xfId="0" applyNumberFormat="1" applyFont="1" applyFill="1" applyBorder="1"/>
    <x:xf numFmtId="201" fontId="2" fillId="12" borderId="9" xfId="0" applyNumberFormat="1" applyFont="1" applyFill="1" applyBorder="1"/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vertical="center" wrapText="1"/>
    </x:xf>
    <x:xf numFmtId="209" fontId="0" fillId="0" borderId="4" xfId="0" applyNumberFormat="1" applyFont="1" applyFill="1" applyBorder="1"/>
    <x:xf numFmtId="209" fontId="0" fillId="0" borderId="5" xfId="0" applyNumberFormat="1" applyFont="1" applyFill="1" applyBorder="1"/>
    <x:xf numFmtId="209" fontId="0" fillId="0" borderId="6" xfId="0" applyNumberFormat="1" applyFont="1" applyFill="1" applyBorder="1"/>
    <x:xf numFmtId="0" fontId="10" fillId="0" borderId="4" xfId="0" applyNumberFormat="1" applyFont="1" applyFill="1" applyBorder="1"/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9" fillId="3" borderId="0" xfId="0" applyNumberFormat="1" applyFont="1" applyFill="1" applyBorder="1"/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3" fillId="5" borderId="0" xfId="0" applyNumberFormat="1" applyFont="1" applyFill="1" applyBorder="1"/>
    <x:xf numFmtId="201" fontId="13" fillId="5" borderId="0" xfId="0" applyNumberFormat="1" applyFont="1" applyFill="1" applyBorder="1"/>
    <x:xf numFmtId="201" fontId="13" fillId="5" borderId="0" xfId="0" applyNumberFormat="1" applyFont="1" applyFill="1" applyBorder="1" applyAlignment="1">
      <x:alignment horizontal="center"/>
    </x:xf>
    <x:xf numFmtId="201" fontId="13" fillId="5" borderId="0" xfId="0" applyNumberFormat="1" applyFont="1" applyFill="1" applyBorder="1" applyAlignment="1">
      <x:alignment horizontal="center" vertical="center"/>
    </x:xf>
    <x:xf numFmtId="0" fontId="14" fillId="5" borderId="0" xfId="0" applyNumberFormat="1" applyFont="1" applyFill="1" applyBorder="1"/>
    <x:xf numFmtId="0" fontId="14" fillId="5" borderId="10" xfId="0" applyNumberFormat="1" applyFont="1" applyFill="1" applyBorder="1"/>
    <x:xf numFmtId="0" fontId="14" fillId="5" borderId="10" xfId="0" applyNumberFormat="1" applyFont="1" applyFill="1" applyBorder="1" applyAlignment="1">
      <x:alignment wrapText="1"/>
    </x:xf>
    <x:xf numFmtId="0" fontId="14" fillId="5" borderId="10" xfId="0" applyNumberFormat="1" applyFont="1" applyFill="1" applyBorder="1" applyAlignment="1">
      <x:alignment horizontal="center" wrapText="1"/>
    </x:xf>
    <x:xf numFmtId="0" fontId="12" fillId="5" borderId="11" xfId="0" applyNumberFormat="1" applyFont="1" applyFill="1" applyBorder="1" applyAlignment="1">
      <x:alignment horizontal="center"/>
    </x:xf>
    <x:xf numFmtId="0" fontId="12" fillId="5" borderId="6" xfId="0" applyNumberFormat="1" applyFont="1" applyFill="1" applyBorder="1" applyAlignment="1">
      <x:alignment horizontal="center"/>
    </x:xf>
    <x:xf numFmtId="0" fontId="12" fillId="5" borderId="12" xfId="0" applyNumberFormat="1" applyFont="1" applyFill="1" applyBorder="1" applyAlignment="1">
      <x:alignment horizontal="center"/>
    </x:xf>
    <x:xf numFmtId="201" fontId="13" fillId="5" borderId="13" xfId="0" applyNumberFormat="1" applyFont="1" applyFill="1" applyBorder="1" applyAlignment="1">
      <x:alignment horizontal="center" vertical="center"/>
    </x:xf>
    <x:xf numFmtId="201" fontId="13" fillId="5" borderId="14" xfId="0" applyNumberFormat="1" applyFont="1" applyFill="1" applyBorder="1" applyAlignment="1">
      <x:alignment horizontal="center" vertical="center"/>
    </x:xf>
    <x:xf numFmtId="0" fontId="14" fillId="5" borderId="15" xfId="0" applyNumberFormat="1" applyFont="1" applyFill="1" applyBorder="1" applyAlignment="1">
      <x:alignment horizontal="center" wrapText="1"/>
    </x:xf>
    <x:xf numFmtId="0" fontId="14" fillId="5" borderId="4" xfId="0" applyNumberFormat="1" applyFont="1" applyFill="1" applyBorder="1" applyAlignment="1">
      <x:alignment horizontal="center" wrapText="1"/>
    </x:xf>
    <x:xf numFmtId="0" fontId="14" fillId="5" borderId="16" xfId="0" applyNumberFormat="1" applyFont="1" applyFill="1" applyBorder="1" applyAlignment="1">
      <x:alignment horizontal="center" wrapText="1"/>
    </x:xf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horizontal="center"/>
    </x:xf>
    <x:xf numFmtId="0" fontId="13" fillId="9" borderId="0" xfId="0" applyNumberFormat="1" applyFont="1" applyFill="1" applyBorder="1"/>
    <x:xf numFmtId="201" fontId="13" fillId="9" borderId="0" xfId="0" applyNumberFormat="1" applyFont="1" applyFill="1" applyBorder="1"/>
    <x:xf numFmtId="201" fontId="13" fillId="9" borderId="0" xfId="0" applyNumberFormat="1" applyFont="1" applyFill="1" applyBorder="1" applyAlignment="1">
      <x:alignment horizontal="center"/>
    </x:xf>
    <x:xf numFmtId="201" fontId="13" fillId="9" borderId="0" xfId="0" applyNumberFormat="1" applyFont="1" applyFill="1" applyBorder="1" applyAlignment="1">
      <x:alignment horizontal="center" vertical="center"/>
    </x:xf>
    <x:xf numFmtId="0" fontId="14" fillId="9" borderId="0" xfId="0" applyNumberFormat="1" applyFont="1" applyFill="1" applyBorder="1"/>
    <x:xf numFmtId="0" fontId="14" fillId="9" borderId="10" xfId="0" applyNumberFormat="1" applyFont="1" applyFill="1" applyBorder="1"/>
    <x:xf numFmtId="0" fontId="14" fillId="9" borderId="10" xfId="0" applyNumberFormat="1" applyFont="1" applyFill="1" applyBorder="1" applyAlignment="1">
      <x:alignment wrapText="1"/>
    </x:xf>
    <x:xf numFmtId="0" fontId="14" fillId="9" borderId="10" xfId="0" applyNumberFormat="1" applyFont="1" applyFill="1" applyBorder="1" applyAlignment="1">
      <x:alignment horizontal="center" wrapText="1"/>
    </x:xf>
    <x:xf numFmtId="0" fontId="12" fillId="9" borderId="11" xfId="0" applyNumberFormat="1" applyFont="1" applyFill="1" applyBorder="1" applyAlignment="1">
      <x:alignment horizontal="center"/>
    </x:xf>
    <x:xf numFmtId="0" fontId="12" fillId="9" borderId="6" xfId="0" applyNumberFormat="1" applyFont="1" applyFill="1" applyBorder="1" applyAlignment="1">
      <x:alignment horizontal="center"/>
    </x:xf>
    <x:xf numFmtId="0" fontId="12" fillId="9" borderId="12" xfId="0" applyNumberFormat="1" applyFont="1" applyFill="1" applyBorder="1" applyAlignment="1">
      <x:alignment horizontal="center"/>
    </x:xf>
    <x:xf numFmtId="201" fontId="13" fillId="9" borderId="13" xfId="0" applyNumberFormat="1" applyFont="1" applyFill="1" applyBorder="1" applyAlignment="1">
      <x:alignment horizontal="center" vertical="center"/>
    </x:xf>
    <x:xf numFmtId="201" fontId="13" fillId="9" borderId="14" xfId="0" applyNumberFormat="1" applyFont="1" applyFill="1" applyBorder="1" applyAlignment="1">
      <x:alignment horizontal="center" vertical="center"/>
    </x:xf>
    <x:xf numFmtId="0" fontId="14" fillId="9" borderId="15" xfId="0" applyNumberFormat="1" applyFont="1" applyFill="1" applyBorder="1" applyAlignment="1">
      <x:alignment horizontal="center" wrapText="1"/>
    </x:xf>
    <x:xf numFmtId="0" fontId="14" fillId="9" borderId="4" xfId="0" applyNumberFormat="1" applyFont="1" applyFill="1" applyBorder="1" applyAlignment="1">
      <x:alignment horizontal="center" wrapText="1"/>
    </x:xf>
    <x:xf numFmtId="0" fontId="14" fillId="9" borderId="16" xfId="0" applyNumberFormat="1" applyFont="1" applyFill="1" applyBorder="1" applyAlignment="1">
      <x:alignment horizontal="center" wrapText="1"/>
    </x:xf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horizontal="center"/>
    </x:xf>
    <x:xf numFmtId="0" fontId="13" fillId="10" borderId="0" xfId="0" applyNumberFormat="1" applyFont="1" applyFill="1" applyBorder="1"/>
    <x:xf numFmtId="201" fontId="13" fillId="10" borderId="0" xfId="0" applyNumberFormat="1" applyFont="1" applyFill="1" applyBorder="1"/>
    <x:xf numFmtId="201" fontId="13" fillId="10" borderId="0" xfId="0" applyNumberFormat="1" applyFont="1" applyFill="1" applyBorder="1" applyAlignment="1">
      <x:alignment horizontal="center"/>
    </x:xf>
    <x:xf numFmtId="201" fontId="13" fillId="10" borderId="0" xfId="0" applyNumberFormat="1" applyFont="1" applyFill="1" applyBorder="1" applyAlignment="1">
      <x:alignment horizontal="center" vertical="center"/>
    </x:xf>
    <x:xf numFmtId="0" fontId="14" fillId="10" borderId="0" xfId="0" applyNumberFormat="1" applyFont="1" applyFill="1" applyBorder="1"/>
    <x:xf numFmtId="0" fontId="14" fillId="10" borderId="10" xfId="0" applyNumberFormat="1" applyFont="1" applyFill="1" applyBorder="1"/>
    <x:xf numFmtId="0" fontId="14" fillId="10" borderId="10" xfId="0" applyNumberFormat="1" applyFont="1" applyFill="1" applyBorder="1" applyAlignment="1">
      <x:alignment wrapText="1"/>
    </x:xf>
    <x:xf numFmtId="0" fontId="14" fillId="10" borderId="10" xfId="0" applyNumberFormat="1" applyFont="1" applyFill="1" applyBorder="1" applyAlignment="1">
      <x:alignment horizontal="center" wrapText="1"/>
    </x:xf>
    <x:xf numFmtId="0" fontId="12" fillId="10" borderId="11" xfId="0" applyNumberFormat="1" applyFont="1" applyFill="1" applyBorder="1" applyAlignment="1">
      <x:alignment horizontal="center"/>
    </x:xf>
    <x:xf numFmtId="0" fontId="12" fillId="10" borderId="6" xfId="0" applyNumberFormat="1" applyFont="1" applyFill="1" applyBorder="1" applyAlignment="1">
      <x:alignment horizontal="center"/>
    </x:xf>
    <x:xf numFmtId="0" fontId="12" fillId="10" borderId="12" xfId="0" applyNumberFormat="1" applyFont="1" applyFill="1" applyBorder="1" applyAlignment="1">
      <x:alignment horizontal="center"/>
    </x:xf>
    <x:xf numFmtId="201" fontId="13" fillId="10" borderId="13" xfId="0" applyNumberFormat="1" applyFont="1" applyFill="1" applyBorder="1" applyAlignment="1">
      <x:alignment horizontal="center" vertical="center"/>
    </x:xf>
    <x:xf numFmtId="201" fontId="13" fillId="10" borderId="14" xfId="0" applyNumberFormat="1" applyFont="1" applyFill="1" applyBorder="1" applyAlignment="1">
      <x:alignment horizontal="center" vertical="center"/>
    </x:xf>
    <x:xf numFmtId="0" fontId="14" fillId="10" borderId="15" xfId="0" applyNumberFormat="1" applyFont="1" applyFill="1" applyBorder="1" applyAlignment="1">
      <x:alignment horizontal="center" wrapText="1"/>
    </x:xf>
    <x:xf numFmtId="0" fontId="14" fillId="10" borderId="4" xfId="0" applyNumberFormat="1" applyFont="1" applyFill="1" applyBorder="1" applyAlignment="1">
      <x:alignment horizontal="center" wrapText="1"/>
    </x:xf>
    <x:xf numFmtId="0" fontId="14" fillId="10" borderId="16" xfId="0" applyNumberFormat="1" applyFont="1" applyFill="1" applyBorder="1" applyAlignment="1">
      <x:alignment horizontal="center"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horizontal="center"/>
    </x:xf>
    <x:xf numFmtId="0" fontId="13" fillId="11" borderId="0" xfId="0" applyNumberFormat="1" applyFont="1" applyFill="1" applyBorder="1"/>
    <x:xf numFmtId="201" fontId="13" fillId="11" borderId="0" xfId="0" applyNumberFormat="1" applyFont="1" applyFill="1" applyBorder="1"/>
    <x:xf numFmtId="201" fontId="13" fillId="11" borderId="0" xfId="0" applyNumberFormat="1" applyFont="1" applyFill="1" applyBorder="1" applyAlignment="1">
      <x:alignment horizontal="center"/>
    </x:xf>
    <x:xf numFmtId="201" fontId="13" fillId="11" borderId="0" xfId="0" applyNumberFormat="1" applyFont="1" applyFill="1" applyBorder="1" applyAlignment="1">
      <x:alignment horizontal="center" vertical="center"/>
    </x:xf>
    <x:xf numFmtId="0" fontId="14" fillId="11" borderId="0" xfId="0" applyNumberFormat="1" applyFont="1" applyFill="1" applyBorder="1"/>
    <x:xf numFmtId="0" fontId="14" fillId="11" borderId="10" xfId="0" applyNumberFormat="1" applyFont="1" applyFill="1" applyBorder="1"/>
    <x:xf numFmtId="0" fontId="14" fillId="11" borderId="10" xfId="0" applyNumberFormat="1" applyFont="1" applyFill="1" applyBorder="1" applyAlignment="1">
      <x:alignment wrapText="1"/>
    </x:xf>
    <x:xf numFmtId="0" fontId="14" fillId="11" borderId="10" xfId="0" applyNumberFormat="1" applyFont="1" applyFill="1" applyBorder="1" applyAlignment="1">
      <x:alignment horizontal="center" wrapText="1"/>
    </x:xf>
    <x:xf numFmtId="0" fontId="12" fillId="11" borderId="11" xfId="0" applyNumberFormat="1" applyFont="1" applyFill="1" applyBorder="1" applyAlignment="1">
      <x:alignment horizontal="center"/>
    </x:xf>
    <x:xf numFmtId="0" fontId="12" fillId="11" borderId="6" xfId="0" applyNumberFormat="1" applyFont="1" applyFill="1" applyBorder="1" applyAlignment="1">
      <x:alignment horizontal="center"/>
    </x:xf>
    <x:xf numFmtId="0" fontId="12" fillId="11" borderId="12" xfId="0" applyNumberFormat="1" applyFont="1" applyFill="1" applyBorder="1" applyAlignment="1">
      <x:alignment horizontal="center"/>
    </x:xf>
    <x:xf numFmtId="201" fontId="13" fillId="11" borderId="13" xfId="0" applyNumberFormat="1" applyFont="1" applyFill="1" applyBorder="1" applyAlignment="1">
      <x:alignment horizontal="center" vertical="center"/>
    </x:xf>
    <x:xf numFmtId="201" fontId="13" fillId="11" borderId="14" xfId="0" applyNumberFormat="1" applyFont="1" applyFill="1" applyBorder="1" applyAlignment="1">
      <x:alignment horizontal="center" vertical="center"/>
    </x:xf>
    <x:xf numFmtId="0" fontId="14" fillId="11" borderId="15" xfId="0" applyNumberFormat="1" applyFont="1" applyFill="1" applyBorder="1" applyAlignment="1">
      <x:alignment horizontal="center" wrapText="1"/>
    </x:xf>
    <x:xf numFmtId="0" fontId="14" fillId="11" borderId="4" xfId="0" applyNumberFormat="1" applyFont="1" applyFill="1" applyBorder="1" applyAlignment="1">
      <x:alignment horizontal="center" wrapText="1"/>
    </x:xf>
    <x:xf numFmtId="0" fontId="14" fillId="11" borderId="16" xfId="0" applyNumberFormat="1" applyFont="1" applyFill="1" applyBorder="1" applyAlignment="1">
      <x:alignment horizontal="center" wrapText="1"/>
    </x:xf>
    <x:xf numFmtId="0" fontId="15" fillId="10" borderId="0" xfId="0" applyNumberFormat="1" applyFont="1" applyFill="1" applyBorder="1"/>
    <x:xf numFmtId="0" fontId="15" fillId="10" borderId="11" xfId="0" applyNumberFormat="1" applyFont="1" applyFill="1" applyBorder="1"/>
    <x:xf numFmtId="0" fontId="15" fillId="10" borderId="6" xfId="0" applyNumberFormat="1" applyFont="1" applyFill="1" applyBorder="1"/>
    <x:xf numFmtId="0" fontId="15" fillId="10" borderId="12" xfId="0" applyNumberFormat="1" applyFont="1" applyFill="1" applyBorder="1"/>
    <x:xf numFmtId="0" fontId="15" fillId="10" borderId="13" xfId="0" applyNumberFormat="1" applyFont="1" applyFill="1" applyBorder="1"/>
    <x:xf numFmtId="0" fontId="15" fillId="10" borderId="14" xfId="0" applyNumberFormat="1" applyFont="1" applyFill="1" applyBorder="1"/>
    <x:xf numFmtId="0" fontId="15" fillId="10" borderId="15" xfId="0" applyNumberFormat="1" applyFont="1" applyFill="1" applyBorder="1"/>
    <x:xf numFmtId="0" fontId="15" fillId="10" borderId="4" xfId="0" applyNumberFormat="1" applyFont="1" applyFill="1" applyBorder="1"/>
    <x:xf numFmtId="0" fontId="15" fillId="10" borderId="16" xfId="0" applyNumberFormat="1" applyFont="1" applyFill="1" applyBorder="1"/>
    <x:xf numFmtId="0" fontId="15" fillId="10" borderId="11" xfId="0" applyNumberFormat="1" applyFont="1" applyFill="1" applyBorder="1" applyAlignment="1">
      <x:alignment wrapText="1"/>
    </x:xf>
    <x:xf numFmtId="0" fontId="15" fillId="10" borderId="6" xfId="0" applyNumberFormat="1" applyFont="1" applyFill="1" applyBorder="1" applyAlignment="1">
      <x:alignment wrapText="1"/>
    </x:xf>
    <x:xf numFmtId="0" fontId="15" fillId="10" borderId="12" xfId="0" applyNumberFormat="1" applyFont="1" applyFill="1" applyBorder="1" applyAlignment="1">
      <x:alignment wrapText="1"/>
    </x:xf>
    <x:xf numFmtId="0" fontId="15" fillId="10" borderId="13" xfId="0" applyNumberFormat="1" applyFont="1" applyFill="1" applyBorder="1" applyAlignment="1">
      <x:alignment wrapText="1"/>
    </x:xf>
    <x:xf numFmtId="0" fontId="15" fillId="10" borderId="0" xfId="0" applyNumberFormat="1" applyFont="1" applyFill="1" applyBorder="1" applyAlignment="1">
      <x:alignment wrapText="1"/>
    </x:xf>
    <x:xf numFmtId="0" fontId="15" fillId="10" borderId="14" xfId="0" applyNumberFormat="1" applyFont="1" applyFill="1" applyBorder="1" applyAlignment="1">
      <x:alignment wrapText="1"/>
    </x:xf>
    <x:xf numFmtId="0" fontId="15" fillId="10" borderId="15" xfId="0" applyNumberFormat="1" applyFont="1" applyFill="1" applyBorder="1" applyAlignment="1">
      <x:alignment wrapText="1"/>
    </x:xf>
    <x:xf numFmtId="0" fontId="15" fillId="10" borderId="4" xfId="0" applyNumberFormat="1" applyFont="1" applyFill="1" applyBorder="1" applyAlignment="1">
      <x:alignment wrapText="1"/>
    </x:xf>
    <x:xf numFmtId="0" fontId="15" fillId="10" borderId="16" xfId="0" applyNumberFormat="1" applyFont="1" applyFill="1" applyBorder="1" applyAlignment="1">
      <x:alignment wrapText="1"/>
    </x:xf>
    <x:xf numFmtId="0" fontId="15" fillId="10" borderId="11" xfId="0" applyNumberFormat="1" applyFont="1" applyFill="1" applyBorder="1" applyAlignment="1">
      <x:alignment vertical="center" wrapText="1"/>
    </x:xf>
    <x:xf numFmtId="0" fontId="15" fillId="10" borderId="6" xfId="0" applyNumberFormat="1" applyFont="1" applyFill="1" applyBorder="1" applyAlignment="1">
      <x:alignment vertical="center" wrapText="1"/>
    </x:xf>
    <x:xf numFmtId="0" fontId="15" fillId="10" borderId="12" xfId="0" applyNumberFormat="1" applyFont="1" applyFill="1" applyBorder="1" applyAlignment="1">
      <x:alignment vertical="center" wrapText="1"/>
    </x:xf>
    <x:xf numFmtId="0" fontId="15" fillId="10" borderId="13" xfId="0" applyNumberFormat="1" applyFont="1" applyFill="1" applyBorder="1" applyAlignment="1">
      <x:alignment vertical="center" wrapText="1"/>
    </x:xf>
    <x:xf numFmtId="0" fontId="15" fillId="10" borderId="0" xfId="0" applyNumberFormat="1" applyFont="1" applyFill="1" applyBorder="1" applyAlignment="1">
      <x:alignment vertical="center" wrapText="1"/>
    </x:xf>
    <x:xf numFmtId="0" fontId="15" fillId="10" borderId="14" xfId="0" applyNumberFormat="1" applyFont="1" applyFill="1" applyBorder="1" applyAlignment="1">
      <x:alignment vertical="center" wrapText="1"/>
    </x:xf>
    <x:xf numFmtId="0" fontId="15" fillId="10" borderId="15" xfId="0" applyNumberFormat="1" applyFont="1" applyFill="1" applyBorder="1" applyAlignment="1">
      <x:alignment vertical="center" wrapText="1"/>
    </x:xf>
    <x:xf numFmtId="0" fontId="15" fillId="10" borderId="4" xfId="0" applyNumberFormat="1" applyFont="1" applyFill="1" applyBorder="1" applyAlignment="1">
      <x:alignment vertical="center" wrapText="1"/>
    </x:xf>
    <x:xf numFmtId="0" fontId="15" fillId="10" borderId="16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/>
    <x:xf numFmtId="0" fontId="16" fillId="7" borderId="11" xfId="0" applyNumberFormat="1" applyFont="1" applyFill="1" applyBorder="1"/>
    <x:xf numFmtId="0" fontId="16" fillId="7" borderId="6" xfId="0" applyNumberFormat="1" applyFont="1" applyFill="1" applyBorder="1"/>
    <x:xf numFmtId="0" fontId="16" fillId="7" borderId="12" xfId="0" applyNumberFormat="1" applyFont="1" applyFill="1" applyBorder="1"/>
    <x:xf numFmtId="0" fontId="16" fillId="7" borderId="13" xfId="0" applyNumberFormat="1" applyFont="1" applyFill="1" applyBorder="1"/>
    <x:xf numFmtId="0" fontId="16" fillId="7" borderId="14" xfId="0" applyNumberFormat="1" applyFont="1" applyFill="1" applyBorder="1"/>
    <x:xf numFmtId="0" fontId="16" fillId="7" borderId="15" xfId="0" applyNumberFormat="1" applyFont="1" applyFill="1" applyBorder="1"/>
    <x:xf numFmtId="0" fontId="16" fillId="7" borderId="4" xfId="0" applyNumberFormat="1" applyFont="1" applyFill="1" applyBorder="1"/>
    <x:xf numFmtId="0" fontId="16" fillId="7" borderId="16" xfId="0" applyNumberFormat="1" applyFont="1" applyFill="1" applyBorder="1"/>
    <x:xf numFmtId="0" fontId="16" fillId="7" borderId="11" xfId="0" applyNumberFormat="1" applyFont="1" applyFill="1" applyBorder="1" applyAlignment="1">
      <x:alignment wrapText="1"/>
    </x:xf>
    <x:xf numFmtId="0" fontId="16" fillId="7" borderId="6" xfId="0" applyNumberFormat="1" applyFont="1" applyFill="1" applyBorder="1" applyAlignment="1">
      <x:alignment wrapText="1"/>
    </x:xf>
    <x:xf numFmtId="0" fontId="16" fillId="7" borderId="12" xfId="0" applyNumberFormat="1" applyFont="1" applyFill="1" applyBorder="1" applyAlignment="1">
      <x:alignment wrapText="1"/>
    </x:xf>
    <x:xf numFmtId="0" fontId="16" fillId="7" borderId="13" xfId="0" applyNumberFormat="1" applyFont="1" applyFill="1" applyBorder="1" applyAlignment="1">
      <x:alignment wrapText="1"/>
    </x:xf>
    <x:xf numFmtId="0" fontId="16" fillId="7" borderId="0" xfId="0" applyNumberFormat="1" applyFont="1" applyFill="1" applyBorder="1" applyAlignment="1">
      <x:alignment wrapText="1"/>
    </x:xf>
    <x:xf numFmtId="0" fontId="16" fillId="7" borderId="14" xfId="0" applyNumberFormat="1" applyFont="1" applyFill="1" applyBorder="1" applyAlignment="1">
      <x:alignment wrapText="1"/>
    </x:xf>
    <x:xf numFmtId="0" fontId="16" fillId="7" borderId="15" xfId="0" applyNumberFormat="1" applyFont="1" applyFill="1" applyBorder="1" applyAlignment="1">
      <x:alignment wrapText="1"/>
    </x:xf>
    <x:xf numFmtId="0" fontId="16" fillId="7" borderId="4" xfId="0" applyNumberFormat="1" applyFont="1" applyFill="1" applyBorder="1" applyAlignment="1">
      <x:alignment wrapText="1"/>
    </x:xf>
    <x:xf numFmtId="0" fontId="16" fillId="7" borderId="16" xfId="0" applyNumberFormat="1" applyFont="1" applyFill="1" applyBorder="1" applyAlignment="1">
      <x:alignment wrapText="1"/>
    </x:xf>
    <x:xf numFmtId="0" fontId="16" fillId="7" borderId="11" xfId="0" applyNumberFormat="1" applyFont="1" applyFill="1" applyBorder="1" applyAlignment="1">
      <x:alignment vertical="center" wrapText="1"/>
    </x:xf>
    <x:xf numFmtId="0" fontId="16" fillId="7" borderId="6" xfId="0" applyNumberFormat="1" applyFont="1" applyFill="1" applyBorder="1" applyAlignment="1">
      <x:alignment vertical="center" wrapText="1"/>
    </x:xf>
    <x:xf numFmtId="0" fontId="16" fillId="7" borderId="12" xfId="0" applyNumberFormat="1" applyFont="1" applyFill="1" applyBorder="1" applyAlignment="1">
      <x:alignment vertical="center" wrapText="1"/>
    </x:xf>
    <x:xf numFmtId="0" fontId="16" fillId="7" borderId="13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0" fontId="16" fillId="7" borderId="14" xfId="0" applyNumberFormat="1" applyFont="1" applyFill="1" applyBorder="1" applyAlignment="1">
      <x:alignment vertical="center" wrapText="1"/>
    </x:xf>
    <x:xf numFmtId="0" fontId="16" fillId="7" borderId="15" xfId="0" applyNumberFormat="1" applyFont="1" applyFill="1" applyBorder="1" applyAlignment="1">
      <x:alignment vertical="center" wrapText="1"/>
    </x:xf>
    <x:xf numFmtId="0" fontId="16" fillId="7" borderId="4" xfId="0" applyNumberFormat="1" applyFont="1" applyFill="1" applyBorder="1" applyAlignment="1">
      <x:alignment vertical="center" wrapText="1"/>
    </x:xf>
    <x:xf numFmtId="0" fontId="16" fillId="7" borderId="16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7" fillId="13" borderId="0" xfId="0" applyNumberFormat="1" applyFont="1" applyFill="1" applyBorder="1"/>
    <x:xf numFmtId="0" fontId="17" fillId="13" borderId="11" xfId="0" applyNumberFormat="1" applyFont="1" applyFill="1" applyBorder="1"/>
    <x:xf numFmtId="0" fontId="17" fillId="13" borderId="6" xfId="0" applyNumberFormat="1" applyFont="1" applyFill="1" applyBorder="1"/>
    <x:xf numFmtId="0" fontId="17" fillId="13" borderId="12" xfId="0" applyNumberFormat="1" applyFont="1" applyFill="1" applyBorder="1"/>
    <x:xf numFmtId="0" fontId="17" fillId="13" borderId="13" xfId="0" applyNumberFormat="1" applyFont="1" applyFill="1" applyBorder="1"/>
    <x:xf numFmtId="0" fontId="17" fillId="13" borderId="14" xfId="0" applyNumberFormat="1" applyFont="1" applyFill="1" applyBorder="1"/>
    <x:xf numFmtId="0" fontId="17" fillId="13" borderId="15" xfId="0" applyNumberFormat="1" applyFont="1" applyFill="1" applyBorder="1"/>
    <x:xf numFmtId="0" fontId="17" fillId="13" borderId="4" xfId="0" applyNumberFormat="1" applyFont="1" applyFill="1" applyBorder="1"/>
    <x:xf numFmtId="0" fontId="17" fillId="13" borderId="16" xfId="0" applyNumberFormat="1" applyFont="1" applyFill="1" applyBorder="1"/>
    <x:xf numFmtId="0" fontId="17" fillId="13" borderId="11" xfId="0" applyNumberFormat="1" applyFont="1" applyFill="1" applyBorder="1" applyAlignment="1">
      <x:alignment wrapText="1"/>
    </x:xf>
    <x:xf numFmtId="0" fontId="17" fillId="13" borderId="6" xfId="0" applyNumberFormat="1" applyFont="1" applyFill="1" applyBorder="1" applyAlignment="1">
      <x:alignment wrapText="1"/>
    </x:xf>
    <x:xf numFmtId="0" fontId="17" fillId="13" borderId="12" xfId="0" applyNumberFormat="1" applyFont="1" applyFill="1" applyBorder="1" applyAlignment="1">
      <x:alignment wrapText="1"/>
    </x:xf>
    <x:xf numFmtId="0" fontId="17" fillId="13" borderId="13" xfId="0" applyNumberFormat="1" applyFont="1" applyFill="1" applyBorder="1" applyAlignment="1">
      <x:alignment wrapText="1"/>
    </x:xf>
    <x:xf numFmtId="0" fontId="17" fillId="13" borderId="0" xfId="0" applyNumberFormat="1" applyFont="1" applyFill="1" applyBorder="1" applyAlignment="1">
      <x:alignment wrapText="1"/>
    </x:xf>
    <x:xf numFmtId="0" fontId="17" fillId="13" borderId="14" xfId="0" applyNumberFormat="1" applyFont="1" applyFill="1" applyBorder="1" applyAlignment="1">
      <x:alignment wrapText="1"/>
    </x:xf>
    <x:xf numFmtId="0" fontId="17" fillId="13" borderId="15" xfId="0" applyNumberFormat="1" applyFont="1" applyFill="1" applyBorder="1" applyAlignment="1">
      <x:alignment wrapText="1"/>
    </x:xf>
    <x:xf numFmtId="0" fontId="17" fillId="13" borderId="4" xfId="0" applyNumberFormat="1" applyFont="1" applyFill="1" applyBorder="1" applyAlignment="1">
      <x:alignment wrapText="1"/>
    </x:xf>
    <x:xf numFmtId="0" fontId="17" fillId="13" borderId="16" xfId="0" applyNumberFormat="1" applyFont="1" applyFill="1" applyBorder="1" applyAlignment="1">
      <x:alignment wrapText="1"/>
    </x:xf>
    <x:xf numFmtId="0" fontId="17" fillId="13" borderId="11" xfId="0" applyNumberFormat="1" applyFont="1" applyFill="1" applyBorder="1" applyAlignment="1">
      <x:alignment vertical="center" wrapText="1"/>
    </x:xf>
    <x:xf numFmtId="0" fontId="17" fillId="13" borderId="6" xfId="0" applyNumberFormat="1" applyFont="1" applyFill="1" applyBorder="1" applyAlignment="1">
      <x:alignment vertical="center" wrapText="1"/>
    </x:xf>
    <x:xf numFmtId="0" fontId="17" fillId="13" borderId="12" xfId="0" applyNumberFormat="1" applyFont="1" applyFill="1" applyBorder="1" applyAlignment="1">
      <x:alignment vertical="center" wrapText="1"/>
    </x:xf>
    <x:xf numFmtId="0" fontId="17" fillId="13" borderId="13" xfId="0" applyNumberFormat="1" applyFont="1" applyFill="1" applyBorder="1" applyAlignment="1">
      <x:alignment vertical="center" wrapText="1"/>
    </x:xf>
    <x:xf numFmtId="0" fontId="17" fillId="13" borderId="0" xfId="0" applyNumberFormat="1" applyFont="1" applyFill="1" applyBorder="1" applyAlignment="1">
      <x:alignment vertical="center" wrapText="1"/>
    </x:xf>
    <x:xf numFmtId="0" fontId="17" fillId="13" borderId="14" xfId="0" applyNumberFormat="1" applyFont="1" applyFill="1" applyBorder="1" applyAlignment="1">
      <x:alignment vertical="center" wrapText="1"/>
    </x:xf>
    <x:xf numFmtId="0" fontId="17" fillId="13" borderId="15" xfId="0" applyNumberFormat="1" applyFont="1" applyFill="1" applyBorder="1" applyAlignment="1">
      <x:alignment vertical="center" wrapText="1"/>
    </x:xf>
    <x:xf numFmtId="0" fontId="17" fillId="13" borderId="4" xfId="0" applyNumberFormat="1" applyFont="1" applyFill="1" applyBorder="1" applyAlignment="1">
      <x:alignment vertical="center" wrapText="1"/>
    </x:xf>
    <x:xf numFmtId="0" fontId="17" fillId="13" borderId="16" xfId="0" applyNumberFormat="1" applyFont="1" applyFill="1" applyBorder="1" applyAlignment="1">
      <x:alignment vertical="center" wrapText="1"/>
    </x:xf>
    <x:xf numFmtId="0" fontId="17" fillId="9" borderId="0" xfId="0" applyNumberFormat="1" applyFont="1" applyFill="1" applyBorder="1"/>
    <x:xf numFmtId="0" fontId="17" fillId="9" borderId="11" xfId="0" applyNumberFormat="1" applyFont="1" applyFill="1" applyBorder="1"/>
    <x:xf numFmtId="0" fontId="17" fillId="9" borderId="6" xfId="0" applyNumberFormat="1" applyFont="1" applyFill="1" applyBorder="1"/>
    <x:xf numFmtId="0" fontId="17" fillId="9" borderId="12" xfId="0" applyNumberFormat="1" applyFont="1" applyFill="1" applyBorder="1"/>
    <x:xf numFmtId="0" fontId="17" fillId="9" borderId="13" xfId="0" applyNumberFormat="1" applyFont="1" applyFill="1" applyBorder="1"/>
    <x:xf numFmtId="0" fontId="17" fillId="9" borderId="14" xfId="0" applyNumberFormat="1" applyFont="1" applyFill="1" applyBorder="1"/>
    <x:xf numFmtId="0" fontId="17" fillId="9" borderId="15" xfId="0" applyNumberFormat="1" applyFont="1" applyFill="1" applyBorder="1"/>
    <x:xf numFmtId="0" fontId="17" fillId="9" borderId="4" xfId="0" applyNumberFormat="1" applyFont="1" applyFill="1" applyBorder="1"/>
    <x:xf numFmtId="0" fontId="17" fillId="9" borderId="16" xfId="0" applyNumberFormat="1" applyFont="1" applyFill="1" applyBorder="1"/>
    <x:xf numFmtId="0" fontId="17" fillId="9" borderId="11" xfId="0" applyNumberFormat="1" applyFont="1" applyFill="1" applyBorder="1" applyAlignment="1">
      <x:alignment wrapText="1"/>
    </x:xf>
    <x:xf numFmtId="0" fontId="17" fillId="9" borderId="6" xfId="0" applyNumberFormat="1" applyFont="1" applyFill="1" applyBorder="1" applyAlignment="1">
      <x:alignment wrapText="1"/>
    </x:xf>
    <x:xf numFmtId="0" fontId="17" fillId="9" borderId="12" xfId="0" applyNumberFormat="1" applyFont="1" applyFill="1" applyBorder="1" applyAlignment="1">
      <x:alignment wrapText="1"/>
    </x:xf>
    <x:xf numFmtId="0" fontId="17" fillId="9" borderId="13" xfId="0" applyNumberFormat="1" applyFont="1" applyFill="1" applyBorder="1" applyAlignment="1">
      <x:alignment wrapText="1"/>
    </x:xf>
    <x:xf numFmtId="0" fontId="17" fillId="9" borderId="0" xfId="0" applyNumberFormat="1" applyFont="1" applyFill="1" applyBorder="1" applyAlignment="1">
      <x:alignment wrapText="1"/>
    </x:xf>
    <x:xf numFmtId="0" fontId="17" fillId="9" borderId="14" xfId="0" applyNumberFormat="1" applyFont="1" applyFill="1" applyBorder="1" applyAlignment="1">
      <x:alignment wrapText="1"/>
    </x:xf>
    <x:xf numFmtId="0" fontId="17" fillId="9" borderId="15" xfId="0" applyNumberFormat="1" applyFont="1" applyFill="1" applyBorder="1" applyAlignment="1">
      <x:alignment wrapText="1"/>
    </x:xf>
    <x:xf numFmtId="0" fontId="17" fillId="9" borderId="4" xfId="0" applyNumberFormat="1" applyFont="1" applyFill="1" applyBorder="1" applyAlignment="1">
      <x:alignment wrapText="1"/>
    </x:xf>
    <x:xf numFmtId="0" fontId="17" fillId="9" borderId="16" xfId="0" applyNumberFormat="1" applyFont="1" applyFill="1" applyBorder="1" applyAlignment="1">
      <x:alignment wrapText="1"/>
    </x:xf>
    <x:xf numFmtId="0" fontId="17" fillId="9" borderId="11" xfId="0" applyNumberFormat="1" applyFont="1" applyFill="1" applyBorder="1" applyAlignment="1">
      <x:alignment vertical="center" wrapText="1"/>
    </x:xf>
    <x:xf numFmtId="0" fontId="17" fillId="9" borderId="6" xfId="0" applyNumberFormat="1" applyFont="1" applyFill="1" applyBorder="1" applyAlignment="1">
      <x:alignment vertical="center" wrapText="1"/>
    </x:xf>
    <x:xf numFmtId="0" fontId="17" fillId="9" borderId="12" xfId="0" applyNumberFormat="1" applyFont="1" applyFill="1" applyBorder="1" applyAlignment="1">
      <x:alignment vertical="center" wrapText="1"/>
    </x:xf>
    <x:xf numFmtId="0" fontId="17" fillId="9" borderId="13" xfId="0" applyNumberFormat="1" applyFont="1" applyFill="1" applyBorder="1" applyAlignment="1">
      <x:alignment vertical="center" wrapText="1"/>
    </x:xf>
    <x:xf numFmtId="0" fontId="17" fillId="9" borderId="0" xfId="0" applyNumberFormat="1" applyFont="1" applyFill="1" applyBorder="1" applyAlignment="1">
      <x:alignment vertical="center" wrapText="1"/>
    </x:xf>
    <x:xf numFmtId="0" fontId="17" fillId="9" borderId="14" xfId="0" applyNumberFormat="1" applyFont="1" applyFill="1" applyBorder="1" applyAlignment="1">
      <x:alignment vertical="center" wrapText="1"/>
    </x:xf>
    <x:xf numFmtId="0" fontId="17" fillId="9" borderId="15" xfId="0" applyNumberFormat="1" applyFont="1" applyFill="1" applyBorder="1" applyAlignment="1">
      <x:alignment vertical="center" wrapText="1"/>
    </x:xf>
    <x:xf numFmtId="0" fontId="17" fillId="9" borderId="4" xfId="0" applyNumberFormat="1" applyFont="1" applyFill="1" applyBorder="1" applyAlignment="1">
      <x:alignment vertical="center" wrapText="1"/>
    </x:xf>
    <x:xf numFmtId="0" fontId="17" fillId="9" borderId="16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8" fillId="3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19" fillId="9" borderId="0" xfId="0" applyNumberFormat="1" applyFont="1" applyFill="1" applyBorder="1" applyAlignment="1">
      <x:alignment wrapText="1"/>
    </x:xf>
    <x:xf numFmtId="0" fontId="20" fillId="9" borderId="0" xfId="0" applyNumberFormat="1" applyFont="1" applyFill="1" applyBorder="1" applyAlignment="1">
      <x:alignment wrapText="1"/>
    </x:xf>
    <x:xf numFmtId="0" fontId="21" fillId="5" borderId="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/>
    <x:xf numFmtId="0" fontId="23" fillId="5" borderId="11" xfId="0" applyNumberFormat="1" applyFont="1" applyFill="1" applyBorder="1" applyAlignment="1">
      <x:alignment horizontal="center"/>
    </x:xf>
    <x:xf numFmtId="0" fontId="23" fillId="5" borderId="6" xfId="0" applyNumberFormat="1" applyFont="1" applyFill="1" applyBorder="1" applyAlignment="1">
      <x:alignment horizontal="center"/>
    </x:xf>
    <x:xf numFmtId="0" fontId="23" fillId="5" borderId="12" xfId="0" applyNumberFormat="1" applyFont="1" applyFill="1" applyBorder="1" applyAlignment="1">
      <x:alignment horizontal="center"/>
    </x:xf>
    <x:xf numFmtId="0" fontId="23" fillId="9" borderId="11" xfId="0" applyNumberFormat="1" applyFont="1" applyFill="1" applyBorder="1" applyAlignment="1">
      <x:alignment horizontal="center"/>
    </x:xf>
    <x:xf numFmtId="0" fontId="23" fillId="9" borderId="6" xfId="0" applyNumberFormat="1" applyFont="1" applyFill="1" applyBorder="1" applyAlignment="1">
      <x:alignment horizontal="center"/>
    </x:xf>
    <x:xf numFmtId="0" fontId="23" fillId="9" borderId="12" xfId="0" applyNumberFormat="1" applyFont="1" applyFill="1" applyBorder="1" applyAlignment="1">
      <x:alignment horizontal="center"/>
    </x:xf>
    <x:xf numFmtId="0" fontId="23" fillId="10" borderId="11" xfId="0" applyNumberFormat="1" applyFont="1" applyFill="1" applyBorder="1" applyAlignment="1">
      <x:alignment horizontal="center"/>
    </x:xf>
    <x:xf numFmtId="0" fontId="23" fillId="10" borderId="6" xfId="0" applyNumberFormat="1" applyFont="1" applyFill="1" applyBorder="1" applyAlignment="1">
      <x:alignment horizontal="center"/>
    </x:xf>
    <x:xf numFmtId="0" fontId="23" fillId="10" borderId="12" xfId="0" applyNumberFormat="1" applyFont="1" applyFill="1" applyBorder="1" applyAlignment="1">
      <x:alignment horizontal="center"/>
    </x:xf>
    <x:xf numFmtId="0" fontId="23" fillId="11" borderId="11" xfId="0" applyNumberFormat="1" applyFont="1" applyFill="1" applyBorder="1" applyAlignment="1">
      <x:alignment horizontal="center"/>
    </x:xf>
    <x:xf numFmtId="0" fontId="23" fillId="11" borderId="6" xfId="0" applyNumberFormat="1" applyFont="1" applyFill="1" applyBorder="1" applyAlignment="1">
      <x:alignment horizontal="center"/>
    </x:xf>
    <x:xf numFmtId="0" fontId="23" fillId="11" borderId="12" xfId="0" applyNumberFormat="1" applyFont="1" applyFill="1" applyBorder="1" applyAlignment="1">
      <x:alignment horizontal="center"/>
    </x:xf>
    <x:xf numFmtId="201" fontId="24" fillId="5" borderId="13" xfId="0" applyNumberFormat="1" applyFont="1" applyFill="1" applyBorder="1" applyAlignment="1">
      <x:alignment horizontal="center" vertical="center"/>
    </x:xf>
    <x:xf numFmtId="201" fontId="24" fillId="5" borderId="0" xfId="0" applyNumberFormat="1" applyFont="1" applyFill="1" applyBorder="1" applyAlignment="1">
      <x:alignment horizontal="center" vertical="center"/>
    </x:xf>
    <x:xf numFmtId="201" fontId="24" fillId="5" borderId="14" xfId="0" applyNumberFormat="1" applyFont="1" applyFill="1" applyBorder="1" applyAlignment="1">
      <x:alignment horizontal="center" vertical="center"/>
    </x:xf>
    <x:xf numFmtId="201" fontId="24" fillId="9" borderId="13" xfId="0" applyNumberFormat="1" applyFont="1" applyFill="1" applyBorder="1" applyAlignment="1">
      <x:alignment horizontal="center" vertical="center"/>
    </x:xf>
    <x:xf numFmtId="201" fontId="24" fillId="9" borderId="0" xfId="0" applyNumberFormat="1" applyFont="1" applyFill="1" applyBorder="1" applyAlignment="1">
      <x:alignment horizontal="center" vertical="center"/>
    </x:xf>
    <x:xf numFmtId="201" fontId="24" fillId="9" borderId="14" xfId="0" applyNumberFormat="1" applyFont="1" applyFill="1" applyBorder="1" applyAlignment="1">
      <x:alignment horizontal="center" vertical="center"/>
    </x:xf>
    <x:xf numFmtId="201" fontId="24" fillId="10" borderId="13" xfId="0" applyNumberFormat="1" applyFont="1" applyFill="1" applyBorder="1" applyAlignment="1">
      <x:alignment horizontal="center" vertical="center"/>
    </x:xf>
    <x:xf numFmtId="201" fontId="24" fillId="10" borderId="0" xfId="0" applyNumberFormat="1" applyFont="1" applyFill="1" applyBorder="1" applyAlignment="1">
      <x:alignment horizontal="center" vertical="center"/>
    </x:xf>
    <x:xf numFmtId="201" fontId="24" fillId="10" borderId="14" xfId="0" applyNumberFormat="1" applyFont="1" applyFill="1" applyBorder="1" applyAlignment="1">
      <x:alignment horizontal="center" vertical="center"/>
    </x:xf>
    <x:xf numFmtId="201" fontId="24" fillId="11" borderId="13" xfId="0" applyNumberFormat="1" applyFont="1" applyFill="1" applyBorder="1" applyAlignment="1">
      <x:alignment horizontal="center" vertical="center"/>
    </x:xf>
    <x:xf numFmtId="201" fontId="24" fillId="11" borderId="0" xfId="0" applyNumberFormat="1" applyFont="1" applyFill="1" applyBorder="1" applyAlignment="1">
      <x:alignment horizontal="center" vertical="center"/>
    </x:xf>
    <x:xf numFmtId="201" fontId="24" fillId="11" borderId="14" xfId="0" applyNumberFormat="1" applyFont="1" applyFill="1" applyBorder="1" applyAlignment="1">
      <x:alignment horizontal="center" vertical="center"/>
    </x:xf>
    <x:xf numFmtId="0" fontId="25" fillId="5" borderId="15" xfId="0" applyNumberFormat="1" applyFont="1" applyFill="1" applyBorder="1" applyAlignment="1">
      <x:alignment horizontal="center" wrapText="1"/>
    </x:xf>
    <x:xf numFmtId="0" fontId="25" fillId="5" borderId="4" xfId="0" applyNumberFormat="1" applyFont="1" applyFill="1" applyBorder="1" applyAlignment="1">
      <x:alignment horizontal="center" wrapText="1"/>
    </x:xf>
    <x:xf numFmtId="0" fontId="25" fillId="5" borderId="16" xfId="0" applyNumberFormat="1" applyFont="1" applyFill="1" applyBorder="1" applyAlignment="1">
      <x:alignment horizontal="center" wrapText="1"/>
    </x:xf>
    <x:xf numFmtId="0" fontId="25" fillId="9" borderId="15" xfId="0" applyNumberFormat="1" applyFont="1" applyFill="1" applyBorder="1" applyAlignment="1">
      <x:alignment horizontal="center" wrapText="1"/>
    </x:xf>
    <x:xf numFmtId="0" fontId="25" fillId="9" borderId="4" xfId="0" applyNumberFormat="1" applyFont="1" applyFill="1" applyBorder="1" applyAlignment="1">
      <x:alignment horizontal="center" wrapText="1"/>
    </x:xf>
    <x:xf numFmtId="0" fontId="25" fillId="9" borderId="16" xfId="0" applyNumberFormat="1" applyFont="1" applyFill="1" applyBorder="1" applyAlignment="1">
      <x:alignment horizontal="center" wrapText="1"/>
    </x:xf>
    <x:xf numFmtId="0" fontId="25" fillId="10" borderId="15" xfId="0" applyNumberFormat="1" applyFont="1" applyFill="1" applyBorder="1" applyAlignment="1">
      <x:alignment horizontal="center" wrapText="1"/>
    </x:xf>
    <x:xf numFmtId="0" fontId="25" fillId="10" borderId="4" xfId="0" applyNumberFormat="1" applyFont="1" applyFill="1" applyBorder="1" applyAlignment="1">
      <x:alignment horizontal="center" wrapText="1"/>
    </x:xf>
    <x:xf numFmtId="0" fontId="25" fillId="10" borderId="16" xfId="0" applyNumberFormat="1" applyFont="1" applyFill="1" applyBorder="1" applyAlignment="1">
      <x:alignment horizontal="center" wrapText="1"/>
    </x:xf>
    <x:xf numFmtId="0" fontId="25" fillId="11" borderId="15" xfId="0" applyNumberFormat="1" applyFont="1" applyFill="1" applyBorder="1" applyAlignment="1">
      <x:alignment horizontal="center" wrapText="1"/>
    </x:xf>
    <x:xf numFmtId="0" fontId="25" fillId="11" borderId="4" xfId="0" applyNumberFormat="1" applyFont="1" applyFill="1" applyBorder="1" applyAlignment="1">
      <x:alignment horizontal="center" wrapText="1"/>
    </x:xf>
    <x:xf numFmtId="0" fontId="25" fillId="11" borderId="16" xfId="0" applyNumberFormat="1" applyFont="1" applyFill="1" applyBorder="1" applyAlignment="1">
      <x:alignment horizontal="center" wrapText="1"/>
    </x:xf>
    <x:xf numFmtId="0" fontId="26" fillId="10" borderId="11" xfId="0" applyNumberFormat="1" applyFont="1" applyFill="1" applyBorder="1" applyAlignment="1">
      <x:alignment vertical="center" wrapText="1"/>
    </x:xf>
    <x:xf numFmtId="0" fontId="26" fillId="10" borderId="6" xfId="0" applyNumberFormat="1" applyFont="1" applyFill="1" applyBorder="1" applyAlignment="1">
      <x:alignment vertical="center" wrapText="1"/>
    </x:xf>
    <x:xf numFmtId="0" fontId="26" fillId="10" borderId="12" xfId="0" applyNumberFormat="1" applyFont="1" applyFill="1" applyBorder="1" applyAlignment="1">
      <x:alignment vertical="center" wrapText="1"/>
    </x:xf>
    <x:xf numFmtId="0" fontId="27" fillId="7" borderId="11" xfId="0" applyNumberFormat="1" applyFont="1" applyFill="1" applyBorder="1" applyAlignment="1">
      <x:alignment vertical="center" wrapText="1"/>
    </x:xf>
    <x:xf numFmtId="0" fontId="27" fillId="7" borderId="6" xfId="0" applyNumberFormat="1" applyFont="1" applyFill="1" applyBorder="1" applyAlignment="1">
      <x:alignment vertical="center" wrapText="1"/>
    </x:xf>
    <x:xf numFmtId="0" fontId="27" fillId="7" borderId="12" xfId="0" applyNumberFormat="1" applyFont="1" applyFill="1" applyBorder="1" applyAlignment="1">
      <x:alignment vertical="center" wrapText="1"/>
    </x:xf>
    <x:xf numFmtId="0" fontId="26" fillId="10" borderId="13" xfId="0" applyNumberFormat="1" applyFont="1" applyFill="1" applyBorder="1" applyAlignment="1">
      <x:alignment vertical="center" wrapText="1"/>
    </x:xf>
    <x:xf numFmtId="0" fontId="26" fillId="10" borderId="0" xfId="0" applyNumberFormat="1" applyFont="1" applyFill="1" applyBorder="1" applyAlignment="1">
      <x:alignment vertical="center" wrapText="1"/>
    </x:xf>
    <x:xf numFmtId="0" fontId="26" fillId="10" borderId="14" xfId="0" applyNumberFormat="1" applyFont="1" applyFill="1" applyBorder="1" applyAlignment="1">
      <x:alignment vertical="center" wrapText="1"/>
    </x:xf>
    <x:xf numFmtId="0" fontId="27" fillId="7" borderId="13" xfId="0" applyNumberFormat="1" applyFont="1" applyFill="1" applyBorder="1" applyAlignment="1">
      <x:alignment vertical="center" wrapText="1"/>
    </x:xf>
    <x:xf numFmtId="0" fontId="27" fillId="7" borderId="0" xfId="0" applyNumberFormat="1" applyFont="1" applyFill="1" applyBorder="1" applyAlignment="1">
      <x:alignment vertical="center" wrapText="1"/>
    </x:xf>
    <x:xf numFmtId="0" fontId="27" fillId="7" borderId="14" xfId="0" applyNumberFormat="1" applyFont="1" applyFill="1" applyBorder="1" applyAlignment="1">
      <x:alignment vertical="center" wrapText="1"/>
    </x:xf>
    <x:xf numFmtId="0" fontId="26" fillId="10" borderId="15" xfId="0" applyNumberFormat="1" applyFont="1" applyFill="1" applyBorder="1" applyAlignment="1">
      <x:alignment vertical="center" wrapText="1"/>
    </x:xf>
    <x:xf numFmtId="0" fontId="26" fillId="10" borderId="4" xfId="0" applyNumberFormat="1" applyFont="1" applyFill="1" applyBorder="1" applyAlignment="1">
      <x:alignment vertical="center" wrapText="1"/>
    </x:xf>
    <x:xf numFmtId="0" fontId="26" fillId="10" borderId="16" xfId="0" applyNumberFormat="1" applyFont="1" applyFill="1" applyBorder="1" applyAlignment="1">
      <x:alignment vertical="center" wrapText="1"/>
    </x:xf>
    <x:xf numFmtId="0" fontId="27" fillId="7" borderId="15" xfId="0" applyNumberFormat="1" applyFont="1" applyFill="1" applyBorder="1" applyAlignment="1">
      <x:alignment vertical="center" wrapText="1"/>
    </x:xf>
    <x:xf numFmtId="0" fontId="27" fillId="7" borderId="4" xfId="0" applyNumberFormat="1" applyFont="1" applyFill="1" applyBorder="1" applyAlignment="1">
      <x:alignment vertical="center" wrapText="1"/>
    </x:xf>
    <x:xf numFmtId="0" fontId="27" fillId="7" borderId="16" xfId="0" applyNumberFormat="1" applyFont="1" applyFill="1" applyBorder="1" applyAlignment="1">
      <x:alignment vertical="center" wrapText="1"/>
    </x:xf>
    <x:xf numFmtId="0" fontId="28" fillId="13" borderId="11" xfId="0" applyNumberFormat="1" applyFont="1" applyFill="1" applyBorder="1" applyAlignment="1">
      <x:alignment vertical="center" wrapText="1"/>
    </x:xf>
    <x:xf numFmtId="0" fontId="28" fillId="13" borderId="6" xfId="0" applyNumberFormat="1" applyFont="1" applyFill="1" applyBorder="1" applyAlignment="1">
      <x:alignment vertical="center" wrapText="1"/>
    </x:xf>
    <x:xf numFmtId="0" fontId="28" fillId="13" borderId="12" xfId="0" applyNumberFormat="1" applyFont="1" applyFill="1" applyBorder="1" applyAlignment="1">
      <x:alignment vertical="center" wrapText="1"/>
    </x:xf>
    <x:xf numFmtId="0" fontId="28" fillId="9" borderId="11" xfId="0" applyNumberFormat="1" applyFont="1" applyFill="1" applyBorder="1" applyAlignment="1">
      <x:alignment vertical="center" wrapText="1"/>
    </x:xf>
    <x:xf numFmtId="0" fontId="28" fillId="9" borderId="6" xfId="0" applyNumberFormat="1" applyFont="1" applyFill="1" applyBorder="1" applyAlignment="1">
      <x:alignment vertical="center" wrapText="1"/>
    </x:xf>
    <x:xf numFmtId="0" fontId="28" fillId="9" borderId="12" xfId="0" applyNumberFormat="1" applyFont="1" applyFill="1" applyBorder="1" applyAlignment="1">
      <x:alignment vertical="center" wrapText="1"/>
    </x:xf>
    <x:xf numFmtId="0" fontId="28" fillId="13" borderId="13" xfId="0" applyNumberFormat="1" applyFont="1" applyFill="1" applyBorder="1" applyAlignment="1">
      <x:alignment vertical="center" wrapText="1"/>
    </x:xf>
    <x:xf numFmtId="0" fontId="28" fillId="13" borderId="0" xfId="0" applyNumberFormat="1" applyFont="1" applyFill="1" applyBorder="1" applyAlignment="1">
      <x:alignment vertical="center" wrapText="1"/>
    </x:xf>
    <x:xf numFmtId="0" fontId="28" fillId="13" borderId="14" xfId="0" applyNumberFormat="1" applyFont="1" applyFill="1" applyBorder="1" applyAlignment="1">
      <x:alignment vertical="center" wrapText="1"/>
    </x:xf>
    <x:xf numFmtId="0" fontId="28" fillId="9" borderId="13" xfId="0" applyNumberFormat="1" applyFont="1" applyFill="1" applyBorder="1" applyAlignment="1">
      <x:alignment vertical="center" wrapText="1"/>
    </x:xf>
    <x:xf numFmtId="0" fontId="28" fillId="9" borderId="0" xfId="0" applyNumberFormat="1" applyFont="1" applyFill="1" applyBorder="1" applyAlignment="1">
      <x:alignment vertical="center" wrapText="1"/>
    </x:xf>
    <x:xf numFmtId="0" fontId="28" fillId="9" borderId="14" xfId="0" applyNumberFormat="1" applyFont="1" applyFill="1" applyBorder="1" applyAlignment="1">
      <x:alignment vertical="center" wrapText="1"/>
    </x:xf>
    <x:xf numFmtId="0" fontId="28" fillId="13" borderId="15" xfId="0" applyNumberFormat="1" applyFont="1" applyFill="1" applyBorder="1" applyAlignment="1">
      <x:alignment vertical="center" wrapText="1"/>
    </x:xf>
    <x:xf numFmtId="0" fontId="28" fillId="13" borderId="4" xfId="0" applyNumberFormat="1" applyFont="1" applyFill="1" applyBorder="1" applyAlignment="1">
      <x:alignment vertical="center" wrapText="1"/>
    </x:xf>
    <x:xf numFmtId="0" fontId="28" fillId="13" borderId="16" xfId="0" applyNumberFormat="1" applyFont="1" applyFill="1" applyBorder="1" applyAlignment="1">
      <x:alignment vertical="center" wrapText="1"/>
    </x:xf>
    <x:xf numFmtId="0" fontId="28" fillId="9" borderId="15" xfId="0" applyNumberFormat="1" applyFont="1" applyFill="1" applyBorder="1" applyAlignment="1">
      <x:alignment vertical="center" wrapText="1"/>
    </x:xf>
    <x:xf numFmtId="0" fontId="28" fillId="9" borderId="4" xfId="0" applyNumberFormat="1" applyFont="1" applyFill="1" applyBorder="1" applyAlignment="1">
      <x:alignment vertical="center" wrapText="1"/>
    </x:xf>
    <x:xf numFmtId="0" fontId="28" fillId="9" borderId="16" xfId="0" applyNumberFormat="1" applyFont="1" applyFill="1" applyBorder="1" applyAlignment="1">
      <x:alignment vertical="center" wrapText="1"/>
    </x:xf>
    <x:xf numFmtId="0" fontId="29" fillId="3" borderId="0" xfId="0" applyNumberFormat="1" applyFont="1" applyFill="1" applyBorder="1" applyAlignment="1">
      <x:alignment wrapText="1"/>
    </x:xf>
    <x:xf numFmtId="0" fontId="22" fillId="0" borderId="0" xfId="0" applyNumberFormat="1" applyFont="1" applyFill="1" applyBorder="1" applyAlignment="1">
      <x:alignment wrapText="1"/>
    </x:xf>
    <x:xf numFmtId="203" fontId="22" fillId="0" borderId="0" xfId="0" applyNumberFormat="1" applyFont="1" applyFill="1" applyBorder="1" applyAlignment="1">
      <x:alignment wrapText="1"/>
    </x:xf>
    <x:xf numFmtId="0" fontId="30" fillId="9" borderId="0" xfId="0" applyNumberFormat="1" applyFont="1" applyFill="1" applyBorder="1" applyAlignment="1">
      <x:alignment wrapText="1"/>
    </x:xf>
    <x:xf numFmtId="0" fontId="31" fillId="9" borderId="0" xfId="0" applyNumberFormat="1" applyFont="1" applyFill="1" applyBorder="1" applyAlignment="1">
      <x:alignment wrapText="1"/>
    </x:xf>
    <x:xf numFmtId="0" fontId="22" fillId="0" borderId="0" xfId="0" applyNumberFormat="1" applyFont="1" applyFill="1" applyBorder="1" applyAlignment="1">
      <x:alignment vertical="center"/>
    </x:xf>
    <x:xf numFmtId="0" fontId="23" fillId="5" borderId="11" xfId="0" applyNumberFormat="1" applyFont="1" applyFill="1" applyBorder="1" applyAlignment="1">
      <x:alignment horizontal="center" vertical="center"/>
    </x:xf>
    <x:xf numFmtId="0" fontId="23" fillId="5" borderId="6" xfId="0" applyNumberFormat="1" applyFont="1" applyFill="1" applyBorder="1" applyAlignment="1">
      <x:alignment horizontal="center" vertical="center"/>
    </x:xf>
    <x:xf numFmtId="0" fontId="23" fillId="5" borderId="12" xfId="0" applyNumberFormat="1" applyFont="1" applyFill="1" applyBorder="1" applyAlignment="1">
      <x:alignment horizontal="center" vertical="center"/>
    </x:xf>
    <x:xf numFmtId="0" fontId="23" fillId="9" borderId="11" xfId="0" applyNumberFormat="1" applyFont="1" applyFill="1" applyBorder="1" applyAlignment="1">
      <x:alignment horizontal="center" vertical="center"/>
    </x:xf>
    <x:xf numFmtId="0" fontId="23" fillId="9" borderId="6" xfId="0" applyNumberFormat="1" applyFont="1" applyFill="1" applyBorder="1" applyAlignment="1">
      <x:alignment horizontal="center" vertical="center"/>
    </x:xf>
    <x:xf numFmtId="0" fontId="23" fillId="9" borderId="12" xfId="0" applyNumberFormat="1" applyFont="1" applyFill="1" applyBorder="1" applyAlignment="1">
      <x:alignment horizontal="center" vertical="center"/>
    </x:xf>
    <x:xf numFmtId="0" fontId="23" fillId="10" borderId="11" xfId="0" applyNumberFormat="1" applyFont="1" applyFill="1" applyBorder="1" applyAlignment="1">
      <x:alignment horizontal="center" vertical="center"/>
    </x:xf>
    <x:xf numFmtId="0" fontId="23" fillId="10" borderId="6" xfId="0" applyNumberFormat="1" applyFont="1" applyFill="1" applyBorder="1" applyAlignment="1">
      <x:alignment horizontal="center" vertical="center"/>
    </x:xf>
    <x:xf numFmtId="0" fontId="23" fillId="10" borderId="12" xfId="0" applyNumberFormat="1" applyFont="1" applyFill="1" applyBorder="1" applyAlignment="1">
      <x:alignment horizontal="center" vertical="center"/>
    </x:xf>
    <x:xf numFmtId="0" fontId="23" fillId="11" borderId="11" xfId="0" applyNumberFormat="1" applyFont="1" applyFill="1" applyBorder="1" applyAlignment="1">
      <x:alignment horizontal="center" vertical="center"/>
    </x:xf>
    <x:xf numFmtId="0" fontId="23" fillId="11" borderId="6" xfId="0" applyNumberFormat="1" applyFont="1" applyFill="1" applyBorder="1" applyAlignment="1">
      <x:alignment horizontal="center" vertical="center"/>
    </x:xf>
    <x:xf numFmtId="0" fontId="23" fillId="11" borderId="12" xfId="0" applyNumberFormat="1" applyFont="1" applyFill="1" applyBorder="1" applyAlignment="1">
      <x:alignment horizontal="center" vertical="center"/>
    </x:xf>
    <x:xf numFmtId="0" fontId="25" fillId="5" borderId="15" xfId="0" applyNumberFormat="1" applyFont="1" applyFill="1" applyBorder="1" applyAlignment="1">
      <x:alignment horizontal="center" vertical="center" wrapText="1"/>
    </x:xf>
    <x:xf numFmtId="0" fontId="25" fillId="5" borderId="4" xfId="0" applyNumberFormat="1" applyFont="1" applyFill="1" applyBorder="1" applyAlignment="1">
      <x:alignment horizontal="center" vertical="center" wrapText="1"/>
    </x:xf>
    <x:xf numFmtId="0" fontId="25" fillId="5" borderId="16" xfId="0" applyNumberFormat="1" applyFont="1" applyFill="1" applyBorder="1" applyAlignment="1">
      <x:alignment horizontal="center" vertical="center" wrapText="1"/>
    </x:xf>
    <x:xf numFmtId="0" fontId="25" fillId="9" borderId="15" xfId="0" applyNumberFormat="1" applyFont="1" applyFill="1" applyBorder="1" applyAlignment="1">
      <x:alignment horizontal="center" vertical="center" wrapText="1"/>
    </x:xf>
    <x:xf numFmtId="0" fontId="25" fillId="9" borderId="4" xfId="0" applyNumberFormat="1" applyFont="1" applyFill="1" applyBorder="1" applyAlignment="1">
      <x:alignment horizontal="center" vertical="center" wrapText="1"/>
    </x:xf>
    <x:xf numFmtId="0" fontId="25" fillId="9" borderId="16" xfId="0" applyNumberFormat="1" applyFont="1" applyFill="1" applyBorder="1" applyAlignment="1">
      <x:alignment horizontal="center" vertical="center" wrapText="1"/>
    </x:xf>
    <x:xf numFmtId="0" fontId="25" fillId="10" borderId="15" xfId="0" applyNumberFormat="1" applyFont="1" applyFill="1" applyBorder="1" applyAlignment="1">
      <x:alignment horizontal="center" vertical="center" wrapText="1"/>
    </x:xf>
    <x:xf numFmtId="0" fontId="25" fillId="10" borderId="4" xfId="0" applyNumberFormat="1" applyFont="1" applyFill="1" applyBorder="1" applyAlignment="1">
      <x:alignment horizontal="center" vertical="center" wrapText="1"/>
    </x:xf>
    <x:xf numFmtId="0" fontId="25" fillId="10" borderId="16" xfId="0" applyNumberFormat="1" applyFont="1" applyFill="1" applyBorder="1" applyAlignment="1">
      <x:alignment horizontal="center" vertical="center" wrapText="1"/>
    </x:xf>
    <x:xf numFmtId="0" fontId="25" fillId="11" borderId="15" xfId="0" applyNumberFormat="1" applyFont="1" applyFill="1" applyBorder="1" applyAlignment="1">
      <x:alignment horizontal="center" vertical="center" wrapText="1"/>
    </x:xf>
    <x:xf numFmtId="0" fontId="25" fillId="11" borderId="4" xfId="0" applyNumberFormat="1" applyFont="1" applyFill="1" applyBorder="1" applyAlignment="1">
      <x:alignment horizontal="center" vertical="center" wrapText="1"/>
    </x:xf>
    <x:xf numFmtId="0" fontId="25" fillId="11" borderId="16" xfId="0" applyNumberFormat="1" applyFont="1" applyFill="1" applyBorder="1" applyAlignment="1">
      <x:alignment horizontal="center" vertical="center" wrapText="1"/>
    </x:xf>
    <x:xf numFmtId="0" fontId="29" fillId="3" borderId="0" xfId="0" applyNumberFormat="1" applyFont="1" applyFill="1" applyBorder="1" applyAlignment="1">
      <x:alignment vertical="center" wrapText="1"/>
    </x:xf>
    <x:xf numFmtId="0" fontId="22" fillId="0" borderId="0" xfId="0" applyNumberFormat="1" applyFont="1" applyFill="1" applyBorder="1" applyAlignment="1">
      <x:alignment vertical="center" wrapText="1"/>
    </x:xf>
    <x:xf numFmtId="203" fontId="22" fillId="0" borderId="0" xfId="0" applyNumberFormat="1" applyFont="1" applyFill="1" applyBorder="1" applyAlignment="1">
      <x:alignment vertical="center" wrapText="1"/>
    </x:xf>
    <x:xf numFmtId="0" fontId="30" fillId="9" borderId="0" xfId="0" applyNumberFormat="1" applyFont="1" applyFill="1" applyBorder="1" applyAlignment="1">
      <x:alignment vertical="center" wrapText="1"/>
    </x:xf>
    <x:xf numFmtId="0" fontId="31" fillId="9" borderId="0" xfId="0" applyNumberFormat="1" applyFont="1" applyFill="1" applyBorder="1" applyAlignment="1">
      <x:alignment vertical="center" wrapText="1"/>
    </x:xf>
    <x:xf numFmtId="0" fontId="32" fillId="3" borderId="1" xfId="0" applyNumberFormat="1" applyFont="1" applyFill="1" applyBorder="1" applyAlignment="1">
      <x:alignment vertical="center"/>
    </x:xf>
    <x:xf numFmtId="0" fontId="32" fillId="3" borderId="2" xfId="0" applyNumberFormat="1" applyFont="1" applyFill="1" applyBorder="1" applyAlignment="1">
      <x:alignment vertical="center"/>
    </x:xf>
    <x:xf numFmtId="0" fontId="32" fillId="3" borderId="3" xfId="0" applyNumberFormat="1" applyFont="1" applyFill="1" applyBorder="1" applyAlignment="1">
      <x:alignment vertical="center"/>
    </x:xf>
    <x:xf numFmtId="0" fontId="22" fillId="0" borderId="4" xfId="0" applyNumberFormat="1" applyFont="1" applyFill="1" applyBorder="1" applyAlignment="1">
      <x:alignment wrapText="1"/>
    </x:xf>
    <x:xf numFmtId="0" fontId="33" fillId="0" borderId="4" xfId="0" applyNumberFormat="1" applyFont="1" applyFill="1" applyBorder="1" applyAlignment="1">
      <x:alignment wrapText="1"/>
    </x:xf>
    <x:xf numFmtId="0" fontId="22" fillId="0" borderId="5" xfId="0" applyNumberFormat="1" applyFont="1" applyFill="1" applyBorder="1" applyAlignment="1">
      <x:alignment wrapText="1"/>
    </x:xf>
    <x:xf numFmtId="0" fontId="33" fillId="0" borderId="5" xfId="0" applyNumberFormat="1" applyFont="1" applyFill="1" applyBorder="1" applyAlignment="1">
      <x:alignment wrapText="1"/>
    </x:xf>
    <x:xf numFmtId="0" fontId="22" fillId="0" borderId="6" xfId="0" applyNumberFormat="1" applyFont="1" applyFill="1" applyBorder="1" applyAlignment="1">
      <x:alignment wrapText="1"/>
    </x:xf>
    <x:xf numFmtId="0" fontId="33" fillId="0" borderId="6" xfId="0" applyNumberFormat="1" applyFont="1" applyFill="1" applyBorder="1" applyAlignment="1">
      <x:alignment wrapText="1"/>
    </x:xf>
    <x:xf numFmtId="0" fontId="32" fillId="3" borderId="1" xfId="0" applyNumberFormat="1" applyFont="1" applyFill="1" applyBorder="1" applyAlignment="1">
      <x:alignment vertical="center" wrapText="1"/>
    </x:xf>
    <x:xf numFmtId="0" fontId="32" fillId="3" borderId="2" xfId="0" applyNumberFormat="1" applyFont="1" applyFill="1" applyBorder="1" applyAlignment="1">
      <x:alignment vertical="center" wrapText="1"/>
    </x:xf>
    <x:xf numFmtId="0" fontId="32" fillId="3" borderId="3" xfId="0" applyNumberFormat="1" applyFont="1" applyFill="1" applyBorder="1" applyAlignment="1">
      <x:alignment vertical="center" wrapText="1"/>
    </x:xf>
    <x:xf numFmtId="0" fontId="22" fillId="0" borderId="4" xfId="0" applyNumberFormat="1" applyFont="1" applyFill="1" applyBorder="1" applyAlignment="1">
      <x:alignment vertical="center" wrapText="1"/>
    </x:xf>
    <x:xf numFmtId="0" fontId="33" fillId="0" borderId="4" xfId="0" applyNumberFormat="1" applyFont="1" applyFill="1" applyBorder="1" applyAlignment="1">
      <x:alignment vertical="center" wrapText="1"/>
    </x:xf>
    <x:xf numFmtId="0" fontId="22" fillId="0" borderId="5" xfId="0" applyNumberFormat="1" applyFont="1" applyFill="1" applyBorder="1" applyAlignment="1">
      <x:alignment vertical="center" wrapText="1"/>
    </x:xf>
    <x:xf numFmtId="0" fontId="33" fillId="0" borderId="5" xfId="0" applyNumberFormat="1" applyFont="1" applyFill="1" applyBorder="1" applyAlignment="1">
      <x:alignment vertical="center" wrapText="1"/>
    </x:xf>
    <x:xf numFmtId="0" fontId="22" fillId="0" borderId="6" xfId="0" applyNumberFormat="1" applyFont="1" applyFill="1" applyBorder="1" applyAlignment="1">
      <x:alignment vertical="center" wrapText="1"/>
    </x:xf>
    <x:xf numFmtId="0" fontId="33" fillId="0" borderId="6" xfId="0" applyNumberFormat="1" applyFont="1" applyFill="1" applyBorder="1" applyAlignment="1">
      <x:alignment vertical="center" wrapText="1"/>
    </x:xf>
    <x:xf numFmtId="0" fontId="22" fillId="0" borderId="4" xfId="0" applyNumberFormat="1" applyFont="1" applyFill="1" applyBorder="1"/>
    <x:xf numFmtId="200" fontId="34" fillId="7" borderId="7" xfId="0" applyNumberFormat="1" applyFont="1" applyFill="1" applyBorder="1"/>
    <x:xf numFmtId="203" fontId="34" fillId="7" borderId="7" xfId="0" applyNumberFormat="1" applyFont="1" applyFill="1" applyBorder="1"/>
    <x:xf numFmtId="0" fontId="22" fillId="0" borderId="5" xfId="0" applyNumberFormat="1" applyFont="1" applyFill="1" applyBorder="1"/>
    <x:xf numFmtId="201" fontId="34" fillId="7" borderId="7" xfId="0" applyNumberFormat="1" applyFont="1" applyFill="1" applyBorder="1"/>
    <x:xf numFmtId="202" fontId="34" fillId="7" borderId="7" xfId="0" applyNumberFormat="1" applyFont="1" applyFill="1" applyBorder="1"/>
    <x:xf numFmtId="205" fontId="34" fillId="7" borderId="7" xfId="0" applyNumberFormat="1" applyFont="1" applyFill="1" applyBorder="1"/>
    <x:xf numFmtId="0" fontId="22" fillId="0" borderId="6" xfId="0" applyNumberFormat="1" applyFont="1" applyFill="1" applyBorder="1"/>
    <x:xf numFmtId="0" fontId="34" fillId="7" borderId="7" xfId="0" applyNumberFormat="1" applyFont="1" applyFill="1" applyBorder="1"/>
    <x:xf numFmtId="202" fontId="35" fillId="0" borderId="5" xfId="0" applyNumberFormat="1" applyFont="1" applyFill="1" applyBorder="1"/>
    <x:xf numFmtId="204" fontId="34" fillId="7" borderId="7" xfId="0" applyNumberFormat="1" applyFont="1" applyFill="1" applyBorder="1"/>
    <x:xf numFmtId="203" fontId="35" fillId="0" borderId="5" xfId="0" applyNumberFormat="1" applyFont="1" applyFill="1" applyBorder="1"/>
    <x:xf numFmtId="203" fontId="22" fillId="0" borderId="5" xfId="0" applyNumberFormat="1" applyFont="1" applyFill="1" applyBorder="1"/>
    <x:xf numFmtId="203" fontId="35" fillId="0" borderId="6" xfId="0" applyNumberFormat="1" applyFont="1" applyFill="1" applyBorder="1"/>
    <x:xf numFmtId="203" fontId="22" fillId="0" borderId="6" xfId="0" applyNumberFormat="1" applyFont="1" applyFill="1" applyBorder="1"/>
    <x:xf numFmtId="0" fontId="22" fillId="0" borderId="4" xfId="0" applyNumberFormat="1" applyFont="1" applyFill="1" applyBorder="1" applyAlignment="1">
      <x:alignment vertical="center"/>
    </x:xf>
    <x:xf numFmtId="200" fontId="34" fillId="7" borderId="7" xfId="0" applyNumberFormat="1" applyFont="1" applyFill="1" applyBorder="1" applyAlignment="1">
      <x:alignment vertical="center"/>
    </x:xf>
    <x:xf numFmtId="203" fontId="34" fillId="7" borderId="7" xfId="0" applyNumberFormat="1" applyFont="1" applyFill="1" applyBorder="1" applyAlignment="1">
      <x:alignment vertical="center"/>
    </x:xf>
    <x:xf numFmtId="0" fontId="22" fillId="0" borderId="5" xfId="0" applyNumberFormat="1" applyFont="1" applyFill="1" applyBorder="1" applyAlignment="1">
      <x:alignment vertical="center"/>
    </x:xf>
    <x:xf numFmtId="201" fontId="34" fillId="7" borderId="7" xfId="0" applyNumberFormat="1" applyFont="1" applyFill="1" applyBorder="1" applyAlignment="1">
      <x:alignment vertical="center"/>
    </x:xf>
    <x:xf numFmtId="202" fontId="34" fillId="7" borderId="7" xfId="0" applyNumberFormat="1" applyFont="1" applyFill="1" applyBorder="1" applyAlignment="1">
      <x:alignment vertical="center"/>
    </x:xf>
    <x:xf numFmtId="205" fontId="34" fillId="7" borderId="7" xfId="0" applyNumberFormat="1" applyFont="1" applyFill="1" applyBorder="1" applyAlignment="1">
      <x:alignment vertical="center"/>
    </x:xf>
    <x:xf numFmtId="0" fontId="22" fillId="0" borderId="6" xfId="0" applyNumberFormat="1" applyFont="1" applyFill="1" applyBorder="1" applyAlignment="1">
      <x:alignment vertical="center"/>
    </x:xf>
    <x:xf numFmtId="0" fontId="34" fillId="7" borderId="7" xfId="0" applyNumberFormat="1" applyFont="1" applyFill="1" applyBorder="1" applyAlignment="1">
      <x:alignment vertical="center"/>
    </x:xf>
    <x:xf numFmtId="202" fontId="35" fillId="0" borderId="5" xfId="0" applyNumberFormat="1" applyFont="1" applyFill="1" applyBorder="1" applyAlignment="1">
      <x:alignment vertical="center"/>
    </x:xf>
    <x:xf numFmtId="204" fontId="34" fillId="7" borderId="7" xfId="0" applyNumberFormat="1" applyFont="1" applyFill="1" applyBorder="1" applyAlignment="1">
      <x:alignment vertical="center"/>
    </x:xf>
    <x:xf numFmtId="203" fontId="35" fillId="0" borderId="5" xfId="0" applyNumberFormat="1" applyFont="1" applyFill="1" applyBorder="1" applyAlignment="1">
      <x:alignment vertical="center"/>
    </x:xf>
    <x:xf numFmtId="203" fontId="22" fillId="0" borderId="5" xfId="0" applyNumberFormat="1" applyFont="1" applyFill="1" applyBorder="1" applyAlignment="1">
      <x:alignment vertical="center"/>
    </x:xf>
    <x:xf numFmtId="203" fontId="35" fillId="0" borderId="6" xfId="0" applyNumberFormat="1" applyFont="1" applyFill="1" applyBorder="1" applyAlignment="1">
      <x:alignment vertical="center"/>
    </x:xf>
    <x:xf numFmtId="203" fontId="22" fillId="0" borderId="6" xfId="0" applyNumberFormat="1" applyFont="1" applyFill="1" applyBorder="1" applyAlignment="1">
      <x:alignment vertical="center"/>
    </x:xf>
    <x:xf numFmtId="206" fontId="36" fillId="0" borderId="4" xfId="0" applyNumberFormat="1" applyFont="1" applyFill="1" applyBorder="1"/>
    <x:xf numFmtId="202" fontId="36" fillId="0" borderId="5" xfId="0" applyNumberFormat="1" applyFont="1" applyFill="1" applyBorder="1"/>
    <x:xf numFmtId="0" fontId="32" fillId="0" borderId="8" xfId="0" applyNumberFormat="1" applyFont="1" applyFill="1" applyBorder="1"/>
    <x:xf numFmtId="202" fontId="32" fillId="0" borderId="8" xfId="0" applyNumberFormat="1" applyFont="1" applyFill="1" applyBorder="1"/>
    <x:xf numFmtId="205" fontId="36" fillId="0" borderId="5" xfId="0" applyNumberFormat="1" applyFont="1" applyFill="1" applyBorder="1"/>
    <x:xf numFmtId="201" fontId="36" fillId="0" borderId="6" xfId="0" applyNumberFormat="1" applyFont="1" applyFill="1" applyBorder="1"/>
    <x:xf numFmtId="0" fontId="37" fillId="0" borderId="0" xfId="0" applyNumberFormat="1" applyFont="1" applyFill="1" applyBorder="1" applyAlignment="1">
      <x:alignment wrapText="1"/>
    </x:xf>
    <x:xf numFmtId="206" fontId="36" fillId="0" borderId="4" xfId="0" applyNumberFormat="1" applyFont="1" applyFill="1" applyBorder="1" applyAlignment="1">
      <x:alignment vertical="center"/>
    </x:xf>
    <x:xf numFmtId="202" fontId="36" fillId="0" borderId="5" xfId="0" applyNumberFormat="1" applyFont="1" applyFill="1" applyBorder="1" applyAlignment="1">
      <x:alignment vertical="center"/>
    </x:xf>
    <x:xf numFmtId="0" fontId="32" fillId="0" borderId="8" xfId="0" applyNumberFormat="1" applyFont="1" applyFill="1" applyBorder="1" applyAlignment="1">
      <x:alignment vertical="center"/>
    </x:xf>
    <x:xf numFmtId="202" fontId="32" fillId="0" borderId="8" xfId="0" applyNumberFormat="1" applyFont="1" applyFill="1" applyBorder="1" applyAlignment="1">
      <x:alignment vertical="center"/>
    </x:xf>
    <x:xf numFmtId="205" fontId="36" fillId="0" borderId="5" xfId="0" applyNumberFormat="1" applyFont="1" applyFill="1" applyBorder="1" applyAlignment="1">
      <x:alignment vertical="center"/>
    </x:xf>
    <x:xf numFmtId="201" fontId="36" fillId="0" borderId="6" xfId="0" applyNumberFormat="1" applyFont="1" applyFill="1" applyBorder="1" applyAlignment="1">
      <x:alignment vertical="center"/>
    </x:xf>
    <x:xf numFmtId="0" fontId="37" fillId="0" borderId="0" xfId="0" applyNumberFormat="1" applyFont="1" applyFill="1" applyBorder="1" applyAlignment="1">
      <x:alignment vertical="center" wrapText="1"/>
    </x:xf>
    <x:xf numFmtId="203" fontId="35" fillId="0" borderId="4" xfId="0" applyNumberFormat="1" applyFont="1" applyFill="1" applyBorder="1"/>
    <x:xf numFmtId="203" fontId="35" fillId="0" borderId="4" xfId="0" applyNumberFormat="1" applyFont="1" applyFill="1" applyBorder="1" applyAlignment="1">
      <x:alignment vertical="center"/>
    </x:xf>
    <x:xf numFmtId="206" fontId="35" fillId="0" borderId="4" xfId="0" applyNumberFormat="1" applyFont="1" applyFill="1" applyBorder="1"/>
    <x:xf numFmtId="203" fontId="36" fillId="0" borderId="5" xfId="0" applyNumberFormat="1" applyFont="1" applyFill="1" applyBorder="1"/>
    <x:xf numFmtId="207" fontId="35" fillId="0" borderId="5" xfId="0" applyNumberFormat="1" applyFont="1" applyFill="1" applyBorder="1"/>
    <x:xf numFmtId="202" fontId="35" fillId="0" borderId="6" xfId="0" applyNumberFormat="1" applyFont="1" applyFill="1" applyBorder="1"/>
    <x:xf numFmtId="206" fontId="35" fillId="0" borderId="4" xfId="0" applyNumberFormat="1" applyFont="1" applyFill="1" applyBorder="1" applyAlignment="1">
      <x:alignment vertical="center"/>
    </x:xf>
    <x:xf numFmtId="203" fontId="36" fillId="0" borderId="5" xfId="0" applyNumberFormat="1" applyFont="1" applyFill="1" applyBorder="1" applyAlignment="1">
      <x:alignment vertical="center"/>
    </x:xf>
    <x:xf numFmtId="207" fontId="35" fillId="0" borderId="5" xfId="0" applyNumberFormat="1" applyFont="1" applyFill="1" applyBorder="1" applyAlignment="1">
      <x:alignment vertical="center"/>
    </x:xf>
    <x:xf numFmtId="202" fontId="35" fillId="0" borderId="6" xfId="0" applyNumberFormat="1" applyFont="1" applyFill="1" applyBorder="1" applyAlignment="1">
      <x:alignment vertical="center"/>
    </x:xf>
    <x:xf numFmtId="0" fontId="22" fillId="9" borderId="4" xfId="0" applyNumberFormat="1" applyFont="1" applyFill="1" applyBorder="1"/>
    <x:xf numFmtId="203" fontId="22" fillId="9" borderId="4" xfId="0" applyNumberFormat="1" applyFont="1" applyFill="1" applyBorder="1"/>
    <x:xf numFmtId="202" fontId="22" fillId="9" borderId="4" xfId="0" applyNumberFormat="1" applyFont="1" applyFill="1" applyBorder="1"/>
    <x:xf numFmtId="201" fontId="22" fillId="9" borderId="4" xfId="0" applyNumberFormat="1" applyFont="1" applyFill="1" applyBorder="1"/>
    <x:xf numFmtId="0" fontId="32" fillId="10" borderId="8" xfId="0" applyNumberFormat="1" applyFont="1" applyFill="1" applyBorder="1"/>
    <x:xf numFmtId="203" fontId="32" fillId="10" borderId="8" xfId="0" applyNumberFormat="1" applyFont="1" applyFill="1" applyBorder="1"/>
    <x:xf numFmtId="202" fontId="32" fillId="10" borderId="8" xfId="0" applyNumberFormat="1" applyFont="1" applyFill="1" applyBorder="1"/>
    <x:xf numFmtId="201" fontId="32" fillId="10" borderId="8" xfId="0" applyNumberFormat="1" applyFont="1" applyFill="1" applyBorder="1"/>
    <x:xf numFmtId="0" fontId="22" fillId="11" borderId="6" xfId="0" applyNumberFormat="1" applyFont="1" applyFill="1" applyBorder="1"/>
    <x:xf numFmtId="203" fontId="22" fillId="11" borderId="6" xfId="0" applyNumberFormat="1" applyFont="1" applyFill="1" applyBorder="1"/>
    <x:xf numFmtId="202" fontId="22" fillId="11" borderId="6" xfId="0" applyNumberFormat="1" applyFont="1" applyFill="1" applyBorder="1"/>
    <x:xf numFmtId="201" fontId="22" fillId="11" borderId="6" xfId="0" applyNumberFormat="1" applyFont="1" applyFill="1" applyBorder="1"/>
    <x:xf numFmtId="202" fontId="22" fillId="0" borderId="4" xfId="0" applyNumberFormat="1" applyFont="1" applyFill="1" applyBorder="1"/>
    <x:xf numFmtId="203" fontId="22" fillId="0" borderId="4" xfId="0" applyNumberFormat="1" applyFont="1" applyFill="1" applyBorder="1"/>
    <x:xf numFmtId="202" fontId="22" fillId="0" borderId="5" xfId="0" applyNumberFormat="1" applyFont="1" applyFill="1" applyBorder="1"/>
    <x:xf numFmtId="205" fontId="22" fillId="0" borderId="6" xfId="0" applyNumberFormat="1" applyFont="1" applyFill="1" applyBorder="1"/>
    <x:xf numFmtId="0" fontId="22" fillId="9" borderId="4" xfId="0" applyNumberFormat="1" applyFont="1" applyFill="1" applyBorder="1" applyAlignment="1">
      <x:alignment vertical="center"/>
    </x:xf>
    <x:xf numFmtId="203" fontId="22" fillId="9" borderId="4" xfId="0" applyNumberFormat="1" applyFont="1" applyFill="1" applyBorder="1" applyAlignment="1">
      <x:alignment vertical="center"/>
    </x:xf>
    <x:xf numFmtId="202" fontId="22" fillId="9" borderId="4" xfId="0" applyNumberFormat="1" applyFont="1" applyFill="1" applyBorder="1" applyAlignment="1">
      <x:alignment vertical="center"/>
    </x:xf>
    <x:xf numFmtId="201" fontId="22" fillId="9" borderId="4" xfId="0" applyNumberFormat="1" applyFont="1" applyFill="1" applyBorder="1" applyAlignment="1">
      <x:alignment vertical="center"/>
    </x:xf>
    <x:xf numFmtId="0" fontId="32" fillId="10" borderId="8" xfId="0" applyNumberFormat="1" applyFont="1" applyFill="1" applyBorder="1" applyAlignment="1">
      <x:alignment vertical="center"/>
    </x:xf>
    <x:xf numFmtId="203" fontId="32" fillId="10" borderId="8" xfId="0" applyNumberFormat="1" applyFont="1" applyFill="1" applyBorder="1" applyAlignment="1">
      <x:alignment vertical="center"/>
    </x:xf>
    <x:xf numFmtId="202" fontId="32" fillId="10" borderId="8" xfId="0" applyNumberFormat="1" applyFont="1" applyFill="1" applyBorder="1" applyAlignment="1">
      <x:alignment vertical="center"/>
    </x:xf>
    <x:xf numFmtId="201" fontId="32" fillId="10" borderId="8" xfId="0" applyNumberFormat="1" applyFont="1" applyFill="1" applyBorder="1" applyAlignment="1">
      <x:alignment vertical="center"/>
    </x:xf>
    <x:xf numFmtId="0" fontId="22" fillId="11" borderId="6" xfId="0" applyNumberFormat="1" applyFont="1" applyFill="1" applyBorder="1" applyAlignment="1">
      <x:alignment vertical="center"/>
    </x:xf>
    <x:xf numFmtId="203" fontId="22" fillId="11" borderId="6" xfId="0" applyNumberFormat="1" applyFont="1" applyFill="1" applyBorder="1" applyAlignment="1">
      <x:alignment vertical="center"/>
    </x:xf>
    <x:xf numFmtId="202" fontId="22" fillId="11" borderId="6" xfId="0" applyNumberFormat="1" applyFont="1" applyFill="1" applyBorder="1" applyAlignment="1">
      <x:alignment vertical="center"/>
    </x:xf>
    <x:xf numFmtId="201" fontId="22" fillId="11" borderId="6" xfId="0" applyNumberFormat="1" applyFont="1" applyFill="1" applyBorder="1" applyAlignment="1">
      <x:alignment vertical="center"/>
    </x:xf>
    <x:xf numFmtId="202" fontId="22" fillId="0" borderId="4" xfId="0" applyNumberFormat="1" applyFont="1" applyFill="1" applyBorder="1" applyAlignment="1">
      <x:alignment vertical="center"/>
    </x:xf>
    <x:xf numFmtId="203" fontId="22" fillId="0" borderId="4" xfId="0" applyNumberFormat="1" applyFont="1" applyFill="1" applyBorder="1" applyAlignment="1">
      <x:alignment vertical="center"/>
    </x:xf>
    <x:xf numFmtId="202" fontId="22" fillId="0" borderId="5" xfId="0" applyNumberFormat="1" applyFont="1" applyFill="1" applyBorder="1" applyAlignment="1">
      <x:alignment vertical="center"/>
    </x:xf>
    <x:xf numFmtId="205" fontId="22" fillId="0" borderId="6" xfId="0" applyNumberFormat="1" applyFont="1" applyFill="1" applyBorder="1" applyAlignment="1">
      <x:alignment vertical="center"/>
    </x:xf>
    <x:xf numFmtId="201" fontId="22" fillId="0" borderId="4" xfId="0" applyNumberFormat="1" applyFont="1" applyFill="1" applyBorder="1"/>
    <x:xf numFmtId="208" fontId="22" fillId="0" borderId="4" xfId="0" applyNumberFormat="1" applyFont="1" applyFill="1" applyBorder="1"/>
    <x:xf numFmtId="201" fontId="22" fillId="0" borderId="5" xfId="0" applyNumberFormat="1" applyFont="1" applyFill="1" applyBorder="1"/>
    <x:xf numFmtId="201" fontId="22" fillId="0" borderId="6" xfId="0" applyNumberFormat="1" applyFont="1" applyFill="1" applyBorder="1"/>
    <x:xf numFmtId="0" fontId="21" fillId="9" borderId="0" xfId="0" applyNumberFormat="1" applyFont="1" applyFill="1" applyBorder="1" applyAlignment="1">
      <x:alignment vertical="center" wrapText="1"/>
    </x:xf>
    <x:xf numFmtId="201" fontId="22" fillId="0" borderId="4" xfId="0" applyNumberFormat="1" applyFont="1" applyFill="1" applyBorder="1" applyAlignment="1">
      <x:alignment vertical="center"/>
    </x:xf>
    <x:xf numFmtId="208" fontId="22" fillId="0" borderId="4" xfId="0" applyNumberFormat="1" applyFont="1" applyFill="1" applyBorder="1" applyAlignment="1">
      <x:alignment vertical="center"/>
    </x:xf>
    <x:xf numFmtId="201" fontId="22" fillId="0" borderId="5" xfId="0" applyNumberFormat="1" applyFont="1" applyFill="1" applyBorder="1" applyAlignment="1">
      <x:alignment vertical="center"/>
    </x:xf>
    <x:xf numFmtId="201" fontId="22" fillId="0" borderId="6" xfId="0" applyNumberFormat="1" applyFont="1" applyFill="1" applyBorder="1" applyAlignment="1">
      <x:alignment vertical="center"/>
    </x:xf>
    <x:xf numFmtId="203" fontId="32" fillId="3" borderId="2" xfId="0" applyNumberFormat="1" applyFont="1" applyFill="1" applyBorder="1" applyAlignment="1">
      <x:alignment vertical="center"/>
    </x:xf>
    <x:xf numFmtId="203" fontId="32" fillId="3" borderId="3" xfId="0" applyNumberFormat="1" applyFont="1" applyFill="1" applyBorder="1" applyAlignment="1">
      <x:alignment vertical="center"/>
    </x:xf>
    <x:xf numFmtId="201" fontId="32" fillId="12" borderId="9" xfId="0" applyNumberFormat="1" applyFont="1" applyFill="1" applyBorder="1"/>
    <x:xf numFmtId="201" fontId="32" fillId="12" borderId="9" xfId="0" applyNumberFormat="1" applyFont="1" applyFill="1" applyBorder="1" applyAlignment="1">
      <x:alignment vertical="center"/>
    </x:xf>
    <x:xf numFmtId="201" fontId="22" fillId="0" borderId="0" xfId="0" applyNumberFormat="1" applyFont="1" applyFill="1" applyBorder="1"/>
    <x:xf numFmtId="0" fontId="21" fillId="10" borderId="0" xfId="0" applyNumberFormat="1" applyFont="1" applyFill="1" applyBorder="1" applyAlignment="1">
      <x:alignment vertical="center" wrapText="1"/>
    </x:xf>
    <x:xf numFmtId="201" fontId="22" fillId="0" borderId="0" xfId="0" applyNumberFormat="1" applyFont="1" applyFill="1" applyBorder="1" applyAlignment="1">
      <x:alignment vertical="center"/>
    </x:xf>
    <x:xf numFmtId="209" fontId="22" fillId="0" borderId="4" xfId="0" applyNumberFormat="1" applyFont="1" applyFill="1" applyBorder="1"/>
    <x:xf numFmtId="0" fontId="38" fillId="0" borderId="4" xfId="0" applyNumberFormat="1" applyFont="1" applyFill="1" applyBorder="1"/>
    <x:xf numFmtId="209" fontId="22" fillId="0" borderId="5" xfId="0" applyNumberFormat="1" applyFont="1" applyFill="1" applyBorder="1"/>
    <x:xf numFmtId="0" fontId="38" fillId="0" borderId="5" xfId="0" applyNumberFormat="1" applyFont="1" applyFill="1" applyBorder="1"/>
    <x:xf numFmtId="209" fontId="22" fillId="0" borderId="6" xfId="0" applyNumberFormat="1" applyFont="1" applyFill="1" applyBorder="1"/>
    <x:xf numFmtId="0" fontId="38" fillId="0" borderId="6" xfId="0" applyNumberFormat="1" applyFont="1" applyFill="1" applyBorder="1"/>
    <x:xf numFmtId="0" fontId="37" fillId="3" borderId="0" xfId="0" applyNumberFormat="1" applyFont="1" applyFill="1" applyBorder="1"/>
    <x:xf numFmtId="0" fontId="39" fillId="12" borderId="0" xfId="0" applyNumberFormat="1" applyFont="1" applyFill="1" applyBorder="1" applyAlignment="1">
      <x:alignment horizontal="center"/>
    </x:xf>
    <x:xf numFmtId="209" fontId="22" fillId="0" borderId="4" xfId="0" applyNumberFormat="1" applyFont="1" applyFill="1" applyBorder="1" applyAlignment="1">
      <x:alignment vertical="center"/>
    </x:xf>
    <x:xf numFmtId="0" fontId="38" fillId="0" borderId="4" xfId="0" applyNumberFormat="1" applyFont="1" applyFill="1" applyBorder="1" applyAlignment="1">
      <x:alignment vertical="center"/>
    </x:xf>
    <x:xf numFmtId="209" fontId="22" fillId="0" borderId="5" xfId="0" applyNumberFormat="1" applyFont="1" applyFill="1" applyBorder="1" applyAlignment="1">
      <x:alignment vertical="center"/>
    </x:xf>
    <x:xf numFmtId="0" fontId="38" fillId="0" borderId="5" xfId="0" applyNumberFormat="1" applyFont="1" applyFill="1" applyBorder="1" applyAlignment="1">
      <x:alignment vertical="center"/>
    </x:xf>
    <x:xf numFmtId="209" fontId="22" fillId="0" borderId="6" xfId="0" applyNumberFormat="1" applyFont="1" applyFill="1" applyBorder="1" applyAlignment="1">
      <x:alignment vertical="center"/>
    </x:xf>
    <x:xf numFmtId="0" fontId="38" fillId="0" borderId="6" xfId="0" applyNumberFormat="1" applyFont="1" applyFill="1" applyBorder="1" applyAlignment="1">
      <x:alignment vertical="center"/>
    </x:xf>
    <x:xf numFmtId="0" fontId="37" fillId="3" borderId="0" xfId="0" applyNumberFormat="1" applyFont="1" applyFill="1" applyBorder="1" applyAlignment="1">
      <x:alignment vertical="center"/>
    </x:xf>
    <x:xf numFmtId="0" fontId="39" fillId="1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71b485d5a4097" /><Relationship Type="http://schemas.openxmlformats.org/officeDocument/2006/relationships/theme" Target="/xl/theme/theme1.xml" Id="R9b9ca5f35c084867" /><Relationship Type="http://schemas.openxmlformats.org/officeDocument/2006/relationships/sharedStrings" Target="/xl/sharedStrings.xml" Id="R5f21908745424a22" /><Relationship Type="http://schemas.openxmlformats.org/officeDocument/2006/relationships/worksheet" Target="/xl/worksheets/sheet1.xml" Id="R8b02704987094d60" /><Relationship Type="http://schemas.openxmlformats.org/officeDocument/2006/relationships/worksheet" Target="/xl/worksheets/sheet2.xml" Id="Rcf8fd2a25a724d2e" /><Relationship Type="http://schemas.openxmlformats.org/officeDocument/2006/relationships/worksheet" Target="/xl/worksheets/sheet3.xml" Id="R6a276a1105f74a5d" /><Relationship Type="http://schemas.openxmlformats.org/officeDocument/2006/relationships/worksheet" Target="/xl/worksheets/sheet4.xml" Id="Rc16d2772b5014180" /><Relationship Type="http://schemas.openxmlformats.org/officeDocument/2006/relationships/worksheet" Target="/xl/worksheets/sheet5.xml" Id="R6add75e93bf34f52" /><Relationship Type="http://schemas.openxmlformats.org/officeDocument/2006/relationships/worksheet" Target="/xl/worksheets/sheet6.xml" Id="R018f7adeb1b84575" /><Relationship Type="http://schemas.openxmlformats.org/officeDocument/2006/relationships/worksheet" Target="/xl/worksheets/sheet7.xml" Id="R5bfa9a45bf0a466f" /><Relationship Type="http://schemas.openxmlformats.org/officeDocument/2006/relationships/worksheet" Target="/xl/worksheets/sheet8.xml" Id="Rc5a12110cbdf4691" /><Relationship Type="http://schemas.openxmlformats.org/officeDocument/2006/relationships/worksheet" Target="/xl/worksheets/sheet9.xml" Id="R3ad4813872204b97" /><Relationship Type="http://schemas.openxmlformats.org/officeDocument/2006/relationships/worksheet" Target="/xl/worksheets/sheet10.xml" Id="Re4226df2b4084c2f" /><Relationship Type="http://schemas.openxmlformats.org/officeDocument/2006/relationships/worksheet" Target="/xl/worksheets/sheet11.xml" Id="Re117853f05c748b4" /><Relationship Type="http://schemas.microsoft.com/office/2017/10/relationships/person" Target="/xl/persons/person.xml" Id="R6c55b5183aa34f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92d0ecaffb9482f" /><Relationship Type="http://schemas.openxmlformats.org/officeDocument/2006/relationships/chart" Target="/xl/drawings/charts/chart2.xml" Id="R57a90cf19db442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DCF scenario values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Value / share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'DCF'!$A$4:$A$6</c:f>
              <c:strCache>
                <c:ptCount val="0"/>
              </c:strCache>
            </c:strRef>
          </c:cat>
          <c:val>
            <c:numRef>
              <c:f>'DCF'!$I$4:$I$6</c:f>
              <c:numCache>
                <c:formatCode>$0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Base TPV ($bn)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lineChart>
        <c:grouping val="standard"/>
        <c:ser>
          <c:idx val="0"/>
          <c:order val="0"/>
          <c:tx>
            <c:v>TPV</c:v>
          </c:tx>
          <c:spPr>
            <a:solidFill xmlns:a="http://schemas.openxmlformats.org/drawingml/2006/main">
              <a:srgbClr val="548235"/>
            </a:solidFill>
          </c:spPr>
          <c:marker>
            <c:symbol val="none"/>
          </c:marker>
          <c:cat>
            <c:strRef>
              <c:f>'Forecast'!$B$22:$G$22</c:f>
              <c:strCache>
                <c:ptCount val="0"/>
              </c:strCache>
            </c:strRef>
          </c:cat>
          <c:val>
            <c:numRef>
              <c:f>'Forecast'!$B$23:$G$23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2d0ecaffb9482f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a90cf19db442cb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Henry Adams" id="{D277B0A1-4975-4B39-8DA1-AC7AD6DB592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c4afd80d11049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3" t="str">
        <x:v>dLocal (NASDAQ: DLO) — Bespoke Equity Valuation</x:v>
      </x:c>
      <x:c r="B1" s="3" t="str">
        <x:v>dLocal (NASDAQ: DLO) — Bespoke Equity Valuation</x:v>
      </x:c>
      <x:c r="C1" s="3" t="str">
        <x:v>dLocal (NASDAQ: DLO) — Bespoke Equity Valuation</x:v>
      </x:c>
      <x:c r="D1" s="3" t="str">
        <x:v>dLocal (NASDAQ: DLO) — Bespoke Equity Valuation</x:v>
      </x:c>
      <x:c r="E1" s="3" t="str">
        <x:v>dLocal (NASDAQ: DLO) — Bespoke Equity Valuation</x:v>
      </x:c>
      <x:c r="F1" s="3" t="str">
        <x:v>dLocal (NASDAQ: DLO) — Bespoke Equity Valuation</x:v>
      </x:c>
      <x:c r="G1" s="3" t="str">
        <x:v>dLocal (NASDAQ: DLO) — Bespoke Equity Valuation</x:v>
      </x:c>
      <x:c r="H1" s="3" t="str">
        <x:v>dLocal (NASDAQ: DLO) — Bespoke Equity Valuation</x:v>
      </x:c>
      <x:c r="I1" s="3" t="str">
        <x:v>dLocal (NASDAQ: DLO) — Bespoke Equity Valuation</x:v>
      </x:c>
      <x:c r="J1" s="3" t="str">
        <x:v>dLocal (NASDAQ: DLO) — Bespoke Equity Valuation</x:v>
      </x:c>
      <x:c r="K1" s="3" t="str">
        <x:v>dLocal (NASDAQ: DLO) — Bespoke Equity Valuation</x:v>
      </x:c>
      <x:c r="L1" s="3" t="str">
        <x:v>dLocal (NASDAQ: DLO) — Bespoke Equity Valuation</x:v>
      </x:c>
    </x:row>
    <x:row r="2">
      <x:c r="A2" s="323" t="str">
        <x:v>Valuation date: 23 July 2026 • USD • IFRS • Primary method: FCFF DCF • Status: screen-grade, locally verified</x:v>
      </x:c>
      <x:c r="B2" s="323"/>
      <x:c r="C2" s="323"/>
      <x:c r="D2" s="323"/>
      <x:c r="E2" s="323"/>
      <x:c r="F2" s="323"/>
      <x:c r="G2" s="323"/>
      <x:c r="H2" s="323"/>
      <x:c r="I2" s="323"/>
      <x:c r="J2" s="323"/>
      <x:c r="K2" s="323"/>
      <x:c r="L2" s="323"/>
    </x:row>
    <x:row r="3">
      <x:c r="A3" s="402"/>
      <x:c r="B3" s="402"/>
      <x:c r="C3" s="402"/>
      <x:c r="D3" s="402"/>
      <x:c r="E3" s="402"/>
      <x:c r="F3" s="402"/>
      <x:c r="G3" s="402"/>
      <x:c r="H3" s="402"/>
      <x:c r="I3" s="402"/>
      <x:c r="J3" s="402"/>
      <x:c r="K3" s="402"/>
      <x:c r="L3" s="402"/>
    </x:row>
    <x:row r="4">
      <x:c r="A4" s="403" t="str">
        <x:v>MARKET PRICE</x:v>
      </x:c>
      <x:c r="B4" s="404"/>
      <x:c r="C4" s="405"/>
      <x:c r="D4" s="406" t="str">
        <x:v>BEAR VALUE</x:v>
      </x:c>
      <x:c r="E4" s="407"/>
      <x:c r="F4" s="408"/>
      <x:c r="G4" s="409" t="str">
        <x:v>BASE VALUE</x:v>
      </x:c>
      <x:c r="H4" s="410"/>
      <x:c r="I4" s="411"/>
      <x:c r="J4" s="412" t="str">
        <x:v>BULL VALUE</x:v>
      </x:c>
      <x:c r="K4" s="413"/>
      <x:c r="L4" s="414"/>
    </x:row>
    <x:row r="5">
      <x:c r="A5" s="337" t="n">
        <x:f>'Assumptions'!B6</x:f>
        <x:v>14.77</x:v>
      </x:c>
      <x:c r="B5" s="338"/>
      <x:c r="C5" s="339"/>
      <x:c r="D5" s="340" t="n">
        <x:f>'DCF'!I4</x:f>
        <x:v>13.306860370573155</x:v>
      </x:c>
      <x:c r="E5" s="341"/>
      <x:c r="F5" s="342"/>
      <x:c r="G5" s="343" t="n">
        <x:f>'DCF'!I5</x:f>
        <x:v>22.672019379331285</x:v>
      </x:c>
      <x:c r="H5" s="344"/>
      <x:c r="I5" s="345"/>
      <x:c r="J5" s="346" t="n">
        <x:f>'DCF'!I6</x:f>
        <x:v>34.56948268861088</x:v>
      </x:c>
      <x:c r="K5" s="347"/>
      <x:c r="L5" s="348"/>
    </x:row>
    <x:row r="6">
      <x:c r="A6" s="337"/>
      <x:c r="B6" s="338"/>
      <x:c r="C6" s="339"/>
      <x:c r="D6" s="340"/>
      <x:c r="E6" s="341"/>
      <x:c r="F6" s="342"/>
      <x:c r="G6" s="343"/>
      <x:c r="H6" s="344"/>
      <x:c r="I6" s="345"/>
      <x:c r="J6" s="346"/>
      <x:c r="K6" s="347"/>
      <x:c r="L6" s="348"/>
    </x:row>
    <x:row r="7">
      <x:c r="A7" s="337"/>
      <x:c r="B7" s="338"/>
      <x:c r="C7" s="339"/>
      <x:c r="D7" s="340"/>
      <x:c r="E7" s="341"/>
      <x:c r="F7" s="342"/>
      <x:c r="G7" s="343"/>
      <x:c r="H7" s="344"/>
      <x:c r="I7" s="345"/>
      <x:c r="J7" s="346"/>
      <x:c r="K7" s="347"/>
      <x:c r="L7" s="348"/>
    </x:row>
    <x:row r="8">
      <x:c r="A8" s="415" t="str">
        <x:v>23 July close</x:v>
      </x:c>
      <x:c r="B8" s="416"/>
      <x:c r="C8" s="417"/>
      <x:c r="D8" s="418" t="str">
        <x:v>Operating downside case</x:v>
      </x:c>
      <x:c r="E8" s="419"/>
      <x:c r="F8" s="420"/>
      <x:c r="G8" s="421" t="str">
        <x:v>FCFF anchor</x:v>
      </x:c>
      <x:c r="H8" s="422"/>
      <x:c r="I8" s="423"/>
      <x:c r="J8" s="424" t="str">
        <x:v>Operating upside case</x:v>
      </x:c>
      <x:c r="K8" s="425"/>
      <x:c r="L8" s="426"/>
    </x:row>
    <x:row r="9">
      <x:c r="A9" s="402"/>
      <x:c r="B9" s="402"/>
      <x:c r="C9" s="402"/>
      <x:c r="D9" s="402"/>
      <x:c r="E9" s="402"/>
      <x:c r="F9" s="402"/>
      <x:c r="G9" s="402"/>
      <x:c r="H9" s="402"/>
      <x:c r="I9" s="402"/>
      <x:c r="J9" s="402"/>
      <x:c r="K9" s="402"/>
      <x:c r="L9" s="402"/>
    </x:row>
    <x:row r="10" ht="22" customHeight="1">
      <x:c r="A10" s="33" t="str">
        <x:v>Conclusion</x:v>
      </x:c>
      <x:c r="B10" s="33"/>
      <x:c r="C10" s="33"/>
      <x:c r="D10" s="33"/>
      <x:c r="E10" s="33"/>
      <x:c r="F10" s="33"/>
      <x:c r="G10" s="33" t="str">
        <x:v>What must be true</x:v>
      </x:c>
      <x:c r="H10" s="33"/>
      <x:c r="I10" s="33"/>
      <x:c r="J10" s="33"/>
      <x:c r="K10" s="33"/>
      <x:c r="L10" s="33"/>
    </x:row>
    <x:row r="11">
      <x:c r="A11" s="361" t="str">
        <x:v>Base fair value is approximately $23 per share, with a $13-$35 operating range. The market price is close to the bear case and implies roughly 11% annual TPV growth after 2026, versus the base fade from 35% to 15%. Confidence is moderate-low because monetization, emerging-market risk and normalized working capital dominate the result.</x:v>
      </x:c>
      <x:c r="B11" s="362"/>
      <x:c r="C11" s="362"/>
      <x:c r="D11" s="362"/>
      <x:c r="E11" s="362"/>
      <x:c r="F11" s="363"/>
      <x:c r="G11" s="364" t="str">
        <x:v>TPV growth must remain well above the reverse-DCF path; GP/TPV must stabilize near 0.8%; operating profit must compound faster than gross profit; corporate cash must remain separable from merchant settlement balances; regulatory and FX costs must not absorb operating leverage.</x:v>
      </x:c>
      <x:c r="H11" s="365"/>
      <x:c r="I11" s="365"/>
      <x:c r="J11" s="365"/>
      <x:c r="K11" s="365"/>
      <x:c r="L11" s="366"/>
    </x:row>
    <x:row r="12">
      <x:c r="A12" s="367"/>
      <x:c r="B12" s="368"/>
      <x:c r="C12" s="368"/>
      <x:c r="D12" s="368"/>
      <x:c r="E12" s="368"/>
      <x:c r="F12" s="369"/>
      <x:c r="G12" s="370"/>
      <x:c r="H12" s="371"/>
      <x:c r="I12" s="371"/>
      <x:c r="J12" s="371"/>
      <x:c r="K12" s="371"/>
      <x:c r="L12" s="372"/>
    </x:row>
    <x:row r="13">
      <x:c r="A13" s="367"/>
      <x:c r="B13" s="368"/>
      <x:c r="C13" s="368"/>
      <x:c r="D13" s="368"/>
      <x:c r="E13" s="368"/>
      <x:c r="F13" s="369"/>
      <x:c r="G13" s="370"/>
      <x:c r="H13" s="371"/>
      <x:c r="I13" s="371"/>
      <x:c r="J13" s="371"/>
      <x:c r="K13" s="371"/>
      <x:c r="L13" s="372"/>
    </x:row>
    <x:row r="14">
      <x:c r="A14" s="373"/>
      <x:c r="B14" s="374"/>
      <x:c r="C14" s="374"/>
      <x:c r="D14" s="374"/>
      <x:c r="E14" s="374"/>
      <x:c r="F14" s="375"/>
      <x:c r="G14" s="376"/>
      <x:c r="H14" s="377"/>
      <x:c r="I14" s="377"/>
      <x:c r="J14" s="377"/>
      <x:c r="K14" s="377"/>
      <x:c r="L14" s="378"/>
    </x:row>
    <x:row r="15">
      <x:c r="A15" s="402"/>
      <x:c r="B15" s="402"/>
      <x:c r="C15" s="402"/>
      <x:c r="D15" s="402"/>
      <x:c r="E15" s="402"/>
      <x:c r="F15" s="402"/>
      <x:c r="G15" s="402"/>
      <x:c r="H15" s="402"/>
      <x:c r="I15" s="402"/>
      <x:c r="J15" s="402"/>
      <x:c r="K15" s="402"/>
      <x:c r="L15" s="402"/>
    </x:row>
    <x:row r="16" ht="22" customHeight="1">
      <x:c r="A16" s="33" t="str">
        <x:v>Variant view</x:v>
      </x:c>
      <x:c r="B16" s="33"/>
      <x:c r="C16" s="33"/>
      <x:c r="D16" s="33"/>
      <x:c r="E16" s="33" t="str">
        <x:v>Catalysts</x:v>
      </x:c>
      <x:c r="F16" s="33"/>
      <x:c r="G16" s="33"/>
      <x:c r="H16" s="33"/>
      <x:c r="I16" s="23" t="str">
        <x:v>Risks</x:v>
      </x:c>
      <x:c r="J16" s="23"/>
      <x:c r="K16" s="23"/>
      <x:c r="L16" s="23"/>
    </x:row>
    <x:row r="17">
      <x:c r="A17" s="379" t="str">
        <x:v>The market appears to discount a sharp post-2026 volume fade. The variant wedge is that merchant expansion and share-of-wallet gains can sustain faster TPV growth while unit economics stabilize.</x:v>
      </x:c>
      <x:c r="B17" s="380"/>
      <x:c r="C17" s="380"/>
      <x:c r="D17" s="381"/>
      <x:c r="E17" s="379" t="str">
        <x:v>Q2 2026 execution; 2H operating leverage; cross-border mix recovery; license expansion; disciplined use of the $300mm repurchase authorization.</x:v>
      </x:c>
      <x:c r="F17" s="380"/>
      <x:c r="G17" s="380"/>
      <x:c r="H17" s="381"/>
      <x:c r="I17" s="382" t="str">
        <x:v>Brazil tax, Argentina FX, Mexico tariffs, EM regulation, merchant concentration, processor receivable recoverability, take-rate compression, settlement-liquidity volatility and buyback execution.</x:v>
      </x:c>
      <x:c r="J17" s="383"/>
      <x:c r="K17" s="383"/>
      <x:c r="L17" s="384"/>
    </x:row>
    <x:row r="18">
      <x:c r="A18" s="385"/>
      <x:c r="B18" s="386"/>
      <x:c r="C18" s="386"/>
      <x:c r="D18" s="387"/>
      <x:c r="E18" s="385"/>
      <x:c r="F18" s="386"/>
      <x:c r="G18" s="386"/>
      <x:c r="H18" s="387"/>
      <x:c r="I18" s="388"/>
      <x:c r="J18" s="389"/>
      <x:c r="K18" s="389"/>
      <x:c r="L18" s="390"/>
    </x:row>
    <x:row r="19">
      <x:c r="A19" s="385"/>
      <x:c r="B19" s="386"/>
      <x:c r="C19" s="386"/>
      <x:c r="D19" s="387"/>
      <x:c r="E19" s="385"/>
      <x:c r="F19" s="386"/>
      <x:c r="G19" s="386"/>
      <x:c r="H19" s="387"/>
      <x:c r="I19" s="388"/>
      <x:c r="J19" s="389"/>
      <x:c r="K19" s="389"/>
      <x:c r="L19" s="390"/>
    </x:row>
    <x:row r="20">
      <x:c r="A20" s="385"/>
      <x:c r="B20" s="386"/>
      <x:c r="C20" s="386"/>
      <x:c r="D20" s="387"/>
      <x:c r="E20" s="385"/>
      <x:c r="F20" s="386"/>
      <x:c r="G20" s="386"/>
      <x:c r="H20" s="387"/>
      <x:c r="I20" s="388"/>
      <x:c r="J20" s="389"/>
      <x:c r="K20" s="389"/>
      <x:c r="L20" s="390"/>
    </x:row>
    <x:row r="21">
      <x:c r="A21" s="391"/>
      <x:c r="B21" s="392"/>
      <x:c r="C21" s="392"/>
      <x:c r="D21" s="393"/>
      <x:c r="E21" s="391"/>
      <x:c r="F21" s="392"/>
      <x:c r="G21" s="392"/>
      <x:c r="H21" s="393"/>
      <x:c r="I21" s="394"/>
      <x:c r="J21" s="395"/>
      <x:c r="K21" s="395"/>
      <x:c r="L21" s="396"/>
    </x:row>
    <x:row r="22">
      <x:c r="A22" s="402"/>
      <x:c r="B22" s="402"/>
      <x:c r="C22" s="402"/>
      <x:c r="D22" s="402"/>
      <x:c r="E22" s="402"/>
      <x:c r="F22" s="402"/>
      <x:c r="G22" s="402"/>
      <x:c r="H22" s="402"/>
      <x:c r="I22" s="402"/>
      <x:c r="J22" s="402"/>
      <x:c r="K22" s="402"/>
      <x:c r="L22" s="402"/>
    </x:row>
    <x:row r="23" ht="22" customHeight="1">
      <x:c r="A23" s="33" t="str">
        <x:v>Scenario value per share</x:v>
      </x:c>
      <x:c r="B23" s="33"/>
      <x:c r="C23" s="33"/>
      <x:c r="D23" s="33"/>
      <x:c r="E23" s="33"/>
      <x:c r="F23" s="33"/>
      <x:c r="G23" s="33" t="str">
        <x:v>Base TPV and gross-profit path</x:v>
      </x:c>
      <x:c r="H23" s="33"/>
      <x:c r="I23" s="33"/>
      <x:c r="J23" s="33"/>
      <x:c r="K23" s="33"/>
      <x:c r="L23" s="33"/>
    </x:row>
    <x:row r="24">
      <x:c r="A24" s="402"/>
      <x:c r="B24" s="402"/>
      <x:c r="C24" s="402"/>
      <x:c r="D24" s="402"/>
      <x:c r="E24" s="402"/>
      <x:c r="F24" s="402"/>
      <x:c r="G24" s="402"/>
      <x:c r="H24" s="402"/>
      <x:c r="I24" s="402"/>
      <x:c r="J24" s="402"/>
      <x:c r="K24" s="402"/>
      <x:c r="L24" s="402"/>
    </x:row>
    <x:row r="25">
      <x:c r="A25" s="402"/>
      <x:c r="B25" s="402"/>
      <x:c r="C25" s="402"/>
      <x:c r="D25" s="402"/>
      <x:c r="E25" s="402"/>
      <x:c r="F25" s="402"/>
      <x:c r="G25" s="402"/>
      <x:c r="H25" s="402"/>
      <x:c r="I25" s="402"/>
      <x:c r="J25" s="402"/>
      <x:c r="K25" s="402"/>
      <x:c r="L25" s="402"/>
    </x:row>
    <x:row r="26">
      <x:c r="A26" s="402"/>
      <x:c r="B26" s="402"/>
      <x:c r="C26" s="402"/>
      <x:c r="D26" s="402"/>
      <x:c r="E26" s="402"/>
      <x:c r="F26" s="402"/>
      <x:c r="G26" s="402"/>
      <x:c r="H26" s="402"/>
      <x:c r="I26" s="402"/>
      <x:c r="J26" s="402"/>
      <x:c r="K26" s="402"/>
      <x:c r="L26" s="402"/>
    </x:row>
    <x:row r="27">
      <x:c r="A27" s="402"/>
      <x:c r="B27" s="402"/>
      <x:c r="C27" s="402"/>
      <x:c r="D27" s="402"/>
      <x:c r="E27" s="402"/>
      <x:c r="F27" s="402"/>
      <x:c r="G27" s="402"/>
      <x:c r="H27" s="402"/>
      <x:c r="I27" s="402"/>
      <x:c r="J27" s="402"/>
      <x:c r="K27" s="402"/>
      <x:c r="L27" s="402"/>
    </x:row>
    <x:row r="28">
      <x:c r="A28" s="402"/>
      <x:c r="B28" s="402"/>
      <x:c r="C28" s="402"/>
      <x:c r="D28" s="402"/>
      <x:c r="E28" s="402"/>
      <x:c r="F28" s="402"/>
      <x:c r="G28" s="402"/>
      <x:c r="H28" s="402"/>
      <x:c r="I28" s="402"/>
      <x:c r="J28" s="402"/>
      <x:c r="K28" s="402"/>
      <x:c r="L28" s="402"/>
    </x:row>
    <x:row r="29">
      <x:c r="A29" s="402"/>
      <x:c r="B29" s="402"/>
      <x:c r="C29" s="402"/>
      <x:c r="D29" s="402"/>
      <x:c r="E29" s="402"/>
      <x:c r="F29" s="402"/>
      <x:c r="G29" s="402"/>
      <x:c r="H29" s="402"/>
      <x:c r="I29" s="402"/>
      <x:c r="J29" s="402"/>
      <x:c r="K29" s="402"/>
      <x:c r="L29" s="402"/>
    </x:row>
    <x:row r="30">
      <x:c r="A30" s="402"/>
      <x:c r="B30" s="402"/>
      <x:c r="C30" s="402"/>
      <x:c r="D30" s="402"/>
      <x:c r="E30" s="402"/>
      <x:c r="F30" s="402"/>
      <x:c r="G30" s="402"/>
      <x:c r="H30" s="402"/>
      <x:c r="I30" s="402"/>
      <x:c r="J30" s="402"/>
      <x:c r="K30" s="402"/>
      <x:c r="L30" s="402"/>
    </x:row>
    <x:row r="31">
      <x:c r="A31" s="402"/>
      <x:c r="B31" s="402"/>
      <x:c r="C31" s="402"/>
      <x:c r="D31" s="402"/>
      <x:c r="E31" s="402"/>
      <x:c r="F31" s="402"/>
      <x:c r="G31" s="402"/>
      <x:c r="H31" s="402"/>
      <x:c r="I31" s="402"/>
      <x:c r="J31" s="402"/>
      <x:c r="K31" s="402"/>
      <x:c r="L31" s="402"/>
    </x:row>
    <x:row r="32">
      <x:c r="A32" s="402"/>
      <x:c r="B32" s="402"/>
      <x:c r="C32" s="402"/>
      <x:c r="D32" s="402"/>
      <x:c r="E32" s="402"/>
      <x:c r="F32" s="402"/>
      <x:c r="G32" s="402"/>
      <x:c r="H32" s="402"/>
      <x:c r="I32" s="402"/>
      <x:c r="J32" s="402"/>
      <x:c r="K32" s="402"/>
      <x:c r="L32" s="402"/>
    </x:row>
    <x:row r="33">
      <x:c r="A33" s="402"/>
      <x:c r="B33" s="402"/>
      <x:c r="C33" s="402"/>
      <x:c r="D33" s="402"/>
      <x:c r="E33" s="402"/>
      <x:c r="F33" s="402"/>
      <x:c r="G33" s="402"/>
      <x:c r="H33" s="402"/>
      <x:c r="I33" s="402"/>
      <x:c r="J33" s="402"/>
      <x:c r="K33" s="402"/>
      <x:c r="L33" s="402"/>
    </x:row>
    <x:row r="34">
      <x:c r="A34" s="402"/>
      <x:c r="B34" s="402"/>
      <x:c r="C34" s="402"/>
      <x:c r="D34" s="402"/>
      <x:c r="E34" s="402"/>
      <x:c r="F34" s="402"/>
      <x:c r="G34" s="402"/>
      <x:c r="H34" s="402"/>
      <x:c r="I34" s="402"/>
      <x:c r="J34" s="402"/>
      <x:c r="K34" s="402"/>
      <x:c r="L34" s="402"/>
    </x:row>
    <x:row r="35">
      <x:c r="A35" s="402"/>
      <x:c r="B35" s="402"/>
      <x:c r="C35" s="402"/>
      <x:c r="D35" s="402"/>
      <x:c r="E35" s="402"/>
      <x:c r="F35" s="402"/>
      <x:c r="G35" s="402"/>
      <x:c r="H35" s="402"/>
      <x:c r="I35" s="402"/>
      <x:c r="J35" s="402"/>
      <x:c r="K35" s="402"/>
      <x:c r="L35" s="402"/>
    </x:row>
    <x:row r="36" ht="22" customHeight="1">
      <x:c r="A36" s="33" t="str">
        <x:v>Method comparison and controls</x:v>
      </x:c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</x:row>
    <x:row r="37" ht="28" customHeight="1">
      <x:c r="A37" s="427" t="str">
        <x:v>Primary method</x:v>
      </x:c>
      <x:c r="B37" s="428" t="str">
        <x:v>FCFF DCF</x:v>
      </x:c>
      <x:c r="C37" s="427" t="str">
        <x:v>Range</x:v>
      </x:c>
      <x:c r="D37" s="428" t="str">
        <x:v>$13-$35</x:v>
      </x:c>
      <x:c r="E37" s="427" t="str">
        <x:v>Base</x:v>
      </x:c>
      <x:c r="F37" s="428" t="str">
        <x:v>~$23</x:v>
      </x:c>
      <x:c r="G37" s="427" t="str">
        <x:v>Market</x:v>
      </x:c>
      <x:c r="H37" s="428" t="str">
        <x:v>$14.77</x:v>
      </x:c>
      <x:c r="I37" s="427" t="str">
        <x:v>Upside</x:v>
      </x:c>
      <x:c r="J37" s="429" t="n">
        <x:f>'DCF'!I5/'Assumptions'!B6-1</x:f>
        <x:v>0.5350046973142373</x:v>
      </x:c>
      <x:c r="K37" s="427" t="str">
        <x:v>Status</x:v>
      </x:c>
      <x:c r="L37" s="428" t="str">
        <x:v>Screen-grade</x:v>
      </x:c>
    </x:row>
    <x:row r="38" ht="28" customHeight="1">
      <x:c r="A38" s="427" t="str">
        <x:v>Corroboration</x:v>
      </x:c>
      <x:c r="B38" s="428" t="str">
        <x:v>18x-22x 2026E P/E</x:v>
      </x:c>
      <x:c r="C38" s="427" t="str">
        <x:v>Read-through</x:v>
      </x:c>
      <x:c r="D38" s="428" t="str">
        <x:v>~$17-$21</x:v>
      </x:c>
      <x:c r="E38" s="427" t="str">
        <x:v>Reverse DCF</x:v>
      </x:c>
      <x:c r="F38" s="428" t="str">
        <x:v>~11.2% TPV growth</x:v>
      </x:c>
      <x:c r="G38" s="427" t="str">
        <x:v>WACC</x:v>
      </x:c>
      <x:c r="H38" s="428" t="str">
        <x:v>~11.7%</x:v>
      </x:c>
      <x:c r="I38" s="427" t="str">
        <x:v>TGR</x:v>
      </x:c>
      <x:c r="J38" s="428" t="str">
        <x:v>3.0%</x:v>
      </x:c>
      <x:c r="K38" s="427" t="str">
        <x:v>Checks</x:v>
      </x:c>
      <x:c r="L38" s="428" t="str">
        <x:f>'Checks'!D19</x:f>
        <x:v>OK — locally verified</x:v>
      </x:c>
    </x:row>
    <x:row r="39" ht="28" customHeight="1">
      <x:c r="A39" s="427" t="str">
        <x:v>Cash bridge</x:v>
      </x:c>
      <x:c r="B39" s="428" t="str">
        <x:v>Corporate only</x:v>
      </x:c>
      <x:c r="C39" s="427" t="str">
        <x:v>Merchant cash</x:v>
      </x:c>
      <x:c r="D39" s="428" t="str">
        <x:v>Excluded</x:v>
      </x:c>
      <x:c r="E39" s="427" t="str">
        <x:v>Dividend</x:v>
      </x:c>
      <x:c r="F39" s="428" t="str">
        <x:v>Deducted pro forma</x:v>
      </x:c>
      <x:c r="G39" s="427" t="str">
        <x:v>Shares</x:v>
      </x:c>
      <x:c r="H39" s="428" t="str">
        <x:v>301.1mm</x:v>
      </x:c>
      <x:c r="I39" s="427" t="str">
        <x:v>Buybacks</x:v>
      </x:c>
      <x:c r="J39" s="428" t="str">
        <x:v>Not assumed</x:v>
      </x:c>
      <x:c r="K39" s="427" t="str">
        <x:v>Currency</x:v>
      </x:c>
      <x:c r="L39" s="428" t="str">
        <x:v>USD</x:v>
      </x:c>
    </x:row>
    <x:row r="40" ht="28" customHeight="1">
      <x:c r="A40" s="427" t="str">
        <x:v>Next event</x:v>
      </x:c>
      <x:c r="B40" s="428" t="str">
        <x:v>Q2 2026 after valuation date</x:v>
      </x:c>
      <x:c r="C40" s="427" t="str">
        <x:v>Refresh</x:v>
      </x:c>
      <x:c r="D40" s="428" t="str">
        <x:v>Price, guidance, cash and TPV</x:v>
      </x:c>
      <x:c r="E40" s="427" t="str">
        <x:v>Owner</x:v>
      </x:c>
      <x:c r="F40" s="428" t="str">
        <x:v>Henry Adams</x:v>
      </x:c>
      <x:c r="G40" s="427" t="str">
        <x:v>Version</x:v>
      </x:c>
      <x:c r="H40" s="428" t="str">
        <x:v>v1</x:v>
      </x:c>
      <x:c r="I40" s="427" t="str">
        <x:v>Accounting</x:v>
      </x:c>
      <x:c r="J40" s="428" t="str">
        <x:v>IFRS</x:v>
      </x:c>
      <x:c r="K40" s="427" t="str">
        <x:v>Segment</x:v>
      </x:c>
      <x:c r="L40" s="428" t="str">
        <x:v>One</x:v>
      </x:c>
    </x:row>
    <x:row r="41" ht="36" customHeight="1">
      <x:c r="A41" s="430" t="str">
        <x:v>Limitation</x:v>
      </x:c>
      <x:c r="B41" s="430" t="str">
        <x:v>No consensus; peers not independently normalized; no native Excel recalculation; no independent review.</x:v>
      </x:c>
      <x:c r="C41" s="431" t="str">
        <x:v>No consensus; peers not independently normalized; no native Excel recalculation; no independent review.</x:v>
      </x:c>
      <x:c r="D41" s="431"/>
      <x:c r="E41" s="431"/>
      <x:c r="F41" s="431"/>
      <x:c r="G41" s="431"/>
      <x:c r="H41" s="431"/>
      <x:c r="I41" s="431"/>
      <x:c r="J41" s="431"/>
      <x:c r="K41" s="431"/>
      <x:c r="L41" s="431"/>
    </x:row>
  </x:sheetData>
  <x:mergeCells>
    <x:mergeCell ref="A1:L1"/>
    <x:mergeCell ref="A2:L2"/>
    <x:mergeCell ref="A4:C4"/>
    <x:mergeCell ref="A5:C7"/>
    <x:mergeCell ref="A8:C8"/>
    <x:mergeCell ref="D4:F4"/>
    <x:mergeCell ref="D5:F7"/>
    <x:mergeCell ref="D8:F8"/>
    <x:mergeCell ref="G4:I4"/>
    <x:mergeCell ref="G5:I7"/>
    <x:mergeCell ref="G8:I8"/>
    <x:mergeCell ref="J4:L4"/>
    <x:mergeCell ref="J5:L7"/>
    <x:mergeCell ref="J8:L8"/>
    <x:mergeCell ref="A11:F14"/>
    <x:mergeCell ref="G11:L14"/>
    <x:mergeCell ref="A17:D21"/>
    <x:mergeCell ref="E17:H21"/>
    <x:mergeCell ref="I17:L21"/>
    <x:mergeCell ref="A41:B41"/>
    <x:mergeCell ref="C41:L41"/>
  </x:mergeCells>
  <x:pageMargins left="0.7" right="0.7" top="0.75" bottom="0.75" header="0.3" footer="0.3"/>
  <x:drawing xmlns:r="http://schemas.openxmlformats.org/officeDocument/2006/relationships" r:id="R9c4afd80d11049d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3" hidden="0" customWidth="1"/>
    <x:col min="4" max="4" width="32" hidden="0" customWidth="1"/>
    <x:col min="5" max="5" width="16" hidden="0" customWidth="1"/>
    <x:col min="6" max="6" width="21" hidden="0" customWidth="1"/>
    <x:col min="7" max="7" width="27" hidden="0" customWidth="1"/>
    <x:col min="8" max="8" width="46" hidden="0" customWidth="1"/>
    <x:col min="9" max="9" width="39" hidden="0" customWidth="1"/>
    <x:col min="10" max="10" width="25" hidden="0" customWidth="1"/>
  </x:cols>
  <x:sheetData>
    <x:row r="1" ht="30" customHeight="1">
      <x:c r="A1" s="3" t="str">
        <x:v>dLocal (DLO) — Evidence and Source Register</x:v>
      </x:c>
      <x:c r="B1" s="3" t="str">
        <x:v>dLocal (DLO) — Evidence and Source Register</x:v>
      </x:c>
      <x:c r="C1" s="3" t="str">
        <x:v>dLocal (DLO) — Evidence and Source Register</x:v>
      </x:c>
      <x:c r="D1" s="3" t="str">
        <x:v>dLocal (DLO) — Evidence and Source Register</x:v>
      </x:c>
      <x:c r="E1" s="3" t="str">
        <x:v>dLocal (DLO) — Evidence and Source Register</x:v>
      </x:c>
      <x:c r="F1" s="3" t="str">
        <x:v>dLocal (DLO) — Evidence and Source Register</x:v>
      </x:c>
      <x:c r="G1" s="3" t="str">
        <x:v>dLocal (DLO) — Evidence and Source Register</x:v>
      </x:c>
      <x:c r="H1" s="3" t="str">
        <x:v>dLocal (DLO) — Evidence and Source Register</x:v>
      </x:c>
      <x:c r="I1" s="3" t="str">
        <x:v>dLocal (DLO) — Evidence and Source Register</x:v>
      </x:c>
      <x:c r="J1" s="3" t="str">
        <x:v>dLocal (DLO) — Evidence and Source Register</x:v>
      </x:c>
    </x:row>
    <x:row r="2">
      <x:c r="A2" s="402"/>
      <x:c r="B2" s="402"/>
      <x:c r="C2" s="402"/>
      <x:c r="D2" s="402"/>
      <x:c r="E2" s="402"/>
      <x:c r="F2" s="402"/>
      <x:c r="G2" s="402"/>
      <x:c r="H2" s="402"/>
      <x:c r="I2" s="402"/>
      <x:c r="J2" s="402"/>
    </x:row>
    <x:row r="3">
      <x:c r="A3" s="432" t="str">
        <x:v>ID</x:v>
      </x:c>
      <x:c r="B3" s="433" t="str">
        <x:v>Type</x:v>
      </x:c>
      <x:c r="C3" s="433" t="str">
        <x:v>Publisher</x:v>
      </x:c>
      <x:c r="D3" s="433" t="str">
        <x:v>Document</x:v>
      </x:c>
      <x:c r="E3" s="433" t="str">
        <x:v>Date</x:v>
      </x:c>
      <x:c r="F3" s="433" t="str">
        <x:v>Period / as-of</x:v>
      </x:c>
      <x:c r="G3" s="433" t="str">
        <x:v>Location</x:v>
      </x:c>
      <x:c r="H3" s="433" t="str">
        <x:v>URL</x:v>
      </x:c>
      <x:c r="I3" s="433" t="str">
        <x:v>Used for</x:v>
      </x:c>
      <x:c r="J3" s="434" t="str">
        <x:v>Status</x:v>
      </x:c>
    </x:row>
    <x:row r="4" ht="46" customHeight="1">
      <x:c r="A4" s="444" t="str">
        <x:v>S1</x:v>
      </x:c>
      <x:c r="B4" s="444" t="str">
        <x:v>Regulatory filing</x:v>
      </x:c>
      <x:c r="C4" s="444" t="str">
        <x:v>dLocal / SEC</x:v>
      </x:c>
      <x:c r="D4" s="444" t="str">
        <x:v>2025 Form 20-F</x:v>
      </x:c>
      <x:c r="E4" s="444" t="str">
        <x:v>2026-03-18</x:v>
      </x:c>
      <x:c r="F4" s="444" t="str">
        <x:v>FY2023-FY2025</x:v>
      </x:c>
      <x:c r="G4" s="444" t="str">
        <x:v>Financial statements and notes</x:v>
      </x:c>
      <x:c r="H4" s="445" t="str">
        <x:v>https://www.sec.gov/Archives/edgar/data/1846832/000207097926000113/dlo-20251231.htm</x:v>
      </x:c>
      <x:c r="I4" s="444" t="str">
        <x:v>IFRS history, entity, shares, cash flow, balance sheet</x:v>
      </x:c>
      <x:c r="J4" s="444" t="str">
        <x:v>Verified primary</x:v>
      </x:c>
    </x:row>
    <x:row r="5" ht="46" customHeight="1">
      <x:c r="A5" s="446" t="str">
        <x:v>S2</x:v>
      </x:c>
      <x:c r="B5" s="446" t="str">
        <x:v>IR / SEC exhibit</x:v>
      </x:c>
      <x:c r="C5" s="446" t="str">
        <x:v>dLocal</x:v>
      </x:c>
      <x:c r="D5" s="446" t="str">
        <x:v>Q4 2025 and FY2025 earnings release</x:v>
      </x:c>
      <x:c r="E5" s="446" t="str">
        <x:v>2026-03-18</x:v>
      </x:c>
      <x:c r="F5" s="446" t="str">
        <x:v>FY2024-FY2025</x:v>
      </x:c>
      <x:c r="G5" s="446" t="str">
        <x:v>Appendix and reconciliations</x:v>
      </x:c>
      <x:c r="H5" s="447" t="str">
        <x:v>https://www.sec.gov/Archives/edgar/data/1846832/000207097926000110/a991dlocal4q25_earningsres.htm</x:v>
      </x:c>
      <x:c r="I5" s="446" t="str">
        <x:v>TPV, revenue, GP, operating profit, guidance, cash policy</x:v>
      </x:c>
      <x:c r="J5" s="446" t="str">
        <x:v>Verified primary</x:v>
      </x:c>
    </x:row>
    <x:row r="6" ht="46" customHeight="1">
      <x:c r="A6" s="446" t="str">
        <x:v>S3</x:v>
      </x:c>
      <x:c r="B6" s="446" t="str">
        <x:v>IR / SEC exhibit</x:v>
      </x:c>
      <x:c r="C6" s="446" t="str">
        <x:v>dLocal</x:v>
      </x:c>
      <x:c r="D6" s="446" t="str">
        <x:v>Q4 2025 earnings presentation</x:v>
      </x:c>
      <x:c r="E6" s="446" t="str">
        <x:v>2026-03-18</x:v>
      </x:c>
      <x:c r="F6" s="446" t="str">
        <x:v>FY2024-FY2025</x:v>
      </x:c>
      <x:c r="G6" s="446" t="str">
        <x:v>Slides 9, 15, 33-46</x:v>
      </x:c>
      <x:c r="H6" s="447" t="str">
        <x:v>https://www.sec.gov/Archives/edgar/data/1846832/000207097926000110/a993dlocal_4q25xearnings.htm</x:v>
      </x:c>
      <x:c r="I6" s="446" t="str">
        <x:v>Non-IFRS reconciliation, FCF, net cash, peer caveat</x:v>
      </x:c>
      <x:c r="J6" s="446" t="str">
        <x:v>Verified primary</x:v>
      </x:c>
    </x:row>
    <x:row r="7" ht="46" customHeight="1">
      <x:c r="A7" s="446" t="str">
        <x:v>S4</x:v>
      </x:c>
      <x:c r="B7" s="446" t="str">
        <x:v>IR / SEC exhibit</x:v>
      </x:c>
      <x:c r="C7" s="446" t="str">
        <x:v>dLocal</x:v>
      </x:c>
      <x:c r="D7" s="446" t="str">
        <x:v>Q1 2026 earnings release</x:v>
      </x:c>
      <x:c r="E7" s="446" t="str">
        <x:v>2026-05-14</x:v>
      </x:c>
      <x:c r="F7" s="446" t="str">
        <x:v>Quarter ended 2026-03-31</x:v>
      </x:c>
      <x:c r="G7" s="446" t="str">
        <x:v>Financial tables and appendix</x:v>
      </x:c>
      <x:c r="H7" s="447" t="str">
        <x:v>https://www.sec.gov/Archives/edgar/data/1846832/000184683226000019/ex993dlocal1q26er.htm</x:v>
      </x:c>
      <x:c r="I7" s="446" t="str">
        <x:v>Latest operating KPIs, share count, cash flow, balance sheet</x:v>
      </x:c>
      <x:c r="J7" s="446" t="str">
        <x:v>Verified primary; unaudited</x:v>
      </x:c>
    </x:row>
    <x:row r="8" ht="46" customHeight="1">
      <x:c r="A8" s="446" t="str">
        <x:v>S5</x:v>
      </x:c>
      <x:c r="B8" s="446" t="str">
        <x:v>IR / SEC exhibit</x:v>
      </x:c>
      <x:c r="C8" s="446" t="str">
        <x:v>dLocal</x:v>
      </x:c>
      <x:c r="D8" s="446" t="str">
        <x:v>Q1 2026 financial statements</x:v>
      </x:c>
      <x:c r="E8" s="446" t="str">
        <x:v>2026-05-14</x:v>
      </x:c>
      <x:c r="F8" s="446" t="str">
        <x:v>Quarter ended 2026-03-31</x:v>
      </x:c>
      <x:c r="G8" s="446" t="str">
        <x:v>Interim financial tables</x:v>
      </x:c>
      <x:c r="H8" s="447" t="str">
        <x:v>https://www.sec.gov/Archives/edgar/data/1846832/000184683226000019/ex_992-dloxfinancialxstate.htm</x:v>
      </x:c>
      <x:c r="I8" s="446" t="str">
        <x:v>Financial liabilities and detailed share disclosures</x:v>
      </x:c>
      <x:c r="J8" s="446" t="str">
        <x:v>Verified primary; unaudited</x:v>
      </x:c>
    </x:row>
    <x:row r="9" ht="46" customHeight="1">
      <x:c r="A9" s="446" t="str">
        <x:v>S6</x:v>
      </x:c>
      <x:c r="B9" s="446" t="str">
        <x:v>IR / SEC exhibit</x:v>
      </x:c>
      <x:c r="C9" s="446" t="str">
        <x:v>dLocal</x:v>
      </x:c>
      <x:c r="D9" s="446" t="str">
        <x:v>FY2023 earnings release</x:v>
      </x:c>
      <x:c r="E9" s="446" t="str">
        <x:v>2024-03-18</x:v>
      </x:c>
      <x:c r="F9" s="446" t="str">
        <x:v>FY2022-FY2023</x:v>
      </x:c>
      <x:c r="G9" s="446" t="str">
        <x:v>Historical KPI tables</x:v>
      </x:c>
      <x:c r="H9" s="447" t="str">
        <x:v>https://www.sec.gov/Archives/edgar/data/1846832/000095017024033169/dlo-ex99_1.htm</x:v>
      </x:c>
      <x:c r="I9" s="446" t="str">
        <x:v>FY2022-FY2023 TPV, revenue, GP, EBITDA and net income</x:v>
      </x:c>
      <x:c r="J9" s="446" t="str">
        <x:v>Verified primary</x:v>
      </x:c>
    </x:row>
    <x:row r="10" ht="46" customHeight="1">
      <x:c r="A10" s="446" t="str">
        <x:v>S7</x:v>
      </x:c>
      <x:c r="B10" s="446" t="str">
        <x:v>Market snapshot</x:v>
      </x:c>
      <x:c r="C10" s="446" t="str">
        <x:v>MarketBeat / Massive</x:v>
      </x:c>
      <x:c r="D10" s="446" t="str">
        <x:v>DLO historical price snapshot</x:v>
      </x:c>
      <x:c r="E10" s="446" t="str">
        <x:v>2026-07-23</x:v>
      </x:c>
      <x:c r="F10" s="446" t="str">
        <x:v>2026-07-23 close</x:v>
      </x:c>
      <x:c r="G10" s="446" t="str">
        <x:v>Closing price</x:v>
      </x:c>
      <x:c r="H10" s="447" t="str">
        <x:v>https://www.marketbeat.com/stocks/NASDAQ/DLO/dividend/</x:v>
      </x:c>
      <x:c r="I10" s="446" t="str">
        <x:v>Market price $14.77</x:v>
      </x:c>
      <x:c r="J10" s="446" t="str">
        <x:v>Verified secondary; close</x:v>
      </x:c>
    </x:row>
    <x:row r="11" ht="46" customHeight="1">
      <x:c r="A11" s="446" t="str">
        <x:v>S8</x:v>
      </x:c>
      <x:c r="B11" s="446" t="str">
        <x:v>Market risk</x:v>
      </x:c>
      <x:c r="C11" s="446" t="str">
        <x:v>Federal Reserve Board</x:v>
      </x:c>
      <x:c r="D11" s="446" t="str">
        <x:v>H.15 Selected Interest Rates</x:v>
      </x:c>
      <x:c r="E11" s="446" t="str">
        <x:v>2026-07-23</x:v>
      </x:c>
      <x:c r="F11" s="446" t="str">
        <x:v>2026-07-23</x:v>
      </x:c>
      <x:c r="G11" s="446" t="str">
        <x:v>10-year Treasury constant maturity</x:v>
      </x:c>
      <x:c r="H11" s="447" t="str">
        <x:v>https://www.federalreserve.gov/releases/h15/</x:v>
      </x:c>
      <x:c r="I11" s="446" t="str">
        <x:v>Risk-free rate 4.67%</x:v>
      </x:c>
      <x:c r="J11" s="446" t="str">
        <x:v>Verified primary</x:v>
      </x:c>
    </x:row>
    <x:row r="12" ht="46" customHeight="1">
      <x:c r="A12" s="448" t="str">
        <x:v>S9</x:v>
      </x:c>
      <x:c r="B12" s="448" t="str">
        <x:v>Peer screen</x:v>
      </x:c>
      <x:c r="C12" s="448" t="str">
        <x:v>Public market pages / issuer materials</x:v>
      </x:c>
      <x:c r="D12" s="448" t="str">
        <x:v>PAYO, STNE and PAGS screening</x:v>
      </x:c>
      <x:c r="E12" s="448" t="str">
        <x:v>2026-07-23</x:v>
      </x:c>
      <x:c r="F12" s="448" t="str">
        <x:v>2026-07-23</x:v>
      </x:c>
      <x:c r="G12" s="448" t="str">
        <x:v>Public valuation pages</x:v>
      </x:c>
      <x:c r="H12" s="449" t="str">
        <x:v>https://stockanalysis.com/stocks/payo/statistics/</x:v>
      </x:c>
      <x:c r="I12" s="448" t="str">
        <x:v>Peer-role screen and comparability exclusions</x:v>
      </x:c>
      <x:c r="J12" s="448" t="str">
        <x:v>Secondary; not independently normalized</x:v>
      </x:c>
    </x:row>
    <x:row r="13">
      <x:c r="A13" s="402"/>
      <x:c r="B13" s="402"/>
      <x:c r="C13" s="402"/>
      <x:c r="D13" s="402"/>
      <x:c r="E13" s="402"/>
      <x:c r="F13" s="402"/>
      <x:c r="G13" s="402"/>
      <x:c r="H13" s="402"/>
      <x:c r="I13" s="402"/>
      <x:c r="J13" s="402"/>
    </x:row>
    <x:row r="14" ht="22" customHeight="1">
      <x:c r="A14" s="23" t="str">
        <x:v>Evidence boundaries</x:v>
      </x:c>
      <x:c r="B14" s="23"/>
      <x:c r="C14" s="23"/>
      <x:c r="D14" s="23"/>
      <x:c r="E14" s="23"/>
      <x:c r="F14" s="23"/>
      <x:c r="G14" s="23"/>
      <x:c r="H14" s="23"/>
      <x:c r="I14" s="23"/>
      <x:c r="J14" s="23"/>
    </x:row>
    <x:row r="15">
      <x:c r="A15" s="441" t="str">
        <x:v>Item</x:v>
      </x:c>
      <x:c r="B15" s="442" t="str">
        <x:v>Status</x:v>
      </x:c>
      <x:c r="C15" s="442" t="str">
        <x:v>Model treatment</x:v>
      </x:c>
      <x:c r="D15" s="443" t="str">
        <x:v>Decision implication</x:v>
      </x:c>
      <x:c r="E15" s="402"/>
      <x:c r="F15" s="402"/>
      <x:c r="G15" s="402"/>
      <x:c r="H15" s="402"/>
      <x:c r="I15" s="402"/>
      <x:c r="J15" s="402"/>
    </x:row>
    <x:row r="16" ht="40" customHeight="1">
      <x:c r="A16" s="444" t="str">
        <x:v>Current price</x:v>
      </x:c>
      <x:c r="B16" s="444" t="str">
        <x:v>Verified 2026-07-23 close</x:v>
      </x:c>
      <x:c r="C16" s="444" t="str">
        <x:v>$14.77 market reference</x:v>
      </x:c>
      <x:c r="D16" s="444" t="str">
        <x:v>Refresh before trading or after material news.</x:v>
      </x:c>
      <x:c r="E16" s="402"/>
      <x:c r="F16" s="402"/>
      <x:c r="G16" s="402"/>
      <x:c r="H16" s="402"/>
      <x:c r="I16" s="402"/>
      <x:c r="J16" s="402"/>
    </x:row>
    <x:row r="17" ht="40" customHeight="1">
      <x:c r="A17" s="446" t="str">
        <x:v>Consensus</x:v>
      </x:c>
      <x:c r="B17" s="446" t="str">
        <x:v>Unavailable</x:v>
      </x:c>
      <x:c r="C17" s="446" t="str">
        <x:v>No consensus estimates imported</x:v>
      </x:c>
      <x:c r="D17" s="446" t="str">
        <x:v>Forecasts are analyst judgments, not consensus.</x:v>
      </x:c>
      <x:c r="E17" s="402"/>
      <x:c r="F17" s="402"/>
      <x:c r="G17" s="402"/>
      <x:c r="H17" s="402"/>
      <x:c r="I17" s="402"/>
      <x:c r="J17" s="402"/>
    </x:row>
    <x:row r="18" ht="40" customHeight="1">
      <x:c r="A18" s="446" t="str">
        <x:v>Peer multiples</x:v>
      </x:c>
      <x:c r="B18" s="446" t="str">
        <x:v>Screen-grade</x:v>
      </x:c>
      <x:c r="C18" s="446" t="str">
        <x:v>Role-based comparison; no mechanical peer median</x:v>
      </x:c>
      <x:c r="D18" s="446" t="str">
        <x:v>Comps corroborate but do not anchor fair value.</x:v>
      </x:c>
      <x:c r="E18" s="402"/>
      <x:c r="F18" s="402"/>
      <x:c r="G18" s="402"/>
      <x:c r="H18" s="402"/>
      <x:c r="I18" s="402"/>
      <x:c r="J18" s="402"/>
    </x:row>
    <x:row r="19" ht="40" customHeight="1">
      <x:c r="A19" s="448" t="str">
        <x:v>Q2 2026</x:v>
      </x:c>
      <x:c r="B19" s="448" t="str">
        <x:v>Not yet reported</x:v>
      </x:c>
      <x:c r="C19" s="448" t="str">
        <x:v>Latest actual is Q1 2026</x:v>
      </x:c>
      <x:c r="D19" s="448" t="str">
        <x:v>Q2 event scheduled after valuation date; model may stale quickly.</x:v>
      </x:c>
      <x:c r="E19" s="402"/>
      <x:c r="F19" s="402"/>
      <x:c r="G19" s="402"/>
      <x:c r="H19" s="402"/>
      <x:c r="I19" s="402"/>
      <x:c r="J19" s="402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2" hidden="0" customWidth="1"/>
    <x:col min="7" max="7" width="16" hidden="0" customWidth="1"/>
    <x:col min="8" max="8" width="4" hidden="0" customWidth="1"/>
    <x:col min="9" max="9" width="42" hidden="0" customWidth="1"/>
  </x:cols>
  <x:sheetData>
    <x:row r="1" ht="30" customHeight="1">
      <x:c r="A1" s="3" t="str">
        <x:v>dLocal Valuation Assumptions</x:v>
      </x:c>
      <x:c r="B1" s="3" t="str">
        <x:v>dLocal Valuation Assumptions</x:v>
      </x:c>
      <x:c r="C1" s="3" t="str">
        <x:v>dLocal Valuation Assumptions</x:v>
      </x:c>
      <x:c r="D1" s="3" t="str">
        <x:v>dLocal Valuation Assumptions</x:v>
      </x:c>
      <x:c r="E1" s="3" t="str">
        <x:v>dLocal Valuation Assumptions</x:v>
      </x:c>
      <x:c r="F1" s="3" t="str">
        <x:v>dLocal Valuation Assumptions</x:v>
      </x:c>
      <x:c r="G1" s="3" t="str">
        <x:v>dLocal Valuation Assumptions</x:v>
      </x:c>
      <x:c r="H1" s="3" t="str">
        <x:v>dLocal Valuation Assumptions</x:v>
      </x:c>
      <x:c r="I1" s="3" t="str">
        <x:v>dLocal Valuation Assumptions</x:v>
      </x:c>
    </x:row>
    <x:row r="2">
      <x:c r="A2" s="323" t="str">
        <x:v>USD millions unless stated. Blue/yellow cells are analyst-editable. Forecasts are independent judgments; no consensus was used.</x:v>
      </x:c>
      <x:c r="B2" s="323"/>
      <x:c r="C2" s="323"/>
      <x:c r="D2" s="323"/>
      <x:c r="E2" s="323"/>
      <x:c r="F2" s="323"/>
      <x:c r="G2" s="323"/>
      <x:c r="H2" s="323"/>
      <x:c r="I2" s="323"/>
    </x:row>
    <x:row r="3" ht="22" customHeight="1">
      <x:c r="A3" s="33" t="str">
        <x:v>Shared valuation assumptions</x:v>
      </x:c>
      <x:c r="B3" s="33"/>
      <x:c r="C3" s="33"/>
      <x:c r="D3" s="33"/>
      <x:c r="E3" s="402"/>
      <x:c r="F3" s="33" t="str">
        <x:v>Common operating assumptions</x:v>
      </x:c>
      <x:c r="G3" s="33"/>
      <x:c r="H3" s="33"/>
      <x:c r="I3" s="33"/>
    </x:row>
    <x:row r="4">
      <x:c r="A4" s="432" t="str">
        <x:v>Assumption</x:v>
      </x:c>
      <x:c r="B4" s="433" t="str">
        <x:v>Value</x:v>
      </x:c>
      <x:c r="C4" s="433" t="str">
        <x:v>Unit</x:v>
      </x:c>
      <x:c r="D4" s="434" t="str">
        <x:v>Basis</x:v>
      </x:c>
      <x:c r="E4" s="402"/>
      <x:c r="F4" s="432" t="str">
        <x:v>Assumption</x:v>
      </x:c>
      <x:c r="G4" s="433" t="str">
        <x:v>Value</x:v>
      </x:c>
      <x:c r="H4" s="433" t="str">
        <x:v>Unit</x:v>
      </x:c>
      <x:c r="I4" s="434" t="str">
        <x:v>Rationale</x:v>
      </x:c>
    </x:row>
    <x:row r="5">
      <x:c r="A5" s="465" t="str">
        <x:v>Valuation date</x:v>
      </x:c>
      <x:c r="B5" s="466" t="n">
        <x:v>46226</x:v>
      </x:c>
      <x:c r="C5" s="465" t="str">
        <x:v>date</x:v>
      </x:c>
      <x:c r="D5" s="465" t="str">
        <x:v>Analyst convention</x:v>
      </x:c>
      <x:c r="E5" s="402"/>
      <x:c r="F5" s="465" t="str">
        <x:v>D&amp;A / gross profit</x:v>
      </x:c>
      <x:c r="G5" s="467" t="n">
        <x:v>0.065</x:v>
      </x:c>
      <x:c r="H5" s="465" t="str">
        <x:v>%</x:v>
      </x:c>
      <x:c r="I5" s="465" t="str">
        <x:v>Q1 2026 run-rate; normalized</x:v>
      </x:c>
    </x:row>
    <x:row r="6">
      <x:c r="A6" s="468" t="str">
        <x:v>Market price</x:v>
      </x:c>
      <x:c r="B6" s="469" t="n">
        <x:v>14.77</x:v>
      </x:c>
      <x:c r="C6" s="468" t="str">
        <x:v>$/share</x:v>
      </x:c>
      <x:c r="D6" s="468" t="str">
        <x:v>S7; 2026-07-23 close</x:v>
      </x:c>
      <x:c r="E6" s="402"/>
      <x:c r="F6" s="468" t="str">
        <x:v>Capex / gross profit</x:v>
      </x:c>
      <x:c r="G6" s="467" t="n">
        <x:v>0.08</x:v>
      </x:c>
      <x:c r="H6" s="468" t="str">
        <x:v>%</x:v>
      </x:c>
      <x:c r="I6" s="468" t="str">
        <x:v>Q1 2026 run-rate; includes intangibles</x:v>
      </x:c>
    </x:row>
    <x:row r="7">
      <x:c r="A7" s="468" t="str">
        <x:v>Diluted shares</x:v>
      </x:c>
      <x:c r="B7" s="470" t="n">
        <x:v>301.106</x:v>
      </x:c>
      <x:c r="C7" s="468" t="str">
        <x:v>mm</x:v>
      </x:c>
      <x:c r="D7" s="468" t="str">
        <x:v>S4; Q1 2026 weighted average diluted shares</x:v>
      </x:c>
      <x:c r="E7" s="402"/>
      <x:c r="F7" s="468" t="str">
        <x:v>Terminal growth</x:v>
      </x:c>
      <x:c r="G7" s="467" t="n">
        <x:v>0.03</x:v>
      </x:c>
      <x:c r="H7" s="468" t="str">
        <x:v>%</x:v>
      </x:c>
      <x:c r="I7" s="468" t="str">
        <x:v>Long-run nominal growth; below explicit fade</x:v>
      </x:c>
    </x:row>
    <x:row r="8">
      <x:c r="A8" s="468" t="str">
        <x:v>FY2025 TPV</x:v>
      </x:c>
      <x:c r="B8" s="470" t="n">
        <x:v>40.816</x:v>
      </x:c>
      <x:c r="C8" s="468" t="str">
        <x:v>$bn</x:v>
      </x:c>
      <x:c r="D8" s="468" t="str">
        <x:v>S2</x:v>
      </x:c>
      <x:c r="E8" s="402"/>
      <x:c r="F8" s="468" t="str">
        <x:v>Forecast horizon</x:v>
      </x:c>
      <x:c r="G8" s="471" t="n">
        <x:v>6</x:v>
      </x:c>
      <x:c r="H8" s="468" t="str">
        <x:v>years</x:v>
      </x:c>
      <x:c r="I8" s="468" t="str">
        <x:v>2026E-2031E</x:v>
      </x:c>
    </x:row>
    <x:row r="9">
      <x:c r="A9" s="468" t="str">
        <x:v>FY2025 gross profit</x:v>
      </x:c>
      <x:c r="B9" s="470" t="n">
        <x:v>402.756</x:v>
      </x:c>
      <x:c r="C9" s="468" t="str">
        <x:v>$mm</x:v>
      </x:c>
      <x:c r="D9" s="468" t="str">
        <x:v>S2</x:v>
      </x:c>
      <x:c r="E9" s="402"/>
      <x:c r="F9" s="468" t="str">
        <x:v>Discount convention</x:v>
      </x:c>
      <x:c r="G9" s="471" t="str">
        <x:v>Year-end</x:v>
      </x:c>
      <x:c r="H9" s="468" t="str">
        <x:v>text</x:v>
      </x:c>
      <x:c r="I9" s="468" t="str">
        <x:v>No mid-year convention</x:v>
      </x:c>
    </x:row>
    <x:row r="10">
      <x:c r="A10" s="468" t="str">
        <x:v>Corporate cash at 2026-03-31</x:v>
      </x:c>
      <x:c r="B10" s="470" t="n">
        <x:v>451.8</x:v>
      </x:c>
      <x:c r="C10" s="468" t="str">
        <x:v>$mm</x:v>
      </x:c>
      <x:c r="D10" s="468" t="str">
        <x:v>S4</x:v>
      </x:c>
      <x:c r="E10" s="402"/>
      <x:c r="F10" s="468" t="str">
        <x:v>Opening diluted shares</x:v>
      </x:c>
      <x:c r="G10" s="471" t="n">
        <x:v>301.106</x:v>
      </x:c>
      <x:c r="H10" s="468" t="str">
        <x:v>mm</x:v>
      </x:c>
      <x:c r="I10" s="468" t="str">
        <x:v>S4</x:v>
      </x:c>
    </x:row>
    <x:row r="11">
      <x:c r="A11" s="468" t="str">
        <x:v>Declared dividend paid 2026-06-10</x:v>
      </x:c>
      <x:c r="B11" s="470" t="n">
        <x:v>57.2</x:v>
      </x:c>
      <x:c r="C11" s="468" t="str">
        <x:v>$mm</x:v>
      </x:c>
      <x:c r="D11" s="468" t="str">
        <x:v>S2; deducted pro forma</x:v>
      </x:c>
      <x:c r="E11" s="402"/>
      <x:c r="F11" s="472" t="str">
        <x:v>Future buybacks</x:v>
      </x:c>
      <x:c r="G11" s="473" t="str">
        <x:v>None</x:v>
      </x:c>
      <x:c r="H11" s="472" t="str">
        <x:v>text</x:v>
      </x:c>
      <x:c r="I11" s="472" t="str">
        <x:v>Authorization is not modeled as execution</x:v>
      </x:c>
    </x:row>
    <x:row r="12">
      <x:c r="A12" s="468" t="str">
        <x:v>Financial liabilities</x:v>
      </x:c>
      <x:c r="B12" s="470" t="n">
        <x:v>106.944</x:v>
      </x:c>
      <x:c r="C12" s="468" t="str">
        <x:v>$mm</x:v>
      </x:c>
      <x:c r="D12" s="468" t="str">
        <x:v>S5; 2026-03-31</x:v>
      </x:c>
      <x:c r="E12" s="402"/>
      <x:c r="F12" s="402"/>
      <x:c r="G12" s="402"/>
      <x:c r="H12" s="402"/>
      <x:c r="I12" s="402"/>
    </x:row>
    <x:row r="13">
      <x:c r="A13" s="468" t="str">
        <x:v>Lease liabilities</x:v>
      </x:c>
      <x:c r="B13" s="470" t="n">
        <x:v>2.764</x:v>
      </x:c>
      <x:c r="C13" s="468" t="str">
        <x:v>$mm</x:v>
      </x:c>
      <x:c r="D13" s="468" t="str">
        <x:v>S5; 2026-03-31</x:v>
      </x:c>
      <x:c r="E13" s="402"/>
      <x:c r="F13" s="402"/>
      <x:c r="G13" s="402"/>
      <x:c r="H13" s="402"/>
      <x:c r="I13" s="402"/>
    </x:row>
    <x:row r="14">
      <x:c r="A14" s="468" t="str">
        <x:v>Pro forma net cash</x:v>
      </x:c>
      <x:c r="B14" s="474" t="n">
        <x:f>B10-B11-B12-B13</x:f>
        <x:v>284.892</x:v>
      </x:c>
      <x:c r="C14" s="468" t="str">
        <x:v>$mm</x:v>
      </x:c>
      <x:c r="D14" s="468" t="str">
        <x:v>Corporate cash less dividend, financial and lease liabilities</x:v>
      </x:c>
      <x:c r="E14" s="402"/>
      <x:c r="F14" s="402"/>
      <x:c r="G14" s="402"/>
      <x:c r="H14" s="402"/>
      <x:c r="I14" s="402"/>
    </x:row>
    <x:row r="15">
      <x:c r="A15" s="468" t="str">
        <x:v>Risk-free rate</x:v>
      </x:c>
      <x:c r="B15" s="467" t="n">
        <x:v>0.0467</x:v>
      </x:c>
      <x:c r="C15" s="468" t="str">
        <x:v>%</x:v>
      </x:c>
      <x:c r="D15" s="468" t="str">
        <x:v>S8; 10-year Treasury</x:v>
      </x:c>
      <x:c r="E15" s="402"/>
      <x:c r="F15" s="402"/>
      <x:c r="G15" s="402"/>
      <x:c r="H15" s="402"/>
      <x:c r="I15" s="402"/>
    </x:row>
    <x:row r="16">
      <x:c r="A16" s="468" t="str">
        <x:v>Beta</x:v>
      </x:c>
      <x:c r="B16" s="475" t="n">
        <x:v>1.05</x:v>
      </x:c>
      <x:c r="C16" s="468" t="str">
        <x:v>x</x:v>
      </x:c>
      <x:c r="D16" s="468" t="str">
        <x:v>Analyst judgment; no vendor beta</x:v>
      </x:c>
      <x:c r="E16" s="402"/>
      <x:c r="F16" s="402"/>
      <x:c r="G16" s="402"/>
      <x:c r="H16" s="402"/>
      <x:c r="I16" s="402"/>
    </x:row>
    <x:row r="17">
      <x:c r="A17" s="468" t="str">
        <x:v>Mature-market ERP</x:v>
      </x:c>
      <x:c r="B17" s="467" t="n">
        <x:v>0.045</x:v>
      </x:c>
      <x:c r="C17" s="468" t="str">
        <x:v>%</x:v>
      </x:c>
      <x:c r="D17" s="468" t="str">
        <x:v>Analyst judgment</x:v>
      </x:c>
      <x:c r="E17" s="402"/>
      <x:c r="F17" s="402"/>
      <x:c r="G17" s="402"/>
      <x:c r="H17" s="402"/>
      <x:c r="I17" s="402"/>
    </x:row>
    <x:row r="18">
      <x:c r="A18" s="468" t="str">
        <x:v>EM / company risk premium</x:v>
      </x:c>
      <x:c r="B18" s="467" t="n">
        <x:v>0.025</x:v>
      </x:c>
      <x:c r="C18" s="468" t="str">
        <x:v>%</x:v>
      </x:c>
      <x:c r="D18" s="468" t="str">
        <x:v>Analyst judgment for multi-country EM exposure</x:v>
      </x:c>
      <x:c r="E18" s="402"/>
      <x:c r="F18" s="402"/>
      <x:c r="G18" s="402"/>
      <x:c r="H18" s="402"/>
      <x:c r="I18" s="402"/>
    </x:row>
    <x:row r="19">
      <x:c r="A19" s="468" t="str">
        <x:v>Cost of equity</x:v>
      </x:c>
      <x:c r="B19" s="476" t="n">
        <x:f>B15+B16*B17+B18</x:f>
        <x:v>0.11895</x:v>
      </x:c>
      <x:c r="C19" s="468" t="str">
        <x:v>%</x:v>
      </x:c>
      <x:c r="D19" s="468" t="str">
        <x:v>CAPM plus EM/company premium</x:v>
      </x:c>
      <x:c r="E19" s="402"/>
      <x:c r="F19" s="402"/>
      <x:c r="G19" s="402"/>
      <x:c r="H19" s="402"/>
      <x:c r="I19" s="402"/>
    </x:row>
    <x:row r="20">
      <x:c r="A20" s="468" t="str">
        <x:v>Target debt weight</x:v>
      </x:c>
      <x:c r="B20" s="467" t="n">
        <x:v>0.03</x:v>
      </x:c>
      <x:c r="C20" s="468" t="str">
        <x:v>%</x:v>
      </x:c>
      <x:c r="D20" s="468" t="str">
        <x:v>Analyst judgment; conservative normalized structure</x:v>
      </x:c>
      <x:c r="E20" s="402"/>
      <x:c r="F20" s="402"/>
      <x:c r="G20" s="402"/>
      <x:c r="H20" s="402"/>
      <x:c r="I20" s="402"/>
    </x:row>
    <x:row r="21">
      <x:c r="A21" s="468" t="str">
        <x:v>Pre-tax cost of debt</x:v>
      </x:c>
      <x:c r="B21" s="467" t="n">
        <x:v>0.07</x:v>
      </x:c>
      <x:c r="C21" s="468" t="str">
        <x:v>%</x:v>
      </x:c>
      <x:c r="D21" s="468" t="str">
        <x:v>Analyst judgment</x:v>
      </x:c>
      <x:c r="E21" s="402"/>
      <x:c r="F21" s="402"/>
      <x:c r="G21" s="402"/>
      <x:c r="H21" s="402"/>
      <x:c r="I21" s="402"/>
    </x:row>
    <x:row r="22">
      <x:c r="A22" s="468" t="str">
        <x:v>Cash tax rate on debt</x:v>
      </x:c>
      <x:c r="B22" s="467" t="n">
        <x:v>0.16</x:v>
      </x:c>
      <x:c r="C22" s="468" t="str">
        <x:v>%</x:v>
      </x:c>
      <x:c r="D22" s="468" t="str">
        <x:v>Analyst judgment</x:v>
      </x:c>
      <x:c r="E22" s="402"/>
      <x:c r="F22" s="402"/>
      <x:c r="G22" s="402"/>
      <x:c r="H22" s="402"/>
      <x:c r="I22" s="402"/>
    </x:row>
    <x:row r="23">
      <x:c r="A23" s="468"/>
      <x:c r="B23" s="477"/>
      <x:c r="C23" s="468"/>
      <x:c r="D23" s="468"/>
      <x:c r="E23" s="402"/>
      <x:c r="F23" s="402"/>
      <x:c r="G23" s="402"/>
      <x:c r="H23" s="402"/>
      <x:c r="I23" s="402"/>
    </x:row>
    <x:row r="24">
      <x:c r="A24" s="472" t="str">
        <x:v>WACC</x:v>
      </x:c>
      <x:c r="B24" s="478" t="n">
        <x:f>B19*(1-B20)+B21*(1-B22)*B20</x:f>
        <x:v>0.1171455</x:v>
      </x:c>
      <x:c r="C24" s="472" t="str">
        <x:v>%</x:v>
      </x:c>
      <x:c r="D24" s="472" t="str">
        <x:v>Cost of equity/debt weighted by target capital structure</x:v>
      </x:c>
      <x:c r="E24" s="402"/>
      <x:c r="F24" s="402"/>
      <x:c r="G24" s="402"/>
      <x:c r="H24" s="402"/>
      <x:c r="I24" s="402"/>
    </x:row>
    <x:row r="25">
      <x:c r="A25" s="402"/>
      <x:c r="B25" s="402"/>
      <x:c r="C25" s="402"/>
      <x:c r="D25" s="402"/>
      <x:c r="E25" s="402"/>
      <x:c r="F25" s="402"/>
      <x:c r="G25" s="402"/>
      <x:c r="H25" s="402"/>
      <x:c r="I25" s="402"/>
    </x:row>
    <x:row r="26">
      <x:c r="A26" s="402"/>
      <x:c r="B26" s="402"/>
      <x:c r="C26" s="402"/>
      <x:c r="D26" s="402"/>
      <x:c r="E26" s="402"/>
      <x:c r="F26" s="402"/>
      <x:c r="G26" s="402"/>
      <x:c r="H26" s="402"/>
      <x:c r="I26" s="402"/>
    </x:row>
    <x:row r="27" ht="22" customHeight="1">
      <x:c r="A27" s="23" t="str">
        <x:v>Bear operating case</x:v>
      </x:c>
      <x:c r="B27" s="23"/>
      <x:c r="C27" s="23"/>
      <x:c r="D27" s="23"/>
      <x:c r="E27" s="23"/>
      <x:c r="F27" s="23"/>
      <x:c r="G27" s="23"/>
      <x:c r="H27" s="23"/>
      <x:c r="I27" s="23"/>
    </x:row>
    <x:row r="28">
      <x:c r="A28" s="432" t="str">
        <x:v>Driver</x:v>
      </x:c>
      <x:c r="B28" s="433" t="n">
        <x:v>2026</x:v>
      </x:c>
      <x:c r="C28" s="433" t="n">
        <x:v>2027</x:v>
      </x:c>
      <x:c r="D28" s="433" t="n">
        <x:v>2028</x:v>
      </x:c>
      <x:c r="E28" s="433" t="n">
        <x:v>2029</x:v>
      </x:c>
      <x:c r="F28" s="433" t="n">
        <x:v>2030</x:v>
      </x:c>
      <x:c r="G28" s="433" t="n">
        <x:v>2031</x:v>
      </x:c>
      <x:c r="H28" s="433"/>
      <x:c r="I28" s="434" t="str">
        <x:v>Basis</x:v>
      </x:c>
    </x:row>
    <x:row r="29">
      <x:c r="A29" s="465" t="str">
        <x:v>TPV growth</x:v>
      </x:c>
      <x:c r="B29" s="467" t="n">
        <x:v>0.5</x:v>
      </x:c>
      <x:c r="C29" s="467" t="n">
        <x:v>0.25</x:v>
      </x:c>
      <x:c r="D29" s="467" t="n">
        <x:v>0.2</x:v>
      </x:c>
      <x:c r="E29" s="467" t="n">
        <x:v>0.15</x:v>
      </x:c>
      <x:c r="F29" s="467" t="n">
        <x:v>0.1</x:v>
      </x:c>
      <x:c r="G29" s="467" t="n">
        <x:v>0.08</x:v>
      </x:c>
      <x:c r="H29" s="465"/>
      <x:c r="I29" s="465" t="str">
        <x:v>Scenario judgment</x:v>
      </x:c>
    </x:row>
    <x:row r="30">
      <x:c r="A30" s="468" t="str">
        <x:v>Gross profit / TPV</x:v>
      </x:c>
      <x:c r="B30" s="467" t="n">
        <x:v>0.0077</x:v>
      </x:c>
      <x:c r="C30" s="467" t="n">
        <x:v>0.0072</x:v>
      </x:c>
      <x:c r="D30" s="467" t="n">
        <x:v>0.007</x:v>
      </x:c>
      <x:c r="E30" s="467" t="n">
        <x:v>0.0069</x:v>
      </x:c>
      <x:c r="F30" s="467" t="n">
        <x:v>0.0069</x:v>
      </x:c>
      <x:c r="G30" s="467" t="n">
        <x:v>0.007</x:v>
      </x:c>
      <x:c r="H30" s="468"/>
      <x:c r="I30" s="468" t="str">
        <x:v>Mix and pricing path</x:v>
      </x:c>
    </x:row>
    <x:row r="31">
      <x:c r="A31" s="468" t="str">
        <x:v>Operating profit / gross profit</x:v>
      </x:c>
      <x:c r="B31" s="467" t="n">
        <x:v>0.52</x:v>
      </x:c>
      <x:c r="C31" s="467" t="n">
        <x:v>0.54</x:v>
      </x:c>
      <x:c r="D31" s="467" t="n">
        <x:v>0.56</x:v>
      </x:c>
      <x:c r="E31" s="467" t="n">
        <x:v>0.58</x:v>
      </x:c>
      <x:c r="F31" s="467" t="n">
        <x:v>0.59</x:v>
      </x:c>
      <x:c r="G31" s="467" t="n">
        <x:v>0.6</x:v>
      </x:c>
      <x:c r="H31" s="468"/>
      <x:c r="I31" s="468" t="str">
        <x:v>Operating leverage path</x:v>
      </x:c>
    </x:row>
    <x:row r="32">
      <x:c r="A32" s="472" t="str">
        <x:v>Cash tax rate</x:v>
      </x:c>
      <x:c r="B32" s="467" t="n">
        <x:v>0.18</x:v>
      </x:c>
      <x:c r="C32" s="479"/>
      <x:c r="D32" s="479"/>
      <x:c r="E32" s="479"/>
      <x:c r="F32" s="479"/>
      <x:c r="G32" s="479"/>
      <x:c r="H32" s="472"/>
      <x:c r="I32" s="472" t="str">
        <x:v>Normalized cash tax</x:v>
      </x:c>
    </x:row>
    <x:row r="33">
      <x:c r="A33" s="402" t="str">
        <x:v>Normalized ΔNWC / incremental GP</x:v>
      </x:c>
      <x:c r="B33" s="467" t="n">
        <x:v>0.05</x:v>
      </x:c>
      <x:c r="C33" s="402" t="str">
        <x:v>%</x:v>
      </x:c>
      <x:c r="D33" s="402" t="str">
        <x:v>Merchant settlement working capital excluded; corporate NWC proxy</x:v>
      </x:c>
      <x:c r="E33" s="402"/>
      <x:c r="F33" s="402"/>
      <x:c r="G33" s="402"/>
      <x:c r="H33" s="402"/>
      <x:c r="I33" s="402"/>
    </x:row>
    <x:row r="34">
      <x:c r="A34" s="402"/>
      <x:c r="B34" s="402"/>
      <x:c r="C34" s="402"/>
      <x:c r="D34" s="402"/>
      <x:c r="E34" s="402"/>
      <x:c r="F34" s="402"/>
      <x:c r="G34" s="402"/>
      <x:c r="H34" s="402"/>
      <x:c r="I34" s="402"/>
    </x:row>
    <x:row r="35" ht="22" customHeight="1">
      <x:c r="A35" s="33" t="str">
        <x:v>Base operating case</x:v>
      </x:c>
      <x:c r="B35" s="33"/>
      <x:c r="C35" s="33"/>
      <x:c r="D35" s="33"/>
      <x:c r="E35" s="33"/>
      <x:c r="F35" s="33"/>
      <x:c r="G35" s="33"/>
      <x:c r="H35" s="33"/>
      <x:c r="I35" s="33"/>
    </x:row>
    <x:row r="36">
      <x:c r="A36" s="432" t="str">
        <x:v>Driver</x:v>
      </x:c>
      <x:c r="B36" s="433" t="n">
        <x:v>2026</x:v>
      </x:c>
      <x:c r="C36" s="433" t="n">
        <x:v>2027</x:v>
      </x:c>
      <x:c r="D36" s="433" t="n">
        <x:v>2028</x:v>
      </x:c>
      <x:c r="E36" s="433" t="n">
        <x:v>2029</x:v>
      </x:c>
      <x:c r="F36" s="433" t="n">
        <x:v>2030</x:v>
      </x:c>
      <x:c r="G36" s="433" t="n">
        <x:v>2031</x:v>
      </x:c>
      <x:c r="H36" s="433"/>
      <x:c r="I36" s="434" t="str">
        <x:v>Basis</x:v>
      </x:c>
    </x:row>
    <x:row r="37">
      <x:c r="A37" s="465" t="str">
        <x:v>TPV growth</x:v>
      </x:c>
      <x:c r="B37" s="467" t="n">
        <x:v>0.55</x:v>
      </x:c>
      <x:c r="C37" s="467" t="n">
        <x:v>0.35</x:v>
      </x:c>
      <x:c r="D37" s="467" t="n">
        <x:v>0.28</x:v>
      </x:c>
      <x:c r="E37" s="467" t="n">
        <x:v>0.22</x:v>
      </x:c>
      <x:c r="F37" s="467" t="n">
        <x:v>0.18</x:v>
      </x:c>
      <x:c r="G37" s="467" t="n">
        <x:v>0.15</x:v>
      </x:c>
      <x:c r="H37" s="465"/>
      <x:c r="I37" s="465" t="str">
        <x:v>2026 guidance midpoint; analyst fade</x:v>
      </x:c>
    </x:row>
    <x:row r="38">
      <x:c r="A38" s="468" t="str">
        <x:v>Gross profit / TPV</x:v>
      </x:c>
      <x:c r="B38" s="467" t="n">
        <x:v>0.00796</x:v>
      </x:c>
      <x:c r="C38" s="467" t="n">
        <x:v>0.0078</x:v>
      </x:c>
      <x:c r="D38" s="467" t="n">
        <x:v>0.0077</x:v>
      </x:c>
      <x:c r="E38" s="467" t="n">
        <x:v>0.0077</x:v>
      </x:c>
      <x:c r="F38" s="467" t="n">
        <x:v>0.0078</x:v>
      </x:c>
      <x:c r="G38" s="467" t="n">
        <x:v>0.0079</x:v>
      </x:c>
      <x:c r="H38" s="468"/>
      <x:c r="I38" s="468" t="str">
        <x:v>Mix and pricing path</x:v>
      </x:c>
    </x:row>
    <x:row r="39">
      <x:c r="A39" s="468" t="str">
        <x:v>Operating profit / gross profit</x:v>
      </x:c>
      <x:c r="B39" s="467" t="n">
        <x:v>0.568</x:v>
      </x:c>
      <x:c r="C39" s="467" t="n">
        <x:v>0.6</x:v>
      </x:c>
      <x:c r="D39" s="467" t="n">
        <x:v>0.62</x:v>
      </x:c>
      <x:c r="E39" s="467" t="n">
        <x:v>0.64</x:v>
      </x:c>
      <x:c r="F39" s="467" t="n">
        <x:v>0.65</x:v>
      </x:c>
      <x:c r="G39" s="467" t="n">
        <x:v>0.66</x:v>
      </x:c>
      <x:c r="H39" s="468"/>
      <x:c r="I39" s="468" t="str">
        <x:v>Operating leverage path</x:v>
      </x:c>
    </x:row>
    <x:row r="40">
      <x:c r="A40" s="472" t="str">
        <x:v>Cash tax rate</x:v>
      </x:c>
      <x:c r="B40" s="467" t="n">
        <x:v>0.16</x:v>
      </x:c>
      <x:c r="C40" s="479"/>
      <x:c r="D40" s="479"/>
      <x:c r="E40" s="479"/>
      <x:c r="F40" s="479"/>
      <x:c r="G40" s="479"/>
      <x:c r="H40" s="472"/>
      <x:c r="I40" s="472" t="str">
        <x:v>Normalized cash tax</x:v>
      </x:c>
    </x:row>
    <x:row r="41">
      <x:c r="A41" s="402" t="str">
        <x:v>Normalized ΔNWC / incremental GP</x:v>
      </x:c>
      <x:c r="B41" s="467" t="n">
        <x:v>0.02</x:v>
      </x:c>
      <x:c r="C41" s="402" t="str">
        <x:v>%</x:v>
      </x:c>
      <x:c r="D41" s="402" t="str">
        <x:v>Merchant settlement working capital excluded; corporate NWC proxy</x:v>
      </x:c>
      <x:c r="E41" s="402"/>
      <x:c r="F41" s="402"/>
      <x:c r="G41" s="402"/>
      <x:c r="H41" s="402"/>
      <x:c r="I41" s="402"/>
    </x:row>
    <x:row r="42">
      <x:c r="A42" s="402"/>
      <x:c r="B42" s="402"/>
      <x:c r="C42" s="402"/>
      <x:c r="D42" s="402"/>
      <x:c r="E42" s="402"/>
      <x:c r="F42" s="402"/>
      <x:c r="G42" s="402"/>
      <x:c r="H42" s="402"/>
      <x:c r="I42" s="402"/>
    </x:row>
    <x:row r="43" ht="22" customHeight="1">
      <x:c r="A43" s="58" t="str">
        <x:v>Bull operating case</x:v>
      </x:c>
      <x:c r="B43" s="58"/>
      <x:c r="C43" s="58"/>
      <x:c r="D43" s="58"/>
      <x:c r="E43" s="58"/>
      <x:c r="F43" s="58"/>
      <x:c r="G43" s="58"/>
      <x:c r="H43" s="58"/>
      <x:c r="I43" s="58"/>
    </x:row>
    <x:row r="44">
      <x:c r="A44" s="432" t="str">
        <x:v>Driver</x:v>
      </x:c>
      <x:c r="B44" s="433" t="n">
        <x:v>2026</x:v>
      </x:c>
      <x:c r="C44" s="433" t="n">
        <x:v>2027</x:v>
      </x:c>
      <x:c r="D44" s="433" t="n">
        <x:v>2028</x:v>
      </x:c>
      <x:c r="E44" s="433" t="n">
        <x:v>2029</x:v>
      </x:c>
      <x:c r="F44" s="433" t="n">
        <x:v>2030</x:v>
      </x:c>
      <x:c r="G44" s="433" t="n">
        <x:v>2031</x:v>
      </x:c>
      <x:c r="H44" s="433"/>
      <x:c r="I44" s="434" t="str">
        <x:v>Basis</x:v>
      </x:c>
    </x:row>
    <x:row r="45">
      <x:c r="A45" s="465" t="str">
        <x:v>TPV growth</x:v>
      </x:c>
      <x:c r="B45" s="467" t="n">
        <x:v>0.6</x:v>
      </x:c>
      <x:c r="C45" s="467" t="n">
        <x:v>0.45</x:v>
      </x:c>
      <x:c r="D45" s="467" t="n">
        <x:v>0.35</x:v>
      </x:c>
      <x:c r="E45" s="467" t="n">
        <x:v>0.28</x:v>
      </x:c>
      <x:c r="F45" s="467" t="n">
        <x:v>0.23</x:v>
      </x:c>
      <x:c r="G45" s="467" t="n">
        <x:v>0.2</x:v>
      </x:c>
      <x:c r="H45" s="465"/>
      <x:c r="I45" s="465" t="str">
        <x:v>Scenario judgment</x:v>
      </x:c>
    </x:row>
    <x:row r="46">
      <x:c r="A46" s="468" t="str">
        <x:v>Gross profit / TPV</x:v>
      </x:c>
      <x:c r="B46" s="467" t="n">
        <x:v>0.0082</x:v>
      </x:c>
      <x:c r="C46" s="467" t="n">
        <x:v>0.0082</x:v>
      </x:c>
      <x:c r="D46" s="467" t="n">
        <x:v>0.0083</x:v>
      </x:c>
      <x:c r="E46" s="467" t="n">
        <x:v>0.0084</x:v>
      </x:c>
      <x:c r="F46" s="467" t="n">
        <x:v>0.0085</x:v>
      </x:c>
      <x:c r="G46" s="467" t="n">
        <x:v>0.0086</x:v>
      </x:c>
      <x:c r="H46" s="468"/>
      <x:c r="I46" s="468" t="str">
        <x:v>Mix and pricing path</x:v>
      </x:c>
    </x:row>
    <x:row r="47">
      <x:c r="A47" s="468" t="str">
        <x:v>Operating profit / gross profit</x:v>
      </x:c>
      <x:c r="B47" s="467" t="n">
        <x:v>0.6</x:v>
      </x:c>
      <x:c r="C47" s="467" t="n">
        <x:v>0.64</x:v>
      </x:c>
      <x:c r="D47" s="467" t="n">
        <x:v>0.67</x:v>
      </x:c>
      <x:c r="E47" s="467" t="n">
        <x:v>0.69</x:v>
      </x:c>
      <x:c r="F47" s="467" t="n">
        <x:v>0.7</x:v>
      </x:c>
      <x:c r="G47" s="467" t="n">
        <x:v>0.71</x:v>
      </x:c>
      <x:c r="H47" s="468"/>
      <x:c r="I47" s="468" t="str">
        <x:v>Operating leverage path</x:v>
      </x:c>
    </x:row>
    <x:row r="48">
      <x:c r="A48" s="472" t="str">
        <x:v>Cash tax rate</x:v>
      </x:c>
      <x:c r="B48" s="467" t="n">
        <x:v>0.15</x:v>
      </x:c>
      <x:c r="C48" s="479"/>
      <x:c r="D48" s="479"/>
      <x:c r="E48" s="479"/>
      <x:c r="F48" s="479"/>
      <x:c r="G48" s="479"/>
      <x:c r="H48" s="472"/>
      <x:c r="I48" s="472" t="str">
        <x:v>Normalized cash tax</x:v>
      </x:c>
    </x:row>
    <x:row r="49">
      <x:c r="A49" s="402" t="str">
        <x:v>Normalized ΔNWC / incremental GP</x:v>
      </x:c>
      <x:c r="B49" s="467" t="n">
        <x:v>0</x:v>
      </x:c>
      <x:c r="C49" s="402" t="str">
        <x:v>%</x:v>
      </x:c>
      <x:c r="D49" s="402" t="str">
        <x:v>Merchant settlement working capital excluded; corporate NWC proxy</x:v>
      </x:c>
      <x:c r="E49" s="402"/>
      <x:c r="F49" s="402"/>
      <x:c r="G49" s="402"/>
      <x:c r="H49" s="402"/>
      <x:c r="I49" s="402"/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5" hidden="0" customWidth="1"/>
    <x:col min="7" max="7" width="24" hidden="0" customWidth="1"/>
  </x:cols>
  <x:sheetData>
    <x:row r="1" ht="30" customHeight="1">
      <x:c r="A1" s="3" t="str">
        <x:v>Historical Financials and Operating KPIs</x:v>
      </x:c>
      <x:c r="B1" s="3" t="str">
        <x:v>Historical Financials and Operating KPIs</x:v>
      </x:c>
      <x:c r="C1" s="3" t="str">
        <x:v>Historical Financials and Operating KPIs</x:v>
      </x:c>
      <x:c r="D1" s="3" t="str">
        <x:v>Historical Financials and Operating KPIs</x:v>
      </x:c>
      <x:c r="E1" s="3" t="str">
        <x:v>Historical Financials and Operating KPIs</x:v>
      </x:c>
      <x:c r="F1" s="3" t="str">
        <x:v>Historical Financials and Operating KPIs</x:v>
      </x:c>
      <x:c r="G1" s="3" t="str">
        <x:v>Historical Financials and Operating KPIs</x:v>
      </x:c>
    </x:row>
    <x:row r="2">
      <x:c r="A2" s="323" t="str">
        <x:v>USD millions except TPV and per-share data • Fiscal years ended 31 December • Q1 2026 is unaudited.</x:v>
      </x:c>
      <x:c r="B2" s="323"/>
      <x:c r="C2" s="323"/>
      <x:c r="D2" s="323"/>
      <x:c r="E2" s="323"/>
      <x:c r="F2" s="323"/>
      <x:c r="G2" s="323"/>
    </x:row>
    <x:row r="3">
      <x:c r="A3" s="432" t="str">
        <x:v>Metric</x:v>
      </x:c>
      <x:c r="B3" s="433" t="str">
        <x:v>2022A</x:v>
      </x:c>
      <x:c r="C3" s="433" t="str">
        <x:v>2023A</x:v>
      </x:c>
      <x:c r="D3" s="433" t="str">
        <x:v>2024A</x:v>
      </x:c>
      <x:c r="E3" s="433" t="str">
        <x:v>2025A</x:v>
      </x:c>
      <x:c r="F3" s="433" t="str">
        <x:v>Q1 2026A</x:v>
      </x:c>
      <x:c r="G3" s="434" t="str">
        <x:v>Source</x:v>
      </x:c>
    </x:row>
    <x:row r="4">
      <x:c r="A4" s="465" t="str">
        <x:v>TPV ($bn)</x:v>
      </x:c>
      <x:c r="B4" s="487" t="n">
        <x:v>10.567</x:v>
      </x:c>
      <x:c r="C4" s="487" t="n">
        <x:v>17.677</x:v>
      </x:c>
      <x:c r="D4" s="487" t="n">
        <x:v>25.575</x:v>
      </x:c>
      <x:c r="E4" s="487" t="n">
        <x:v>40.816</x:v>
      </x:c>
      <x:c r="F4" s="487" t="n">
        <x:v>14.055</x:v>
      </x:c>
      <x:c r="G4" s="465" t="str">
        <x:v>S2 / S4 / S6</x:v>
      </x:c>
    </x:row>
    <x:row r="5">
      <x:c r="A5" s="468" t="str">
        <x:v>Revenue</x:v>
      </x:c>
      <x:c r="B5" s="488" t="n">
        <x:v>418.925</x:v>
      </x:c>
      <x:c r="C5" s="488" t="n">
        <x:v>650.351</x:v>
      </x:c>
      <x:c r="D5" s="488" t="n">
        <x:v>745.974</x:v>
      </x:c>
      <x:c r="E5" s="488" t="n">
        <x:v>1093.587</x:v>
      </x:c>
      <x:c r="F5" s="488" t="n">
        <x:v>335.862</x:v>
      </x:c>
      <x:c r="G5" s="468" t="str">
        <x:v>S2 / S4 / S6</x:v>
      </x:c>
    </x:row>
    <x:row r="6">
      <x:c r="A6" s="489" t="str">
        <x:v>Gross profit</x:v>
      </x:c>
      <x:c r="B6" s="490" t="n">
        <x:v>202.167</x:v>
      </x:c>
      <x:c r="C6" s="490" t="n">
        <x:v>276.859</x:v>
      </x:c>
      <x:c r="D6" s="490" t="n">
        <x:v>294.673</x:v>
      </x:c>
      <x:c r="E6" s="490" t="n">
        <x:v>402.756</x:v>
      </x:c>
      <x:c r="F6" s="490" t="n">
        <x:v>118.684</x:v>
      </x:c>
      <x:c r="G6" s="468" t="str">
        <x:v>S2 / S4 / S6</x:v>
      </x:c>
    </x:row>
    <x:row r="7">
      <x:c r="A7" s="468" t="str">
        <x:v>Operating profit</x:v>
      </x:c>
      <x:c r="B7" s="488"/>
      <x:c r="C7" s="488"/>
      <x:c r="D7" s="488" t="n">
        <x:v>140.8</x:v>
      </x:c>
      <x:c r="E7" s="488" t="n">
        <x:v>219.9</x:v>
      </x:c>
      <x:c r="F7" s="488" t="n">
        <x:v>52.772</x:v>
      </x:c>
      <x:c r="G7" s="468" t="str">
        <x:v>S2 / S4</x:v>
      </x:c>
    </x:row>
    <x:row r="8">
      <x:c r="A8" s="468" t="str">
        <x:v>Normalized operating profit</x:v>
      </x:c>
      <x:c r="B8" s="488"/>
      <x:c r="C8" s="488"/>
      <x:c r="D8" s="488" t="n">
        <x:v>140.8</x:v>
      </x:c>
      <x:c r="E8" s="488" t="n">
        <x:v>219.9</x:v>
      </x:c>
      <x:c r="F8" s="488" t="n">
        <x:v>57.2</x:v>
      </x:c>
      <x:c r="G8" s="468" t="str">
        <x:v>S2 / S4; Q1 ex prior-period tax</x:v>
      </x:c>
    </x:row>
    <x:row r="9">
      <x:c r="A9" s="468" t="str">
        <x:v>Adjusted EBITDA</x:v>
      </x:c>
      <x:c r="B9" s="488" t="n">
        <x:v>153.075</x:v>
      </x:c>
      <x:c r="C9" s="488" t="n">
        <x:v>202.332</x:v>
      </x:c>
      <x:c r="D9" s="488" t="n">
        <x:v>188.725</x:v>
      </x:c>
      <x:c r="E9" s="488" t="n">
        <x:v>278.077</x:v>
      </x:c>
      <x:c r="F9" s="488" t="n">
        <x:v>70</x:v>
      </x:c>
      <x:c r="G9" s="468" t="str">
        <x:v>S2 / S3 / S6; Q1 approximated from reconciliation</x:v>
      </x:c>
    </x:row>
    <x:row r="10">
      <x:c r="A10" s="489" t="str">
        <x:v>Net income</x:v>
      </x:c>
      <x:c r="B10" s="490" t="n">
        <x:v>108.697</x:v>
      </x:c>
      <x:c r="C10" s="490" t="n">
        <x:v>149.086</x:v>
      </x:c>
      <x:c r="D10" s="490" t="n">
        <x:v>120.469</x:v>
      </x:c>
      <x:c r="E10" s="490" t="n">
        <x:v>196.902</x:v>
      </x:c>
      <x:c r="F10" s="490" t="n">
        <x:v>41.936</x:v>
      </x:c>
      <x:c r="G10" s="468" t="str">
        <x:v>S2 / S4 / S6</x:v>
      </x:c>
    </x:row>
    <x:row r="11">
      <x:c r="A11" s="468" t="str">
        <x:v>Normalized net income</x:v>
      </x:c>
      <x:c r="B11" s="488" t="n">
        <x:v>108.697</x:v>
      </x:c>
      <x:c r="C11" s="488" t="n">
        <x:v>149.086</x:v>
      </x:c>
      <x:c r="D11" s="488" t="n">
        <x:v>120.469</x:v>
      </x:c>
      <x:c r="E11" s="488" t="n">
        <x:v>196.902</x:v>
      </x:c>
      <x:c r="F11" s="488" t="n">
        <x:v>51.6</x:v>
      </x:c>
      <x:c r="G11" s="468" t="str">
        <x:v>S4; Q1 ex prior-period tax</x:v>
      </x:c>
    </x:row>
    <x:row r="12">
      <x:c r="A12" s="468" t="str">
        <x:v>Operating cash flow</x:v>
      </x:c>
      <x:c r="B12" s="488"/>
      <x:c r="C12" s="488"/>
      <x:c r="D12" s="488"/>
      <x:c r="E12" s="488" t="n">
        <x:v>313.9</x:v>
      </x:c>
      <x:c r="F12" s="488" t="n">
        <x:v>92.781</x:v>
      </x:c>
      <x:c r="G12" s="468" t="str">
        <x:v>S3 / S4</x:v>
      </x:c>
    </x:row>
    <x:row r="13">
      <x:c r="A13" s="468" t="str">
        <x:v>Capital expenditures</x:v>
      </x:c>
      <x:c r="B13" s="488"/>
      <x:c r="C13" s="488"/>
      <x:c r="D13" s="488"/>
      <x:c r="E13" s="488" t="n">
        <x:v>35.6</x:v>
      </x:c>
      <x:c r="F13" s="488" t="n">
        <x:v>9.738</x:v>
      </x:c>
      <x:c r="G13" s="468" t="str">
        <x:v>S3 / S4</x:v>
      </x:c>
    </x:row>
    <x:row r="14">
      <x:c r="A14" s="489" t="str">
        <x:v>Adjusted free cash flow</x:v>
      </x:c>
      <x:c r="B14" s="490"/>
      <x:c r="C14" s="490"/>
      <x:c r="D14" s="490" t="n">
        <x:v>91.7</x:v>
      </x:c>
      <x:c r="E14" s="490" t="n">
        <x:v>191</x:v>
      </x:c>
      <x:c r="F14" s="490" t="n">
        <x:v>14.652</x:v>
      </x:c>
      <x:c r="G14" s="468" t="str">
        <x:v>S3 / S4</x:v>
      </x:c>
    </x:row>
    <x:row r="15">
      <x:c r="A15" s="468" t="str">
        <x:v>D&amp;A</x:v>
      </x:c>
      <x:c r="B15" s="488"/>
      <x:c r="C15" s="488"/>
      <x:c r="D15" s="488" t="n">
        <x:v>17.177</x:v>
      </x:c>
      <x:c r="E15" s="488" t="n">
        <x:v>26.259</x:v>
      </x:c>
      <x:c r="F15" s="488" t="n">
        <x:v>7.715</x:v>
      </x:c>
      <x:c r="G15" s="468" t="str">
        <x:v>S3 / S4</x:v>
      </x:c>
    </x:row>
    <x:row r="16">
      <x:c r="A16" s="468" t="str">
        <x:v>Diluted weighted-average shares</x:v>
      </x:c>
      <x:c r="B16" s="488"/>
      <x:c r="C16" s="488"/>
      <x:c r="D16" s="488"/>
      <x:c r="E16" s="488" t="n">
        <x:v>302.9</x:v>
      </x:c>
      <x:c r="F16" s="488" t="n">
        <x:v>301.106</x:v>
      </x:c>
      <x:c r="G16" s="468" t="str">
        <x:v>S2 / S4</x:v>
      </x:c>
    </x:row>
    <x:row r="17">
      <x:c r="A17" s="468" t="str">
        <x:v>Diluted EPS</x:v>
      </x:c>
      <x:c r="B17" s="491"/>
      <x:c r="C17" s="491"/>
      <x:c r="D17" s="491" t="n">
        <x:v>0.39</x:v>
      </x:c>
      <x:c r="E17" s="491" t="n">
        <x:v>0.65</x:v>
      </x:c>
      <x:c r="F17" s="491" t="n">
        <x:v>0.14</x:v>
      </x:c>
      <x:c r="G17" s="468" t="str">
        <x:v>S2 / S4</x:v>
      </x:c>
    </x:row>
    <x:row r="18">
      <x:c r="A18" s="472" t="str">
        <x:v>Corporate cash</x:v>
      </x:c>
      <x:c r="B18" s="492"/>
      <x:c r="C18" s="492"/>
      <x:c r="D18" s="492" t="n">
        <x:v>317.8</x:v>
      </x:c>
      <x:c r="E18" s="492" t="n">
        <x:v>424.5</x:v>
      </x:c>
      <x:c r="F18" s="492" t="n">
        <x:v>451.8</x:v>
      </x:c>
      <x:c r="G18" s="472" t="str">
        <x:v>S3 / S4</x:v>
      </x:c>
    </x:row>
    <x:row r="19">
      <x:c r="A19" s="402"/>
      <x:c r="B19" s="402"/>
      <x:c r="C19" s="402"/>
      <x:c r="D19" s="402"/>
      <x:c r="E19" s="402"/>
      <x:c r="F19" s="402"/>
      <x:c r="G19" s="402"/>
    </x:row>
    <x:row r="20" ht="22" customHeight="1">
      <x:c r="A20" s="33" t="str">
        <x:v>Historical interpretation</x:v>
      </x:c>
      <x:c r="B20" s="33"/>
      <x:c r="C20" s="33"/>
      <x:c r="D20" s="33"/>
      <x:c r="E20" s="33"/>
      <x:c r="F20" s="33"/>
      <x:c r="G20" s="33"/>
    </x:row>
    <x:row r="21" ht="34" customHeight="1">
      <x:c r="A21" s="493" t="str">
        <x:v>Scale</x:v>
      </x:c>
      <x:c r="B21" s="428" t="str">
        <x:v>TPV grew 60% in 2025 and another 73% year over year in Q1 2026; 2026 guidance calls for 50%-60% growth.</x:v>
      </x:c>
      <x:c r="C21" s="428"/>
      <x:c r="D21" s="428"/>
      <x:c r="E21" s="428"/>
      <x:c r="F21" s="428"/>
      <x:c r="G21" s="428"/>
    </x:row>
    <x:row r="22" ht="34" customHeight="1">
      <x:c r="A22" s="493" t="str">
        <x:v>Monetization</x:v>
      </x:c>
      <x:c r="B22" s="428" t="str">
        <x:v>Gross profit grew, but GP/TPV compressed as local-to-local and payout mix expanded.</x:v>
      </x:c>
      <x:c r="C22" s="428"/>
      <x:c r="D22" s="428"/>
      <x:c r="E22" s="428"/>
      <x:c r="F22" s="428"/>
      <x:c r="G22" s="428"/>
    </x:row>
    <x:row r="23" ht="34" customHeight="1">
      <x:c r="A23" s="493" t="str">
        <x:v>Cash conversion</x:v>
      </x:c>
      <x:c r="B23" s="428" t="str">
        <x:v>Merchant working capital is volatile; valuation uses normalized corporate NWC and excludes merchant cash from the equity bridge.</x:v>
      </x:c>
      <x:c r="C23" s="428"/>
      <x:c r="D23" s="428"/>
      <x:c r="E23" s="428"/>
      <x:c r="F23" s="428"/>
      <x:c r="G23" s="428"/>
    </x:row>
  </x:sheetData>
  <x:mergeCells>
    <x:mergeCell ref="A1:G1"/>
    <x:mergeCell ref="A2:G2"/>
    <x:mergeCell ref="B21:G21"/>
    <x:mergeCell ref="B22:G22"/>
    <x:mergeCell ref="B23:G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40" hidden="0" customWidth="1"/>
  </x:cols>
  <x:sheetData>
    <x:row r="1" ht="30" customHeight="1">
      <x:c r="A1" s="3" t="str">
        <x:v>Unit Economics and Normalization</x:v>
      </x:c>
      <x:c r="B1" s="3" t="str">
        <x:v>Unit Economics and Normalization</x:v>
      </x:c>
      <x:c r="C1" s="3" t="str">
        <x:v>Unit Economics and Normalization</x:v>
      </x:c>
      <x:c r="D1" s="3" t="str">
        <x:v>Unit Economics and Normalization</x:v>
      </x:c>
      <x:c r="E1" s="3" t="str">
        <x:v>Unit Economics and Normalization</x:v>
      </x:c>
      <x:c r="F1" s="3" t="str">
        <x:v>Unit Economics and Normalization</x:v>
      </x:c>
      <x:c r="G1" s="3" t="str">
        <x:v>Unit Economics and Normalization</x:v>
      </x:c>
    </x:row>
    <x:row r="2">
      <x:c r="A2" s="323" t="str">
        <x:v>Formulas translate reported volume into monetization and profitability. Q1 ratios are not annualized unless noted.</x:v>
      </x:c>
      <x:c r="B2" s="323"/>
      <x:c r="C2" s="323"/>
      <x:c r="D2" s="323"/>
      <x:c r="E2" s="323"/>
      <x:c r="F2" s="323"/>
      <x:c r="G2" s="323"/>
    </x:row>
    <x:row r="3">
      <x:c r="A3" s="432" t="str">
        <x:v>Metric</x:v>
      </x:c>
      <x:c r="B3" s="433" t="str">
        <x:v>2022A</x:v>
      </x:c>
      <x:c r="C3" s="433" t="str">
        <x:v>2023A</x:v>
      </x:c>
      <x:c r="D3" s="433" t="str">
        <x:v>2024A</x:v>
      </x:c>
      <x:c r="E3" s="433" t="str">
        <x:v>2025A</x:v>
      </x:c>
      <x:c r="F3" s="433" t="str">
        <x:v>Q1 2026A</x:v>
      </x:c>
      <x:c r="G3" s="434" t="str">
        <x:v>Interpretation</x:v>
      </x:c>
    </x:row>
    <x:row r="4">
      <x:c r="A4" s="465" t="str">
        <x:v>Revenue / TPV</x:v>
      </x:c>
      <x:c r="B4" s="495" t="n">
        <x:f>'Historicals'!B5/('Historicals'!B4*1000)</x:f>
        <x:v>0.03964464843380335</x:v>
      </x:c>
      <x:c r="C4" s="495" t="n">
        <x:f>'Historicals'!C5/('Historicals'!C4*1000)</x:f>
        <x:v>0.03679080160660746</x:v>
      </x:c>
      <x:c r="D4" s="495" t="n">
        <x:f>'Historicals'!D5/('Historicals'!D4*1000)</x:f>
        <x:v>0.02916809384164223</x:v>
      </x:c>
      <x:c r="E4" s="495" t="n">
        <x:f>'Historicals'!E5/('Historicals'!E4*1000)</x:f>
        <x:v>0.02679309584476676</x:v>
      </x:c>
      <x:c r="F4" s="495" t="n">
        <x:f>'Historicals'!F5/('Historicals'!F4*1000)</x:f>
        <x:v>0.023896264674493066</x:v>
      </x:c>
      <x:c r="G4" s="465" t="str">
        <x:v>Revenue includes pass-through and FX effects.</x:v>
      </x:c>
    </x:row>
    <x:row r="5">
      <x:c r="A5" s="468" t="str">
        <x:v>Gross profit / TPV</x:v>
      </x:c>
      <x:c r="B5" s="476" t="n">
        <x:f>'Historicals'!B6/('Historicals'!B4*1000)</x:f>
        <x:v>0.019131920128702566</x:v>
      </x:c>
      <x:c r="C5" s="476" t="n">
        <x:f>'Historicals'!C6/('Historicals'!C4*1000)</x:f>
        <x:v>0.01566210329807094</x:v>
      </x:c>
      <x:c r="D5" s="476" t="n">
        <x:f>'Historicals'!D6/('Historicals'!D4*1000)</x:f>
        <x:v>0.011521915933528836</x:v>
      </x:c>
      <x:c r="E5" s="476" t="n">
        <x:f>'Historicals'!E6/('Historicals'!E4*1000)</x:f>
        <x:v>0.009867600940807526</x:v>
      </x:c>
      <x:c r="F5" s="476" t="n">
        <x:f>'Historicals'!F6/('Historicals'!F4*1000)</x:f>
        <x:v>0.008444254713625044</x:v>
      </x:c>
      <x:c r="G5" s="468" t="str">
        <x:v>Primary monetization driver.</x:v>
      </x:c>
    </x:row>
    <x:row r="6">
      <x:c r="A6" s="468" t="str">
        <x:v>Gross margin</x:v>
      </x:c>
      <x:c r="B6" s="476" t="n">
        <x:f>'Historicals'!B6/'Historicals'!B5</x:f>
        <x:v>0.48258518827952496</x:v>
      </x:c>
      <x:c r="C6" s="476" t="n">
        <x:f>'Historicals'!C6/'Historicals'!C5</x:f>
        <x:v>0.42570704127463477</x:v>
      </x:c>
      <x:c r="D6" s="476" t="n">
        <x:f>'Historicals'!D6/'Historicals'!D5</x:f>
        <x:v>0.39501778882373917</x:v>
      </x:c>
      <x:c r="E6" s="476" t="n">
        <x:f>'Historicals'!E6/'Historicals'!E5</x:f>
        <x:v>0.3682889427178633</x:v>
      </x:c>
      <x:c r="F6" s="476" t="n">
        <x:f>'Historicals'!F6/'Historicals'!F5</x:f>
        <x:v>0.3533713251275821</x:v>
      </x:c>
      <x:c r="G6" s="468" t="str">
        <x:v>Mix and pricing.</x:v>
      </x:c>
    </x:row>
    <x:row r="7">
      <x:c r="A7" s="468" t="str">
        <x:v>Adjusted EBITDA / gross profit</x:v>
      </x:c>
      <x:c r="B7" s="476" t="n">
        <x:f>'Historicals'!B9/'Historicals'!B6</x:f>
        <x:v>0.7571710516553146</x:v>
      </x:c>
      <x:c r="C7" s="476" t="n">
        <x:f>'Historicals'!C9/'Historicals'!C6</x:f>
        <x:v>0.7308124352107029</x:v>
      </x:c>
      <x:c r="D7" s="476" t="n">
        <x:f>'Historicals'!D9/'Historicals'!D6</x:f>
        <x:v>0.6404556915631904</x:v>
      </x:c>
      <x:c r="E7" s="476" t="n">
        <x:f>'Historicals'!E9/'Historicals'!E6</x:f>
        <x:v>0.6904354000933568</x:v>
      </x:c>
      <x:c r="F7" s="476" t="n">
        <x:f>'Historicals'!F9/'Historicals'!F6</x:f>
        <x:v>0.5898014896700482</x:v>
      </x:c>
      <x:c r="G7" s="468" t="str">
        <x:v>Management segment profitability.</x:v>
      </x:c>
    </x:row>
    <x:row r="8">
      <x:c r="A8" s="468" t="str">
        <x:v>Operating profit / gross profit</x:v>
      </x:c>
      <x:c r="B8" s="476" t="n">
        <x:f>'Historicals'!B7/'Historicals'!B6</x:f>
        <x:v>0</x:v>
      </x:c>
      <x:c r="C8" s="476" t="n">
        <x:f>'Historicals'!C7/'Historicals'!C6</x:f>
        <x:v>0</x:v>
      </x:c>
      <x:c r="D8" s="476" t="n">
        <x:f>'Historicals'!D7/'Historicals'!D6</x:f>
        <x:v>0.47781778445938383</x:v>
      </x:c>
      <x:c r="E8" s="476" t="n">
        <x:f>'Historicals'!E7/'Historicals'!E6</x:f>
        <x:v>0.5459881417036618</x:v>
      </x:c>
      <x:c r="F8" s="476" t="n">
        <x:f>'Historicals'!F7/'Historicals'!F6</x:f>
        <x:v>0.4446429173266826</x:v>
      </x:c>
      <x:c r="G8" s="468" t="str">
        <x:v>Reported operating efficiency.</x:v>
      </x:c>
    </x:row>
    <x:row r="9">
      <x:c r="A9" s="468" t="str">
        <x:v>Normalized operating profit / gross profit</x:v>
      </x:c>
      <x:c r="B9" s="476" t="n">
        <x:f>'Historicals'!B8/'Historicals'!B6</x:f>
        <x:v>0</x:v>
      </x:c>
      <x:c r="C9" s="476" t="n">
        <x:f>'Historicals'!C8/'Historicals'!C6</x:f>
        <x:v>0</x:v>
      </x:c>
      <x:c r="D9" s="476" t="n">
        <x:f>'Historicals'!D8/'Historicals'!D6</x:f>
        <x:v>0.47781778445938383</x:v>
      </x:c>
      <x:c r="E9" s="476" t="n">
        <x:f>'Historicals'!E8/'Historicals'!E6</x:f>
        <x:v>0.5459881417036618</x:v>
      </x:c>
      <x:c r="F9" s="476" t="n">
        <x:f>'Historicals'!F8/'Historicals'!F6</x:f>
        <x:v>0.48195207441609655</x:v>
      </x:c>
      <x:c r="G9" s="468" t="str">
        <x:v>Preferred near-term operating measure.</x:v>
      </x:c>
    </x:row>
    <x:row r="10">
      <x:c r="A10" s="472" t="str">
        <x:v>Adjusted FCF / net income</x:v>
      </x:c>
      <x:c r="B10" s="478" t="n">
        <x:f>'Historicals'!B14/'Historicals'!B10</x:f>
        <x:v>0</x:v>
      </x:c>
      <x:c r="C10" s="478" t="n">
        <x:f>'Historicals'!C14/'Historicals'!C10</x:f>
        <x:v>0</x:v>
      </x:c>
      <x:c r="D10" s="478" t="n">
        <x:f>'Historicals'!D14/'Historicals'!D10</x:f>
        <x:v>0.7611916758668206</x:v>
      </x:c>
      <x:c r="E10" s="478" t="n">
        <x:f>'Historicals'!E14/'Historicals'!E10</x:f>
        <x:v>0.9700256980629959</x:v>
      </x:c>
      <x:c r="F10" s="478" t="n">
        <x:f>'Historicals'!F14/'Historicals'!F10</x:f>
        <x:v>0.34938954597481875</x:v>
      </x:c>
      <x:c r="G10" s="472" t="str">
        <x:v>Merchant-WC-adjusted cash conversion.</x:v>
      </x:c>
    </x:row>
    <x:row r="11">
      <x:c r="A11" s="402"/>
      <x:c r="B11" s="402"/>
      <x:c r="C11" s="402"/>
      <x:c r="D11" s="402"/>
      <x:c r="E11" s="402"/>
      <x:c r="F11" s="402"/>
      <x:c r="G11" s="402"/>
    </x:row>
    <x:row r="12" ht="22" customHeight="1">
      <x:c r="A12" s="33" t="str">
        <x:v>Normalization register</x:v>
      </x:c>
      <x:c r="B12" s="33"/>
      <x:c r="C12" s="33"/>
      <x:c r="D12" s="33"/>
      <x:c r="E12" s="33"/>
      <x:c r="F12" s="33"/>
      <x:c r="G12" s="33"/>
    </x:row>
    <x:row r="13">
      <x:c r="A13" s="441" t="str">
        <x:v>Item</x:v>
      </x:c>
      <x:c r="B13" s="442" t="str">
        <x:v>Reported effect</x:v>
      </x:c>
      <x:c r="C13" s="442" t="str">
        <x:v>Classification</x:v>
      </x:c>
      <x:c r="D13" s="442" t="str">
        <x:v>Model treatment</x:v>
      </x:c>
      <x:c r="E13" s="443" t="str">
        <x:v>Source</x:v>
      </x:c>
      <x:c r="F13" s="402"/>
      <x:c r="G13" s="402"/>
    </x:row>
    <x:row r="14" ht="36" customHeight="1">
      <x:c r="A14" s="444" t="str">
        <x:v>Q1 prior-period tax adjustment</x:v>
      </x:c>
      <x:c r="B14" s="444" t="str">
        <x:v>$9.7mm total</x:v>
      </x:c>
      <x:c r="C14" s="444" t="str">
        <x:v>Non-recurring</x:v>
      </x:c>
      <x:c r="D14" s="444" t="str">
        <x:v>Exclude: $4.4mm OPEX + $5.3mm tax</x:v>
      </x:c>
      <x:c r="E14" s="444" t="str">
        <x:v>S4</x:v>
      </x:c>
      <x:c r="F14" s="402"/>
      <x:c r="G14" s="402"/>
    </x:row>
    <x:row r="15" ht="36" customHeight="1">
      <x:c r="A15" s="446" t="str">
        <x:v>Share-based compensation</x:v>
      </x:c>
      <x:c r="B15" s="446" t="str">
        <x:v>$6.1mm Q1</x:v>
      </x:c>
      <x:c r="C15" s="446" t="str">
        <x:v>Recurring/ambiguous</x:v>
      </x:c>
      <x:c r="D15" s="446" t="str">
        <x:v>Retained in operating expense; no add-back to FCFF</x:v>
      </x:c>
      <x:c r="E15" s="446" t="str">
        <x:v>S4</x:v>
      </x:c>
      <x:c r="F15" s="402"/>
      <x:c r="G15" s="402"/>
    </x:row>
    <x:row r="16" ht="36" customHeight="1">
      <x:c r="A16" s="446" t="str">
        <x:v>Merchant working capital</x:v>
      </x:c>
      <x:c r="B16" s="446" t="str">
        <x:v>$68.4mm Q1 swing</x:v>
      </x:c>
      <x:c r="C16" s="446" t="str">
        <x:v>Operating settlement float</x:v>
      </x:c>
      <x:c r="D16" s="446" t="str">
        <x:v>Exclude from normalized ΔNWC; merchant cash also excluded</x:v>
      </x:c>
      <x:c r="E16" s="446" t="str">
        <x:v>S4</x:v>
      </x:c>
      <x:c r="F16" s="402"/>
      <x:c r="G16" s="402"/>
    </x:row>
    <x:row r="17" ht="36" customHeight="1">
      <x:c r="A17" s="448" t="str">
        <x:v>Financial-asset fair-value exposure</x:v>
      </x:c>
      <x:c r="B17" s="448" t="str">
        <x:v>Processor receivable</x:v>
      </x:c>
      <x:c r="C17" s="448" t="str">
        <x:v>Ambiguous non-operating risk</x:v>
      </x:c>
      <x:c r="D17" s="448" t="str">
        <x:v>No value added; disclosed as risk</x:v>
      </x:c>
      <x:c r="E17" s="448" t="str">
        <x:v>S1</x:v>
      </x:c>
      <x:c r="F17" s="402"/>
      <x:c r="G17" s="402"/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3" t="str">
        <x:v>Scenario Operating Forecast and FCFF</x:v>
      </x:c>
      <x:c r="B1" s="3" t="str">
        <x:v>Scenario Operating Forecast and FCFF</x:v>
      </x:c>
      <x:c r="C1" s="3" t="str">
        <x:v>Scenario Operating Forecast and FCFF</x:v>
      </x:c>
      <x:c r="D1" s="3" t="str">
        <x:v>Scenario Operating Forecast and FCFF</x:v>
      </x:c>
      <x:c r="E1" s="3" t="str">
        <x:v>Scenario Operating Forecast and FCFF</x:v>
      </x:c>
      <x:c r="F1" s="3" t="str">
        <x:v>Scenario Operating Forecast and FCFF</x:v>
      </x:c>
      <x:c r="G1" s="3" t="str">
        <x:v>Scenario Operating Forecast and FCFF</x:v>
      </x:c>
    </x:row>
    <x:row r="2">
      <x:c r="A2" s="323" t="str">
        <x:v>USD millions except TPV • 2026E-2031E • FCFF = NOPAT + D&amp;A - capex - normalized ΔNWC.</x:v>
      </x:c>
      <x:c r="B2" s="323"/>
      <x:c r="C2" s="323"/>
      <x:c r="D2" s="323"/>
      <x:c r="E2" s="323"/>
      <x:c r="F2" s="323"/>
      <x:c r="G2" s="323"/>
    </x:row>
    <x:row r="3" ht="22" customHeight="1">
      <x:c r="A3" s="23" t="str">
        <x:v>Bear case</x:v>
      </x:c>
      <x:c r="B3" s="23"/>
      <x:c r="C3" s="23"/>
      <x:c r="D3" s="23"/>
      <x:c r="E3" s="23"/>
      <x:c r="F3" s="23"/>
      <x:c r="G3" s="23"/>
    </x:row>
    <x:row r="4">
      <x:c r="A4" s="432" t="str">
        <x:v>$mm except TPV</x:v>
      </x:c>
      <x:c r="B4" s="433" t="n">
        <x:v>2026</x:v>
      </x:c>
      <x:c r="C4" s="433" t="n">
        <x:v>2027</x:v>
      </x:c>
      <x:c r="D4" s="433" t="n">
        <x:v>2028</x:v>
      </x:c>
      <x:c r="E4" s="433" t="n">
        <x:v>2029</x:v>
      </x:c>
      <x:c r="F4" s="433" t="n">
        <x:v>2030</x:v>
      </x:c>
      <x:c r="G4" s="434" t="n">
        <x:v>2031</x:v>
      </x:c>
    </x:row>
    <x:row r="5">
      <x:c r="A5" s="465" t="str">
        <x:v>TPV ($bn)</x:v>
      </x:c>
      <x:c r="B5" s="500" t="n">
        <x:f>'Assumptions'!$B$8*(1+B6)</x:f>
        <x:v>61.224000000000004</x:v>
      </x:c>
      <x:c r="C5" s="500" t="n">
        <x:f>'Forecast'!B5*(1+C6)</x:f>
        <x:v>76.53</x:v>
      </x:c>
      <x:c r="D5" s="500" t="n">
        <x:f>'Forecast'!C5*(1+D6)</x:f>
        <x:v>91.836</x:v>
      </x:c>
      <x:c r="E5" s="500" t="n">
        <x:f>'Forecast'!D5*(1+E6)</x:f>
        <x:v>105.61139999999999</x:v>
      </x:c>
      <x:c r="F5" s="500" t="n">
        <x:f>'Forecast'!E5*(1+F6)</x:f>
        <x:v>116.17254</x:v>
      </x:c>
      <x:c r="G5" s="500" t="n">
        <x:f>'Forecast'!F5*(1+G6)</x:f>
        <x:v>125.46634320000001</x:v>
      </x:c>
    </x:row>
    <x:row r="6">
      <x:c r="A6" s="468" t="str">
        <x:v>TPV growth</x:v>
      </x:c>
      <x:c r="B6" s="501" t="n">
        <x:f>'Assumptions'!B29</x:f>
        <x:v>0.5</x:v>
      </x:c>
      <x:c r="C6" s="501" t="n">
        <x:f>'Assumptions'!C29</x:f>
        <x:v>0.25</x:v>
      </x:c>
      <x:c r="D6" s="501" t="n">
        <x:f>'Assumptions'!D29</x:f>
        <x:v>0.2</x:v>
      </x:c>
      <x:c r="E6" s="501" t="n">
        <x:f>'Assumptions'!E29</x:f>
        <x:v>0.15</x:v>
      </x:c>
      <x:c r="F6" s="501" t="n">
        <x:f>'Assumptions'!F29</x:f>
        <x:v>0.1</x:v>
      </x:c>
      <x:c r="G6" s="501" t="n">
        <x:f>'Assumptions'!G29</x:f>
        <x:v>0.08</x:v>
      </x:c>
    </x:row>
    <x:row r="7">
      <x:c r="A7" s="468" t="str">
        <x:v>Gross profit / TPV</x:v>
      </x:c>
      <x:c r="B7" s="501" t="n">
        <x:f>'Assumptions'!B30</x:f>
        <x:v>0.0077</x:v>
      </x:c>
      <x:c r="C7" s="501" t="n">
        <x:f>'Assumptions'!C30</x:f>
        <x:v>0.0072</x:v>
      </x:c>
      <x:c r="D7" s="501" t="n">
        <x:f>'Assumptions'!D30</x:f>
        <x:v>0.007</x:v>
      </x:c>
      <x:c r="E7" s="501" t="n">
        <x:f>'Assumptions'!E30</x:f>
        <x:v>0.0069</x:v>
      </x:c>
      <x:c r="F7" s="501" t="n">
        <x:f>'Assumptions'!F30</x:f>
        <x:v>0.0069</x:v>
      </x:c>
      <x:c r="G7" s="501" t="n">
        <x:f>'Assumptions'!G30</x:f>
        <x:v>0.007</x:v>
      </x:c>
    </x:row>
    <x:row r="8">
      <x:c r="A8" s="468" t="str">
        <x:v>Gross profit</x:v>
      </x:c>
      <x:c r="B8" s="474" t="n">
        <x:f>B5*1000*B7</x:f>
        <x:v>471.42480000000006</x:v>
      </x:c>
      <x:c r="C8" s="474" t="n">
        <x:f>C5*1000*C7</x:f>
        <x:v>551.016</x:v>
      </x:c>
      <x:c r="D8" s="474" t="n">
        <x:f>D5*1000*D7</x:f>
        <x:v>642.852</x:v>
      </x:c>
      <x:c r="E8" s="474" t="n">
        <x:f>E5*1000*E7</x:f>
        <x:v>728.71866</x:v>
      </x:c>
      <x:c r="F8" s="474" t="n">
        <x:f>F5*1000*F7</x:f>
        <x:v>801.590526</x:v>
      </x:c>
      <x:c r="G8" s="474" t="n">
        <x:f>G5*1000*G7</x:f>
        <x:v>878.2644024000001</x:v>
      </x:c>
    </x:row>
    <x:row r="9">
      <x:c r="A9" s="468" t="str">
        <x:v>Operating profit / gross profit</x:v>
      </x:c>
      <x:c r="B9" s="501" t="n">
        <x:f>'Assumptions'!B31</x:f>
        <x:v>0.52</x:v>
      </x:c>
      <x:c r="C9" s="501" t="n">
        <x:f>'Assumptions'!C31</x:f>
        <x:v>0.54</x:v>
      </x:c>
      <x:c r="D9" s="501" t="n">
        <x:f>'Assumptions'!D31</x:f>
        <x:v>0.56</x:v>
      </x:c>
      <x:c r="E9" s="501" t="n">
        <x:f>'Assumptions'!E31</x:f>
        <x:v>0.58</x:v>
      </x:c>
      <x:c r="F9" s="501" t="n">
        <x:f>'Assumptions'!F31</x:f>
        <x:v>0.59</x:v>
      </x:c>
      <x:c r="G9" s="501" t="n">
        <x:f>'Assumptions'!G31</x:f>
        <x:v>0.6</x:v>
      </x:c>
    </x:row>
    <x:row r="10">
      <x:c r="A10" s="468" t="str">
        <x:v>Operating profit</x:v>
      </x:c>
      <x:c r="B10" s="488" t="n">
        <x:f>B8*B9</x:f>
        <x:v>245.14089600000003</x:v>
      </x:c>
      <x:c r="C10" s="488" t="n">
        <x:f>C8*C9</x:f>
        <x:v>297.54864</x:v>
      </x:c>
      <x:c r="D10" s="488" t="n">
        <x:f>D8*D9</x:f>
        <x:v>359.99712</x:v>
      </x:c>
      <x:c r="E10" s="488" t="n">
        <x:f>E8*E9</x:f>
        <x:v>422.6568228</x:v>
      </x:c>
      <x:c r="F10" s="488" t="n">
        <x:f>F8*F9</x:f>
        <x:v>472.93841033999996</x:v>
      </x:c>
      <x:c r="G10" s="488" t="n">
        <x:f>G8*G9</x:f>
        <x:v>526.9586414400001</x:v>
      </x:c>
    </x:row>
    <x:row r="11">
      <x:c r="A11" s="468" t="str">
        <x:v>Cash tax rate</x:v>
      </x:c>
      <x:c r="B11" s="501" t="n">
        <x:f>'Assumptions'!$B$32</x:f>
        <x:v>0.18</x:v>
      </x:c>
      <x:c r="C11" s="501" t="n">
        <x:f>'Assumptions'!$B$32</x:f>
        <x:v>0.18</x:v>
      </x:c>
      <x:c r="D11" s="501" t="n">
        <x:f>'Assumptions'!$B$32</x:f>
        <x:v>0.18</x:v>
      </x:c>
      <x:c r="E11" s="501" t="n">
        <x:f>'Assumptions'!$B$32</x:f>
        <x:v>0.18</x:v>
      </x:c>
      <x:c r="F11" s="501" t="n">
        <x:f>'Assumptions'!$B$32</x:f>
        <x:v>0.18</x:v>
      </x:c>
      <x:c r="G11" s="501" t="n">
        <x:f>'Assumptions'!$B$32</x:f>
        <x:v>0.18</x:v>
      </x:c>
    </x:row>
    <x:row r="12">
      <x:c r="A12" s="468" t="str">
        <x:v>NOPAT</x:v>
      </x:c>
      <x:c r="B12" s="474" t="n">
        <x:f>B10*(1-B11)</x:f>
        <x:v>201.01553472000003</x:v>
      </x:c>
      <x:c r="C12" s="474" t="n">
        <x:f>C10*(1-C11)</x:f>
        <x:v>243.9898848</x:v>
      </x:c>
      <x:c r="D12" s="474" t="n">
        <x:f>D10*(1-D11)</x:f>
        <x:v>295.1976384</x:v>
      </x:c>
      <x:c r="E12" s="474" t="n">
        <x:f>E10*(1-E11)</x:f>
        <x:v>346.57859469600004</x:v>
      </x:c>
      <x:c r="F12" s="474" t="n">
        <x:f>F10*(1-F11)</x:f>
        <x:v>387.8094964788</x:v>
      </x:c>
      <x:c r="G12" s="474" t="n">
        <x:f>G10*(1-G11)</x:f>
        <x:v>432.10608598080006</x:v>
      </x:c>
    </x:row>
    <x:row r="13">
      <x:c r="A13" s="468" t="str">
        <x:v>D&amp;A</x:v>
      </x:c>
      <x:c r="B13" s="474" t="n">
        <x:f>B8*'Assumptions'!$G$5</x:f>
        <x:v>30.642612000000003</x:v>
      </x:c>
      <x:c r="C13" s="474" t="n">
        <x:f>C8*'Assumptions'!$G$5</x:f>
        <x:v>35.81604</x:v>
      </x:c>
      <x:c r="D13" s="474" t="n">
        <x:f>D8*'Assumptions'!$G$5</x:f>
        <x:v>41.785379999999996</x:v>
      </x:c>
      <x:c r="E13" s="474" t="n">
        <x:f>E8*'Assumptions'!$G$5</x:f>
        <x:v>47.3667129</x:v>
      </x:c>
      <x:c r="F13" s="474" t="n">
        <x:f>F8*'Assumptions'!$G$5</x:f>
        <x:v>52.10338419</x:v>
      </x:c>
      <x:c r="G13" s="474" t="n">
        <x:f>G8*'Assumptions'!$G$5</x:f>
        <x:v>57.08718615600001</x:v>
      </x:c>
    </x:row>
    <x:row r="14">
      <x:c r="A14" s="468" t="str">
        <x:v>Capex</x:v>
      </x:c>
      <x:c r="B14" s="474" t="n">
        <x:f>B8*'Assumptions'!$G$6</x:f>
        <x:v>37.713984</x:v>
      </x:c>
      <x:c r="C14" s="474" t="n">
        <x:f>C8*'Assumptions'!$G$6</x:f>
        <x:v>44.08128</x:v>
      </x:c>
      <x:c r="D14" s="474" t="n">
        <x:f>D8*'Assumptions'!$G$6</x:f>
        <x:v>51.42816</x:v>
      </x:c>
      <x:c r="E14" s="474" t="n">
        <x:f>E8*'Assumptions'!$G$6</x:f>
        <x:v>58.2974928</x:v>
      </x:c>
      <x:c r="F14" s="474" t="n">
        <x:f>F8*'Assumptions'!$G$6</x:f>
        <x:v>64.12724208</x:v>
      </x:c>
      <x:c r="G14" s="474" t="n">
        <x:f>G8*'Assumptions'!$G$6</x:f>
        <x:v>70.26115219200001</x:v>
      </x:c>
    </x:row>
    <x:row r="15">
      <x:c r="A15" s="468" t="str">
        <x:v>Normalized ΔNWC</x:v>
      </x:c>
      <x:c r="B15" s="474" t="n">
        <x:f>MAX(0,B8-'Assumptions'!$B$9)*'Assumptions'!$B$33</x:f>
        <x:v>3.4334400000000045</x:v>
      </x:c>
      <x:c r="C15" s="474" t="n">
        <x:f>MAX(0,C8-B8)*'Assumptions'!$B$33</x:f>
        <x:v>3.9795599999999953</x:v>
      </x:c>
      <x:c r="D15" s="474" t="n">
        <x:f>MAX(0,D8-C8)*'Assumptions'!$B$33</x:f>
        <x:v>4.591800000000001</x:v>
      </x:c>
      <x:c r="E15" s="474" t="n">
        <x:f>MAX(0,E8-D8)*'Assumptions'!$B$33</x:f>
        <x:v>4.293333000000001</x:v>
      </x:c>
      <x:c r="F15" s="474" t="n">
        <x:f>MAX(0,F8-E8)*'Assumptions'!$B$33</x:f>
        <x:v>3.643593299999998</x:v>
      </x:c>
      <x:c r="G15" s="474" t="n">
        <x:f>MAX(0,G8-F8)*'Assumptions'!$B$33</x:f>
        <x:v>3.8336938200000077</x:v>
      </x:c>
    </x:row>
    <x:row r="16">
      <x:c r="A16" s="489" t="str">
        <x:v>FCFF</x:v>
      </x:c>
      <x:c r="B16" s="490" t="n">
        <x:f>B12+B13-B14-B15</x:f>
        <x:v>190.51072272000005</x:v>
      </x:c>
      <x:c r="C16" s="490" t="n">
        <x:f>C12+C13-C14-C15</x:f>
        <x:v>231.74508480000003</x:v>
      </x:c>
      <x:c r="D16" s="490" t="n">
        <x:f>D12+D13-D14-D15</x:f>
        <x:v>280.9630584</x:v>
      </x:c>
      <x:c r="E16" s="490" t="n">
        <x:f>E12+E13-E14-E15</x:f>
        <x:v>331.354481796</x:v>
      </x:c>
      <x:c r="F16" s="490" t="n">
        <x:f>F12+F13-F14-F15</x:f>
        <x:v>372.1420452888</x:v>
      </x:c>
      <x:c r="G16" s="490" t="n">
        <x:f>G12+G13-G14-G15</x:f>
        <x:v>415.0984261248001</x:v>
      </x:c>
    </x:row>
    <x:row r="17">
      <x:c r="A17" s="468" t="str">
        <x:v>Discount factor</x:v>
      </x:c>
      <x:c r="B17" s="502" t="n">
        <x:f>1/(1+'Assumptions'!$B$24)^(B4-2025)</x:f>
        <x:v>0.8951385473065058</x:v>
      </x:c>
      <x:c r="C17" s="502" t="n">
        <x:f>1/(1+'Assumptions'!$B$24)^(C4-2025)</x:f>
        <x:v>0.8012730188740015</x:v>
      </x:c>
      <x:c r="D17" s="502" t="n">
        <x:f>1/(1+'Assumptions'!$B$24)^(D4-2025)</x:f>
        <x:v>0.7172503661107722</x:v>
      </x:c>
      <x:c r="E17" s="502" t="n">
        <x:f>1/(1+'Assumptions'!$B$24)^(E4-2025)</x:f>
        <x:v>0.6420384507754561</x:v>
      </x:c>
      <x:c r="F17" s="502" t="n">
        <x:f>1/(1+'Assumptions'!$B$24)^(F4-2025)</x:f>
        <x:v>0.5747133661420613</x:v>
      </x:c>
      <x:c r="G17" s="502" t="n">
        <x:f>1/(1+'Assumptions'!$B$24)^(G4-2025)</x:f>
        <x:v>0.5144480876860367</x:v>
      </x:c>
    </x:row>
    <x:row r="18">
      <x:c r="A18" s="472" t="str">
        <x:v>PV of FCFF</x:v>
      </x:c>
      <x:c r="B18" s="503" t="n">
        <x:f>B16*B17</x:f>
        <x:v>170.53349158189337</x:v>
      </x:c>
      <x:c r="C18" s="503" t="n">
        <x:f>C16*C17</x:f>
        <x:v>185.6910837069075</x:v>
      </x:c>
      <x:c r="D18" s="503" t="n">
        <x:f>D16*D17</x:f>
        <x:v>201.5208565010023</x:v>
      </x:c>
      <x:c r="E18" s="503" t="n">
        <x:f>E16*E17</x:f>
        <x:v>212.74231814980791</x:v>
      </x:c>
      <x:c r="F18" s="503" t="n">
        <x:f>F16*F17</x:f>
        <x:v>213.87500753091766</x:v>
      </x:c>
      <x:c r="G18" s="503" t="n">
        <x:f>G16*G17</x:f>
        <x:v>213.54659152138697</x:v>
      </x:c>
    </x:row>
    <x:row r="19">
      <x:c r="A19" s="402"/>
      <x:c r="B19" s="402"/>
      <x:c r="C19" s="402"/>
      <x:c r="D19" s="402"/>
      <x:c r="E19" s="402"/>
      <x:c r="F19" s="402"/>
      <x:c r="G19" s="402"/>
    </x:row>
    <x:row r="20">
      <x:c r="A20" s="402"/>
      <x:c r="B20" s="402"/>
      <x:c r="C20" s="402"/>
      <x:c r="D20" s="402"/>
      <x:c r="E20" s="402"/>
      <x:c r="F20" s="402"/>
      <x:c r="G20" s="402"/>
    </x:row>
    <x:row r="21" ht="22" customHeight="1">
      <x:c r="A21" s="33" t="str">
        <x:v>Base case</x:v>
      </x:c>
      <x:c r="B21" s="33"/>
      <x:c r="C21" s="33"/>
      <x:c r="D21" s="33"/>
      <x:c r="E21" s="33"/>
      <x:c r="F21" s="33"/>
      <x:c r="G21" s="33"/>
    </x:row>
    <x:row r="22">
      <x:c r="A22" s="432" t="str">
        <x:v>$mm except TPV</x:v>
      </x:c>
      <x:c r="B22" s="433" t="n">
        <x:v>2026</x:v>
      </x:c>
      <x:c r="C22" s="433" t="n">
        <x:v>2027</x:v>
      </x:c>
      <x:c r="D22" s="433" t="n">
        <x:v>2028</x:v>
      </x:c>
      <x:c r="E22" s="433" t="n">
        <x:v>2029</x:v>
      </x:c>
      <x:c r="F22" s="433" t="n">
        <x:v>2030</x:v>
      </x:c>
      <x:c r="G22" s="434" t="n">
        <x:v>2031</x:v>
      </x:c>
    </x:row>
    <x:row r="23">
      <x:c r="A23" s="465" t="str">
        <x:v>TPV ($bn)</x:v>
      </x:c>
      <x:c r="B23" s="500" t="n">
        <x:f>'Assumptions'!$B$8*(1+B24)</x:f>
        <x:v>63.26480000000001</x:v>
      </x:c>
      <x:c r="C23" s="500" t="n">
        <x:f>'Forecast'!B23*(1+C24)</x:f>
        <x:v>85.40748000000002</x:v>
      </x:c>
      <x:c r="D23" s="500" t="n">
        <x:f>'Forecast'!C23*(1+D24)</x:f>
        <x:v>109.32157440000003</x:v>
      </x:c>
      <x:c r="E23" s="500" t="n">
        <x:f>'Forecast'!D23*(1+E24)</x:f>
        <x:v>133.37232076800004</x:v>
      </x:c>
      <x:c r="F23" s="500" t="n">
        <x:f>'Forecast'!E23*(1+F24)</x:f>
        <x:v>157.37933850624003</x:v>
      </x:c>
      <x:c r="G23" s="500" t="n">
        <x:f>'Forecast'!F23*(1+G24)</x:f>
        <x:v>180.98623928217603</x:v>
      </x:c>
    </x:row>
    <x:row r="24">
      <x:c r="A24" s="468" t="str">
        <x:v>TPV growth</x:v>
      </x:c>
      <x:c r="B24" s="501" t="n">
        <x:f>'Assumptions'!B37</x:f>
        <x:v>0.55</x:v>
      </x:c>
      <x:c r="C24" s="501" t="n">
        <x:f>'Assumptions'!C37</x:f>
        <x:v>0.35</x:v>
      </x:c>
      <x:c r="D24" s="501" t="n">
        <x:f>'Assumptions'!D37</x:f>
        <x:v>0.28</x:v>
      </x:c>
      <x:c r="E24" s="501" t="n">
        <x:f>'Assumptions'!E37</x:f>
        <x:v>0.22</x:v>
      </x:c>
      <x:c r="F24" s="501" t="n">
        <x:f>'Assumptions'!F37</x:f>
        <x:v>0.18</x:v>
      </x:c>
      <x:c r="G24" s="501" t="n">
        <x:f>'Assumptions'!G37</x:f>
        <x:v>0.15</x:v>
      </x:c>
    </x:row>
    <x:row r="25">
      <x:c r="A25" s="468" t="str">
        <x:v>Gross profit / TPV</x:v>
      </x:c>
      <x:c r="B25" s="501" t="n">
        <x:f>'Assumptions'!B38</x:f>
        <x:v>0.00796</x:v>
      </x:c>
      <x:c r="C25" s="501" t="n">
        <x:f>'Assumptions'!C38</x:f>
        <x:v>0.0078</x:v>
      </x:c>
      <x:c r="D25" s="501" t="n">
        <x:f>'Assumptions'!D38</x:f>
        <x:v>0.0077</x:v>
      </x:c>
      <x:c r="E25" s="501" t="n">
        <x:f>'Assumptions'!E38</x:f>
        <x:v>0.0077</x:v>
      </x:c>
      <x:c r="F25" s="501" t="n">
        <x:f>'Assumptions'!F38</x:f>
        <x:v>0.0078</x:v>
      </x:c>
      <x:c r="G25" s="501" t="n">
        <x:f>'Assumptions'!G38</x:f>
        <x:v>0.0079</x:v>
      </x:c>
    </x:row>
    <x:row r="26">
      <x:c r="A26" s="468" t="str">
        <x:v>Gross profit</x:v>
      </x:c>
      <x:c r="B26" s="474" t="n">
        <x:f>B23*1000*B25</x:f>
        <x:v>503.5878080000001</x:v>
      </x:c>
      <x:c r="C26" s="474" t="n">
        <x:f>C23*1000*C25</x:f>
        <x:v>666.1783440000002</x:v>
      </x:c>
      <x:c r="D26" s="474" t="n">
        <x:f>D23*1000*D25</x:f>
        <x:v>841.7761228800002</x:v>
      </x:c>
      <x:c r="E26" s="474" t="n">
        <x:f>E23*1000*E25</x:f>
        <x:v>1026.9668699136002</x:v>
      </x:c>
      <x:c r="F26" s="474" t="n">
        <x:f>F23*1000*F25</x:f>
        <x:v>1227.558840348672</x:v>
      </x:c>
      <x:c r="G26" s="474" t="n">
        <x:f>G23*1000*G25</x:f>
        <x:v>1429.7912903291906</x:v>
      </x:c>
    </x:row>
    <x:row r="27">
      <x:c r="A27" s="468" t="str">
        <x:v>Operating profit / gross profit</x:v>
      </x:c>
      <x:c r="B27" s="501" t="n">
        <x:f>'Assumptions'!B39</x:f>
        <x:v>0.568</x:v>
      </x:c>
      <x:c r="C27" s="501" t="n">
        <x:f>'Assumptions'!C39</x:f>
        <x:v>0.6</x:v>
      </x:c>
      <x:c r="D27" s="501" t="n">
        <x:f>'Assumptions'!D39</x:f>
        <x:v>0.62</x:v>
      </x:c>
      <x:c r="E27" s="501" t="n">
        <x:f>'Assumptions'!E39</x:f>
        <x:v>0.64</x:v>
      </x:c>
      <x:c r="F27" s="501" t="n">
        <x:f>'Assumptions'!F39</x:f>
        <x:v>0.65</x:v>
      </x:c>
      <x:c r="G27" s="501" t="n">
        <x:f>'Assumptions'!G39</x:f>
        <x:v>0.66</x:v>
      </x:c>
    </x:row>
    <x:row r="28">
      <x:c r="A28" s="468" t="str">
        <x:v>Operating profit</x:v>
      </x:c>
      <x:c r="B28" s="488" t="n">
        <x:f>B26*B27</x:f>
        <x:v>286.037874944</x:v>
      </x:c>
      <x:c r="C28" s="488" t="n">
        <x:f>C26*C27</x:f>
        <x:v>399.70700640000007</x:v>
      </x:c>
      <x:c r="D28" s="488" t="n">
        <x:f>D26*D27</x:f>
        <x:v>521.9011961856002</x:v>
      </x:c>
      <x:c r="E28" s="488" t="n">
        <x:f>E26*E27</x:f>
        <x:v>657.2587967447042</x:v>
      </x:c>
      <x:c r="F28" s="488" t="n">
        <x:f>F26*F27</x:f>
        <x:v>797.9132462266368</x:v>
      </x:c>
      <x:c r="G28" s="488" t="n">
        <x:f>G26*G27</x:f>
        <x:v>943.6622516172658</x:v>
      </x:c>
    </x:row>
    <x:row r="29">
      <x:c r="A29" s="468" t="str">
        <x:v>Cash tax rate</x:v>
      </x:c>
      <x:c r="B29" s="501" t="n">
        <x:f>'Assumptions'!$B$40</x:f>
        <x:v>0.16</x:v>
      </x:c>
      <x:c r="C29" s="501" t="n">
        <x:f>'Assumptions'!$B$40</x:f>
        <x:v>0.16</x:v>
      </x:c>
      <x:c r="D29" s="501" t="n">
        <x:f>'Assumptions'!$B$40</x:f>
        <x:v>0.16</x:v>
      </x:c>
      <x:c r="E29" s="501" t="n">
        <x:f>'Assumptions'!$B$40</x:f>
        <x:v>0.16</x:v>
      </x:c>
      <x:c r="F29" s="501" t="n">
        <x:f>'Assumptions'!$B$40</x:f>
        <x:v>0.16</x:v>
      </x:c>
      <x:c r="G29" s="501" t="n">
        <x:f>'Assumptions'!$B$40</x:f>
        <x:v>0.16</x:v>
      </x:c>
    </x:row>
    <x:row r="30">
      <x:c r="A30" s="468" t="str">
        <x:v>NOPAT</x:v>
      </x:c>
      <x:c r="B30" s="474" t="n">
        <x:f>B28*(1-B29)</x:f>
        <x:v>240.27181495296</x:v>
      </x:c>
      <x:c r="C30" s="474" t="n">
        <x:f>C28*(1-C29)</x:f>
        <x:v>335.753885376</x:v>
      </x:c>
      <x:c r="D30" s="474" t="n">
        <x:f>D28*(1-D29)</x:f>
        <x:v>438.39700479590414</x:v>
      </x:c>
      <x:c r="E30" s="474" t="n">
        <x:f>E28*(1-E29)</x:f>
        <x:v>552.0973892655516</x:v>
      </x:c>
      <x:c r="F30" s="474" t="n">
        <x:f>F28*(1-F29)</x:f>
        <x:v>670.2471268303749</x:v>
      </x:c>
      <x:c r="G30" s="474" t="n">
        <x:f>G28*(1-G29)</x:f>
        <x:v>792.6762913585032</x:v>
      </x:c>
    </x:row>
    <x:row r="31">
      <x:c r="A31" s="468" t="str">
        <x:v>D&amp;A</x:v>
      </x:c>
      <x:c r="B31" s="474" t="n">
        <x:f>B26*'Assumptions'!$G$5</x:f>
        <x:v>32.73320752000001</x:v>
      </x:c>
      <x:c r="C31" s="474" t="n">
        <x:f>C26*'Assumptions'!$G$5</x:f>
        <x:v>43.30159236000001</x:v>
      </x:c>
      <x:c r="D31" s="474" t="n">
        <x:f>D26*'Assumptions'!$G$5</x:f>
        <x:v>54.715447987200015</x:v>
      </x:c>
      <x:c r="E31" s="474" t="n">
        <x:f>E26*'Assumptions'!$G$5</x:f>
        <x:v>66.75284654438401</x:v>
      </x:c>
      <x:c r="F31" s="474" t="n">
        <x:f>F26*'Assumptions'!$G$5</x:f>
        <x:v>79.79132462266368</x:v>
      </x:c>
      <x:c r="G31" s="474" t="n">
        <x:f>G26*'Assumptions'!$G$5</x:f>
        <x:v>92.9364338713974</x:v>
      </x:c>
    </x:row>
    <x:row r="32">
      <x:c r="A32" s="468" t="str">
        <x:v>Capex</x:v>
      </x:c>
      <x:c r="B32" s="474" t="n">
        <x:f>B26*'Assumptions'!$G$6</x:f>
        <x:v>40.28702464000001</x:v>
      </x:c>
      <x:c r="C32" s="474" t="n">
        <x:f>C26*'Assumptions'!$G$6</x:f>
        <x:v>53.29426752000001</x:v>
      </x:c>
      <x:c r="D32" s="474" t="n">
        <x:f>D26*'Assumptions'!$G$6</x:f>
        <x:v>67.34208983040001</x:v>
      </x:c>
      <x:c r="E32" s="474" t="n">
        <x:f>E26*'Assumptions'!$G$6</x:f>
        <x:v>82.15734959308803</x:v>
      </x:c>
      <x:c r="F32" s="474" t="n">
        <x:f>F26*'Assumptions'!$G$6</x:f>
        <x:v>98.20470722789376</x:v>
      </x:c>
      <x:c r="G32" s="474" t="n">
        <x:f>G26*'Assumptions'!$G$6</x:f>
        <x:v>114.38330322633524</x:v>
      </x:c>
    </x:row>
    <x:row r="33">
      <x:c r="A33" s="468" t="str">
        <x:v>Normalized ΔNWC</x:v>
      </x:c>
      <x:c r="B33" s="474" t="n">
        <x:f>MAX(0,B26-'Assumptions'!$B$9)*'Assumptions'!$B$41</x:f>
        <x:v>2.0166361600000027</x:v>
      </x:c>
      <x:c r="C33" s="474" t="n">
        <x:f>MAX(0,C26-B26)*'Assumptions'!$B$41</x:f>
        <x:v>3.251810720000001</x:v>
      </x:c>
      <x:c r="D33" s="474" t="n">
        <x:f>MAX(0,D26-C26)*'Assumptions'!$B$41</x:f>
        <x:v>3.5119555776000015</x:v>
      </x:c>
      <x:c r="E33" s="474" t="n">
        <x:f>MAX(0,E26-D26)*'Assumptions'!$B$41</x:f>
        <x:v>3.7038149406720002</x:v>
      </x:c>
      <x:c r="F33" s="474" t="n">
        <x:f>MAX(0,F26-E26)*'Assumptions'!$B$41</x:f>
        <x:v>4.011839408701435</x:v>
      </x:c>
      <x:c r="G33" s="474" t="n">
        <x:f>MAX(0,G26-F26)*'Assumptions'!$B$41</x:f>
        <x:v>4.044648999610372</x:v>
      </x:c>
    </x:row>
    <x:row r="34">
      <x:c r="A34" s="489" t="str">
        <x:v>FCFF</x:v>
      </x:c>
      <x:c r="B34" s="490" t="n">
        <x:f>B30+B31-B32-B33</x:f>
        <x:v>230.70136167296002</x:v>
      </x:c>
      <x:c r="C34" s="490" t="n">
        <x:f>C30+C31-C32-C33</x:f>
        <x:v>322.50939949600007</x:v>
      </x:c>
      <x:c r="D34" s="490" t="n">
        <x:f>D30+D31-D32-D33</x:f>
        <x:v>422.2584073751041</x:v>
      </x:c>
      <x:c r="E34" s="490" t="n">
        <x:f>E30+E31-E32-E33</x:f>
        <x:v>532.9890712761755</x:v>
      </x:c>
      <x:c r="F34" s="490" t="n">
        <x:f>F30+F31-F32-F33</x:f>
        <x:v>647.8219048164433</x:v>
      </x:c>
      <x:c r="G34" s="490" t="n">
        <x:f>G30+G31-G32-G33</x:f>
        <x:v>767.1847730039551</x:v>
      </x:c>
    </x:row>
    <x:row r="35">
      <x:c r="A35" s="468" t="str">
        <x:v>Discount factor</x:v>
      </x:c>
      <x:c r="B35" s="502" t="n">
        <x:f>1/(1+'Assumptions'!$B$24)^(B22-2025)</x:f>
        <x:v>0.8951385473065058</x:v>
      </x:c>
      <x:c r="C35" s="502" t="n">
        <x:f>1/(1+'Assumptions'!$B$24)^(C22-2025)</x:f>
        <x:v>0.8012730188740015</x:v>
      </x:c>
      <x:c r="D35" s="502" t="n">
        <x:f>1/(1+'Assumptions'!$B$24)^(D22-2025)</x:f>
        <x:v>0.7172503661107722</x:v>
      </x:c>
      <x:c r="E35" s="502" t="n">
        <x:f>1/(1+'Assumptions'!$B$24)^(E22-2025)</x:f>
        <x:v>0.6420384507754561</x:v>
      </x:c>
      <x:c r="F35" s="502" t="n">
        <x:f>1/(1+'Assumptions'!$B$24)^(F22-2025)</x:f>
        <x:v>0.5747133661420613</x:v>
      </x:c>
      <x:c r="G35" s="502" t="n">
        <x:f>1/(1+'Assumptions'!$B$24)^(G22-2025)</x:f>
        <x:v>0.5144480876860367</x:v>
      </x:c>
    </x:row>
    <x:row r="36">
      <x:c r="A36" s="472" t="str">
        <x:v>PV of FCFF</x:v>
      </x:c>
      <x:c r="B36" s="503" t="n">
        <x:f>B34*B35</x:f>
        <x:v>206.50968174956623</x:v>
      </x:c>
      <x:c r="C36" s="503" t="n">
        <x:f>C34*C35</x:f>
        <x:v>258.41808014940136</x:v>
      </x:c>
      <x:c r="D36" s="503" t="n">
        <x:f>D34*D35</x:f>
        <x:v>302.86499728314504</x:v>
      </x:c>
      <x:c r="E36" s="503" t="n">
        <x:f>E34*E35</x:f>
        <x:v>342.1994776024049</x:v>
      </x:c>
      <x:c r="F36" s="503" t="n">
        <x:f>F34*F35</x:f>
        <x:v>372.3119075776201</x:v>
      </x:c>
      <x:c r="G36" s="503" t="n">
        <x:f>G34*G35</x:f>
        <x:v>394.67673937373087</x:v>
      </x:c>
    </x:row>
    <x:row r="37">
      <x:c r="A37" s="402"/>
      <x:c r="B37" s="402"/>
      <x:c r="C37" s="402"/>
      <x:c r="D37" s="402"/>
      <x:c r="E37" s="402"/>
      <x:c r="F37" s="402"/>
      <x:c r="G37" s="402"/>
    </x:row>
    <x:row r="38">
      <x:c r="A38" s="402"/>
      <x:c r="B38" s="402"/>
      <x:c r="C38" s="402"/>
      <x:c r="D38" s="402"/>
      <x:c r="E38" s="402"/>
      <x:c r="F38" s="402"/>
      <x:c r="G38" s="402"/>
    </x:row>
    <x:row r="39" ht="22" customHeight="1">
      <x:c r="A39" s="58" t="str">
        <x:v>Bull case</x:v>
      </x:c>
      <x:c r="B39" s="58"/>
      <x:c r="C39" s="58"/>
      <x:c r="D39" s="58"/>
      <x:c r="E39" s="58"/>
      <x:c r="F39" s="58"/>
      <x:c r="G39" s="58"/>
    </x:row>
    <x:row r="40">
      <x:c r="A40" s="432" t="str">
        <x:v>$mm except TPV</x:v>
      </x:c>
      <x:c r="B40" s="433" t="n">
        <x:v>2026</x:v>
      </x:c>
      <x:c r="C40" s="433" t="n">
        <x:v>2027</x:v>
      </x:c>
      <x:c r="D40" s="433" t="n">
        <x:v>2028</x:v>
      </x:c>
      <x:c r="E40" s="433" t="n">
        <x:v>2029</x:v>
      </x:c>
      <x:c r="F40" s="433" t="n">
        <x:v>2030</x:v>
      </x:c>
      <x:c r="G40" s="434" t="n">
        <x:v>2031</x:v>
      </x:c>
    </x:row>
    <x:row r="41">
      <x:c r="A41" s="465" t="str">
        <x:v>TPV ($bn)</x:v>
      </x:c>
      <x:c r="B41" s="500" t="n">
        <x:f>'Assumptions'!$B$8*(1+B42)</x:f>
        <x:v>65.30560000000001</x:v>
      </x:c>
      <x:c r="C41" s="500" t="n">
        <x:f>'Forecast'!B41*(1+C42)</x:f>
        <x:v>94.69312000000002</x:v>
      </x:c>
      <x:c r="D41" s="500" t="n">
        <x:f>'Forecast'!C41*(1+D42)</x:f>
        <x:v>127.83571200000004</x:v>
      </x:c>
      <x:c r="E41" s="500" t="n">
        <x:f>'Forecast'!D41*(1+E42)</x:f>
        <x:v>163.62971136000007</x:v>
      </x:c>
      <x:c r="F41" s="500" t="n">
        <x:f>'Forecast'!E41*(1+F42)</x:f>
        <x:v>201.26454497280008</x:v>
      </x:c>
      <x:c r="G41" s="500" t="n">
        <x:f>'Forecast'!F41*(1+G42)</x:f>
        <x:v>241.5174539673601</x:v>
      </x:c>
    </x:row>
    <x:row r="42">
      <x:c r="A42" s="468" t="str">
        <x:v>TPV growth</x:v>
      </x:c>
      <x:c r="B42" s="501" t="n">
        <x:f>'Assumptions'!B45</x:f>
        <x:v>0.6</x:v>
      </x:c>
      <x:c r="C42" s="501" t="n">
        <x:f>'Assumptions'!C45</x:f>
        <x:v>0.45</x:v>
      </x:c>
      <x:c r="D42" s="501" t="n">
        <x:f>'Assumptions'!D45</x:f>
        <x:v>0.35</x:v>
      </x:c>
      <x:c r="E42" s="501" t="n">
        <x:f>'Assumptions'!E45</x:f>
        <x:v>0.28</x:v>
      </x:c>
      <x:c r="F42" s="501" t="n">
        <x:f>'Assumptions'!F45</x:f>
        <x:v>0.23</x:v>
      </x:c>
      <x:c r="G42" s="501" t="n">
        <x:f>'Assumptions'!G45</x:f>
        <x:v>0.2</x:v>
      </x:c>
    </x:row>
    <x:row r="43">
      <x:c r="A43" s="468" t="str">
        <x:v>Gross profit / TPV</x:v>
      </x:c>
      <x:c r="B43" s="501" t="n">
        <x:f>'Assumptions'!B46</x:f>
        <x:v>0.0082</x:v>
      </x:c>
      <x:c r="C43" s="501" t="n">
        <x:f>'Assumptions'!C46</x:f>
        <x:v>0.0082</x:v>
      </x:c>
      <x:c r="D43" s="501" t="n">
        <x:f>'Assumptions'!D46</x:f>
        <x:v>0.0083</x:v>
      </x:c>
      <x:c r="E43" s="501" t="n">
        <x:f>'Assumptions'!E46</x:f>
        <x:v>0.0084</x:v>
      </x:c>
      <x:c r="F43" s="501" t="n">
        <x:f>'Assumptions'!F46</x:f>
        <x:v>0.0085</x:v>
      </x:c>
      <x:c r="G43" s="501" t="n">
        <x:f>'Assumptions'!G46</x:f>
        <x:v>0.0086</x:v>
      </x:c>
    </x:row>
    <x:row r="44">
      <x:c r="A44" s="468" t="str">
        <x:v>Gross profit</x:v>
      </x:c>
      <x:c r="B44" s="474" t="n">
        <x:f>B41*1000*B43</x:f>
        <x:v>535.5059200000002</x:v>
      </x:c>
      <x:c r="C44" s="474" t="n">
        <x:f>C41*1000*C43</x:f>
        <x:v>776.4835840000003</x:v>
      </x:c>
      <x:c r="D44" s="474" t="n">
        <x:f>D41*1000*D43</x:f>
        <x:v>1061.0364096000003</x:v>
      </x:c>
      <x:c r="E44" s="474" t="n">
        <x:f>E41*1000*E43</x:f>
        <x:v>1374.4895754240006</x:v>
      </x:c>
      <x:c r="F44" s="474" t="n">
        <x:f>F41*1000*F43</x:f>
        <x:v>1710.7486322688007</x:v>
      </x:c>
      <x:c r="G44" s="474" t="n">
        <x:f>G41*1000*G43</x:f>
        <x:v>2077.050104119297</x:v>
      </x:c>
    </x:row>
    <x:row r="45">
      <x:c r="A45" s="468" t="str">
        <x:v>Operating profit / gross profit</x:v>
      </x:c>
      <x:c r="B45" s="501" t="n">
        <x:f>'Assumptions'!B47</x:f>
        <x:v>0.6</x:v>
      </x:c>
      <x:c r="C45" s="501" t="n">
        <x:f>'Assumptions'!C47</x:f>
        <x:v>0.64</x:v>
      </x:c>
      <x:c r="D45" s="501" t="n">
        <x:f>'Assumptions'!D47</x:f>
        <x:v>0.67</x:v>
      </x:c>
      <x:c r="E45" s="501" t="n">
        <x:f>'Assumptions'!E47</x:f>
        <x:v>0.69</x:v>
      </x:c>
      <x:c r="F45" s="501" t="n">
        <x:f>'Assumptions'!F47</x:f>
        <x:v>0.7</x:v>
      </x:c>
      <x:c r="G45" s="501" t="n">
        <x:f>'Assumptions'!G47</x:f>
        <x:v>0.71</x:v>
      </x:c>
    </x:row>
    <x:row r="46">
      <x:c r="A46" s="468" t="str">
        <x:v>Operating profit</x:v>
      </x:c>
      <x:c r="B46" s="488" t="n">
        <x:f>B44*B45</x:f>
        <x:v>321.3035520000001</x:v>
      </x:c>
      <x:c r="C46" s="488" t="n">
        <x:f>C44*C45</x:f>
        <x:v>496.9494937600002</x:v>
      </x:c>
      <x:c r="D46" s="488" t="n">
        <x:f>D44*D45</x:f>
        <x:v>710.8943944320002</x:v>
      </x:c>
      <x:c r="E46" s="488" t="n">
        <x:f>E44*E45</x:f>
        <x:v>948.3978070425603</x:v>
      </x:c>
      <x:c r="F46" s="488" t="n">
        <x:f>F44*F45</x:f>
        <x:v>1197.5240425881605</x:v>
      </x:c>
      <x:c r="G46" s="488" t="n">
        <x:f>G44*G45</x:f>
        <x:v>1474.7055739247007</x:v>
      </x:c>
    </x:row>
    <x:row r="47">
      <x:c r="A47" s="468" t="str">
        <x:v>Cash tax rate</x:v>
      </x:c>
      <x:c r="B47" s="501" t="n">
        <x:f>'Assumptions'!$B$48</x:f>
        <x:v>0.15</x:v>
      </x:c>
      <x:c r="C47" s="501" t="n">
        <x:f>'Assumptions'!$B$48</x:f>
        <x:v>0.15</x:v>
      </x:c>
      <x:c r="D47" s="501" t="n">
        <x:f>'Assumptions'!$B$48</x:f>
        <x:v>0.15</x:v>
      </x:c>
      <x:c r="E47" s="501" t="n">
        <x:f>'Assumptions'!$B$48</x:f>
        <x:v>0.15</x:v>
      </x:c>
      <x:c r="F47" s="501" t="n">
        <x:f>'Assumptions'!$B$48</x:f>
        <x:v>0.15</x:v>
      </x:c>
      <x:c r="G47" s="501" t="n">
        <x:f>'Assumptions'!$B$48</x:f>
        <x:v>0.15</x:v>
      </x:c>
    </x:row>
    <x:row r="48">
      <x:c r="A48" s="468" t="str">
        <x:v>NOPAT</x:v>
      </x:c>
      <x:c r="B48" s="474" t="n">
        <x:f>B46*(1-B47)</x:f>
        <x:v>273.10801920000006</x:v>
      </x:c>
      <x:c r="C48" s="474" t="n">
        <x:f>C46*(1-C47)</x:f>
        <x:v>422.4070696960002</x:v>
      </x:c>
      <x:c r="D48" s="474" t="n">
        <x:f>D46*(1-D47)</x:f>
        <x:v>604.2602352672002</x:v>
      </x:c>
      <x:c r="E48" s="474" t="n">
        <x:f>E46*(1-E47)</x:f>
        <x:v>806.1381359861763</x:v>
      </x:c>
      <x:c r="F48" s="474" t="n">
        <x:f>F46*(1-F47)</x:f>
        <x:v>1017.8954361999364</x:v>
      </x:c>
      <x:c r="G48" s="474" t="n">
        <x:f>G46*(1-G47)</x:f>
        <x:v>1253.4997378359956</x:v>
      </x:c>
    </x:row>
    <x:row r="49">
      <x:c r="A49" s="468" t="str">
        <x:v>D&amp;A</x:v>
      </x:c>
      <x:c r="B49" s="474" t="n">
        <x:f>B44*'Assumptions'!$G$5</x:f>
        <x:v>34.80788480000001</x:v>
      </x:c>
      <x:c r="C49" s="474" t="n">
        <x:f>C44*'Assumptions'!$G$5</x:f>
        <x:v>50.47143296000002</x:v>
      </x:c>
      <x:c r="D49" s="474" t="n">
        <x:f>D44*'Assumptions'!$G$5</x:f>
        <x:v>68.96736662400002</x:v>
      </x:c>
      <x:c r="E49" s="474" t="n">
        <x:f>E44*'Assumptions'!$G$5</x:f>
        <x:v>89.34182240256004</x:v>
      </x:c>
      <x:c r="F49" s="474" t="n">
        <x:f>F44*'Assumptions'!$G$5</x:f>
        <x:v>111.19866109747205</x:v>
      </x:c>
      <x:c r="G49" s="474" t="n">
        <x:f>G44*'Assumptions'!$G$5</x:f>
        <x:v>135.00825676775432</x:v>
      </x:c>
    </x:row>
    <x:row r="50">
      <x:c r="A50" s="468" t="str">
        <x:v>Capex</x:v>
      </x:c>
      <x:c r="B50" s="474" t="n">
        <x:f>B44*'Assumptions'!$G$6</x:f>
        <x:v>42.84047360000002</x:v>
      </x:c>
      <x:c r="C50" s="474" t="n">
        <x:f>C44*'Assumptions'!$G$6</x:f>
        <x:v>62.11868672000003</x:v>
      </x:c>
      <x:c r="D50" s="474" t="n">
        <x:f>D44*'Assumptions'!$G$6</x:f>
        <x:v>84.88291276800003</x:v>
      </x:c>
      <x:c r="E50" s="474" t="n">
        <x:f>E44*'Assumptions'!$G$6</x:f>
        <x:v>109.95916603392004</x:v>
      </x:c>
      <x:c r="F50" s="474" t="n">
        <x:f>F44*'Assumptions'!$G$6</x:f>
        <x:v>136.85989058150406</x:v>
      </x:c>
      <x:c r="G50" s="474" t="n">
        <x:f>G44*'Assumptions'!$G$6</x:f>
        <x:v>166.16400832954375</x:v>
      </x:c>
    </x:row>
    <x:row r="51">
      <x:c r="A51" s="468" t="str">
        <x:v>Normalized ΔNWC</x:v>
      </x:c>
      <x:c r="B51" s="474" t="n">
        <x:f>MAX(0,B44-'Assumptions'!$B$9)*'Assumptions'!$B$49</x:f>
        <x:v>0</x:v>
      </x:c>
      <x:c r="C51" s="474" t="n">
        <x:f>MAX(0,C44-B44)*'Assumptions'!$B$49</x:f>
        <x:v>0</x:v>
      </x:c>
      <x:c r="D51" s="474" t="n">
        <x:f>MAX(0,D44-C44)*'Assumptions'!$B$49</x:f>
        <x:v>0</x:v>
      </x:c>
      <x:c r="E51" s="474" t="n">
        <x:f>MAX(0,E44-D44)*'Assumptions'!$B$49</x:f>
        <x:v>0</x:v>
      </x:c>
      <x:c r="F51" s="474" t="n">
        <x:f>MAX(0,F44-E44)*'Assumptions'!$B$49</x:f>
        <x:v>0</x:v>
      </x:c>
      <x:c r="G51" s="474" t="n">
        <x:f>MAX(0,G44-F44)*'Assumptions'!$B$49</x:f>
        <x:v>0</x:v>
      </x:c>
    </x:row>
    <x:row r="52">
      <x:c r="A52" s="489" t="str">
        <x:v>FCFF</x:v>
      </x:c>
      <x:c r="B52" s="490" t="n">
        <x:f>B48+B49-B50-B51</x:f>
        <x:v>265.0754304000001</x:v>
      </x:c>
      <x:c r="C52" s="490" t="n">
        <x:f>C48+C49-C50-C51</x:f>
        <x:v>410.75981593600017</x:v>
      </x:c>
      <x:c r="D52" s="490" t="n">
        <x:f>D48+D49-D50-D51</x:f>
        <x:v>588.3446891232003</x:v>
      </x:c>
      <x:c r="E52" s="490" t="n">
        <x:f>E48+E49-E50-E51</x:f>
        <x:v>785.5207923548163</x:v>
      </x:c>
      <x:c r="F52" s="490" t="n">
        <x:f>F48+F49-F50-F51</x:f>
        <x:v>992.2342067159045</x:v>
      </x:c>
      <x:c r="G52" s="490" t="n">
        <x:f>G48+G49-G50-G51</x:f>
        <x:v>1222.3439862742061</x:v>
      </x:c>
    </x:row>
    <x:row r="53">
      <x:c r="A53" s="468" t="str">
        <x:v>Discount factor</x:v>
      </x:c>
      <x:c r="B53" s="502" t="n">
        <x:f>1/(1+'Assumptions'!$B$24)^(B40-2025)</x:f>
        <x:v>0.8951385473065058</x:v>
      </x:c>
      <x:c r="C53" s="502" t="n">
        <x:f>1/(1+'Assumptions'!$B$24)^(C40-2025)</x:f>
        <x:v>0.8012730188740015</x:v>
      </x:c>
      <x:c r="D53" s="502" t="n">
        <x:f>1/(1+'Assumptions'!$B$24)^(D40-2025)</x:f>
        <x:v>0.7172503661107722</x:v>
      </x:c>
      <x:c r="E53" s="502" t="n">
        <x:f>1/(1+'Assumptions'!$B$24)^(E40-2025)</x:f>
        <x:v>0.6420384507754561</x:v>
      </x:c>
      <x:c r="F53" s="502" t="n">
        <x:f>1/(1+'Assumptions'!$B$24)^(F40-2025)</x:f>
        <x:v>0.5747133661420613</x:v>
      </x:c>
      <x:c r="G53" s="502" t="n">
        <x:f>1/(1+'Assumptions'!$B$24)^(G40-2025)</x:f>
        <x:v>0.5144480876860367</x:v>
      </x:c>
    </x:row>
    <x:row r="54">
      <x:c r="A54" s="472" t="str">
        <x:v>PV of FCFF</x:v>
      </x:c>
      <x:c r="B54" s="503" t="n">
        <x:f>B52*B53</x:f>
        <x:v>237.27923569490284</x:v>
      </x:c>
      <x:c r="C54" s="503" t="n">
        <x:f>C52*C53</x:f>
        <x:v>329.13075774716805</x:v>
      </x:c>
      <x:c r="D54" s="503" t="n">
        <x:f>D52*D53</x:f>
        <x:v>421.99044367294385</x:v>
      </x:c>
      <x:c r="E54" s="503" t="n">
        <x:f>E52*E53</x:f>
        <x:v>504.334552575395</x:v>
      </x:c>
      <x:c r="F54" s="503" t="n">
        <x:f>F52*F53</x:f>
        <x:v>570.2502609429953</x:v>
      </x:c>
      <x:c r="G54" s="503" t="n">
        <x:f>G52*G53</x:f>
        <x:v>628.8325262332924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24" hidden="0" customWidth="1"/>
    <x:col min="4" max="4" width="16" hidden="0" customWidth="1"/>
    <x:col min="5" max="5" width="23" hidden="0" customWidth="1"/>
    <x:col min="6" max="6" width="16" hidden="0" customWidth="1"/>
    <x:col min="7" max="7" width="25" hidden="0" customWidth="1"/>
    <x:col min="8" max="8" width="16" hidden="0" customWidth="1"/>
    <x:col min="9" max="9" width="16" hidden="0" customWidth="1"/>
  </x:cols>
  <x:sheetData>
    <x:row r="1" ht="30" customHeight="1">
      <x:c r="A1" s="3" t="str">
        <x:v>FCFF Valuation — Enterprise to Equity Bridge</x:v>
      </x:c>
      <x:c r="B1" s="3" t="str">
        <x:v>FCFF Valuation — Enterprise to Equity Bridge</x:v>
      </x:c>
      <x:c r="C1" s="3" t="str">
        <x:v>FCFF Valuation — Enterprise to Equity Bridge</x:v>
      </x:c>
      <x:c r="D1" s="3" t="str">
        <x:v>FCFF Valuation — Enterprise to Equity Bridge</x:v>
      </x:c>
      <x:c r="E1" s="3" t="str">
        <x:v>FCFF Valuation — Enterprise to Equity Bridge</x:v>
      </x:c>
      <x:c r="F1" s="3" t="str">
        <x:v>FCFF Valuation — Enterprise to Equity Bridge</x:v>
      </x:c>
      <x:c r="G1" s="3" t="str">
        <x:v>FCFF Valuation — Enterprise to Equity Bridge</x:v>
      </x:c>
      <x:c r="H1" s="3" t="str">
        <x:v>FCFF Valuation — Enterprise to Equity Bridge</x:v>
      </x:c>
      <x:c r="I1" s="3" t="str">
        <x:v>FCFF Valuation — Enterprise to Equity Bridge</x:v>
      </x:c>
    </x:row>
    <x:row r="2">
      <x:c r="A2" s="323" t="str">
        <x:v>Primary method: six-year FCFF with Gordon-growth terminal value. All operating cases use the same WACC and terminal growth.</x:v>
      </x:c>
      <x:c r="B2" s="323"/>
      <x:c r="C2" s="323"/>
      <x:c r="D2" s="323"/>
      <x:c r="E2" s="323"/>
      <x:c r="F2" s="323"/>
      <x:c r="G2" s="323"/>
      <x:c r="H2" s="323"/>
      <x:c r="I2" s="323"/>
    </x:row>
    <x:row r="3">
      <x:c r="A3" s="432" t="str">
        <x:v>Scenario</x:v>
      </x:c>
      <x:c r="B3" s="433" t="str">
        <x:v>WACC</x:v>
      </x:c>
      <x:c r="C3" s="433" t="str">
        <x:v>Terminal growth</x:v>
      </x:c>
      <x:c r="D3" s="433" t="str">
        <x:v>PV explicit FCFF</x:v>
      </x:c>
      <x:c r="E3" s="433" t="str">
        <x:v>PV terminal value</x:v>
      </x:c>
      <x:c r="F3" s="433" t="str">
        <x:v>Enterprise value</x:v>
      </x:c>
      <x:c r="G3" s="433" t="str">
        <x:v>Net cash</x:v>
      </x:c>
      <x:c r="H3" s="433" t="str">
        <x:v>Equity value</x:v>
      </x:c>
      <x:c r="I3" s="434" t="str">
        <x:v>Value / share</x:v>
      </x:c>
    </x:row>
    <x:row r="4">
      <x:c r="A4" s="520" t="str">
        <x:v>Bear</x:v>
      </x:c>
      <x:c r="B4" s="521" t="n">
        <x:f>'Assumptions'!$B$24</x:f>
        <x:v>0.1171455</x:v>
      </x:c>
      <x:c r="C4" s="521" t="n">
        <x:f>'Assumptions'!$G$7</x:f>
        <x:v>0.03</x:v>
      </x:c>
      <x:c r="D4" s="522" t="n">
        <x:f>SUM('Forecast'!B18:G18)</x:f>
        <x:v>1197.9093489919157</x:v>
      </x:c>
      <x:c r="E4" s="522" t="n">
        <x:f>('Forecast'!G16*(1+C4)/(B4-C4))*'Forecast'!G17</x:f>
        <x:v>2523.9741497498844</x:v>
      </x:c>
      <x:c r="F4" s="522" t="n">
        <x:f>D4+E4</x:f>
        <x:v>3721.8834987418004</x:v>
      </x:c>
      <x:c r="G4" s="522" t="n">
        <x:f>'Assumptions'!$B$14</x:f>
        <x:v>284.892</x:v>
      </x:c>
      <x:c r="H4" s="522" t="n">
        <x:f>F4+G4</x:f>
        <x:v>4006.7754987418</x:v>
      </x:c>
      <x:c r="I4" s="523" t="n">
        <x:f>H4/'Assumptions'!$B$7</x:f>
        <x:v>13.306860370573155</x:v>
      </x:c>
    </x:row>
    <x:row r="5">
      <x:c r="A5" s="524" t="str">
        <x:v>Base</x:v>
      </x:c>
      <x:c r="B5" s="525" t="n">
        <x:f>'Assumptions'!$B$24</x:f>
        <x:v>0.1171455</x:v>
      </x:c>
      <x:c r="C5" s="525" t="n">
        <x:f>'Assumptions'!$G$7</x:f>
        <x:v>0.03</x:v>
      </x:c>
      <x:c r="D5" s="526" t="n">
        <x:f>SUM('Forecast'!B36:G36)</x:f>
        <x:v>1876.9808837358685</x:v>
      </x:c>
      <x:c r="E5" s="526" t="n">
        <x:f>('Forecast'!G34*(1+C5)/(B5-C5))*'Forecast'!G35</x:f>
        <x:v>4664.808183497057</x:v>
      </x:c>
      <x:c r="F5" s="526" t="n">
        <x:f>D5+E5</x:f>
        <x:v>6541.789067232926</x:v>
      </x:c>
      <x:c r="G5" s="526" t="n">
        <x:f>'Assumptions'!$B$14</x:f>
        <x:v>284.892</x:v>
      </x:c>
      <x:c r="H5" s="526" t="n">
        <x:f>F5+G5</x:f>
        <x:v>6826.681067232926</x:v>
      </x:c>
      <x:c r="I5" s="527" t="n">
        <x:f>H5/'Assumptions'!$B$7</x:f>
        <x:v>22.672019379331285</x:v>
      </x:c>
    </x:row>
    <x:row r="6">
      <x:c r="A6" s="528" t="str">
        <x:v>Bull</x:v>
      </x:c>
      <x:c r="B6" s="529" t="n">
        <x:f>'Assumptions'!$B$24</x:f>
        <x:v>0.1171455</x:v>
      </x:c>
      <x:c r="C6" s="529" t="n">
        <x:f>'Assumptions'!$G$7</x:f>
        <x:v>0.03</x:v>
      </x:c>
      <x:c r="D6" s="530" t="n">
        <x:f>SUM('Forecast'!B54:G54)</x:f>
        <x:v>2691.8177768666974</x:v>
      </x:c>
      <x:c r="E6" s="530" t="n">
        <x:f>('Forecast'!G52*(1+C6)/(B6-C6))*'Forecast'!G53</x:f>
        <x:v>7432.368877570169</x:v>
      </x:c>
      <x:c r="F6" s="530" t="n">
        <x:f>D6+E6</x:f>
        <x:v>10124.186654436868</x:v>
      </x:c>
      <x:c r="G6" s="530" t="n">
        <x:f>'Assumptions'!$B$14</x:f>
        <x:v>284.892</x:v>
      </x:c>
      <x:c r="H6" s="530" t="n">
        <x:f>F6+G6</x:f>
        <x:v>10409.078654436868</x:v>
      </x:c>
      <x:c r="I6" s="531" t="n">
        <x:f>H6/'Assumptions'!$B$7</x:f>
        <x:v>34.56948268861088</x:v>
      </x:c>
    </x:row>
    <x:row r="7">
      <x:c r="A7" s="402"/>
      <x:c r="B7" s="402"/>
      <x:c r="C7" s="402"/>
      <x:c r="D7" s="402"/>
      <x:c r="E7" s="402"/>
      <x:c r="F7" s="402"/>
      <x:c r="G7" s="402"/>
      <x:c r="H7" s="402"/>
      <x:c r="I7" s="402"/>
    </x:row>
    <x:row r="8" ht="22" customHeight="1">
      <x:c r="A8" s="33" t="str">
        <x:v>Base-case bridge</x:v>
      </x:c>
      <x:c r="B8" s="33"/>
      <x:c r="C8" s="33"/>
      <x:c r="D8" s="33"/>
      <x:c r="E8" s="33" t="str">
        <x:v>Valuation diagnostics</x:v>
      </x:c>
      <x:c r="F8" s="33"/>
      <x:c r="G8" s="33"/>
      <x:c r="H8" s="33"/>
      <x:c r="I8" s="33"/>
    </x:row>
    <x:row r="9">
      <x:c r="A9" s="432" t="str">
        <x:v>Item</x:v>
      </x:c>
      <x:c r="B9" s="433" t="str">
        <x:v>Value</x:v>
      </x:c>
      <x:c r="C9" s="434" t="str">
        <x:v>Note</x:v>
      </x:c>
      <x:c r="D9" s="402"/>
      <x:c r="E9" s="432" t="str">
        <x:v>Diagnostic</x:v>
      </x:c>
      <x:c r="F9" s="433" t="str">
        <x:v>Value</x:v>
      </x:c>
      <x:c r="G9" s="434" t="str">
        <x:v>Threshold / interpretation</x:v>
      </x:c>
      <x:c r="H9" s="402"/>
      <x:c r="I9" s="402"/>
    </x:row>
    <x:row r="10">
      <x:c r="A10" s="465" t="str">
        <x:v>PV explicit FCFF</x:v>
      </x:c>
      <x:c r="B10" s="532" t="n">
        <x:f>D5</x:f>
        <x:v>1876.9808837358685</x:v>
      </x:c>
      <x:c r="C10" s="465" t="str">
        <x:v>2026E-2031E</x:v>
      </x:c>
      <x:c r="D10" s="402"/>
      <x:c r="E10" s="465" t="str">
        <x:v>Terminal value / EV</x:v>
      </x:c>
      <x:c r="F10" s="533" t="n">
        <x:f>E5/F5</x:f>
        <x:v>0.7130783544921294</x:v>
      </x:c>
      <x:c r="G10" s="465" t="str">
        <x:v>High but acceptable for long-duration growth</x:v>
      </x:c>
      <x:c r="H10" s="402"/>
      <x:c r="I10" s="402"/>
    </x:row>
    <x:row r="11">
      <x:c r="A11" s="468" t="str">
        <x:v>PV terminal value</x:v>
      </x:c>
      <x:c r="B11" s="534" t="n">
        <x:f>E5</x:f>
        <x:v>4664.808183497057</x:v>
      </x:c>
      <x:c r="C11" s="468" t="str">
        <x:v>Gordon growth</x:v>
      </x:c>
      <x:c r="D11" s="402"/>
      <x:c r="E11" s="468" t="str">
        <x:v>Base upside / (downside)</x:v>
      </x:c>
      <x:c r="F11" s="477" t="n">
        <x:f>I5/'Assumptions'!$B$6-1</x:f>
        <x:v>0.5350046973142373</x:v>
      </x:c>
      <x:c r="G11" s="468" t="str">
        <x:v>Versus 2026-07-23 close</x:v>
      </x:c>
      <x:c r="H11" s="402"/>
      <x:c r="I11" s="402"/>
    </x:row>
    <x:row r="12">
      <x:c r="A12" s="468" t="str">
        <x:v>Enterprise value</x:v>
      </x:c>
      <x:c r="B12" s="534" t="n">
        <x:f>F5</x:f>
        <x:v>6541.789067232926</x:v>
      </x:c>
      <x:c r="C12" s="468" t="str">
        <x:v>Operating value</x:v>
      </x:c>
      <x:c r="D12" s="402"/>
      <x:c r="E12" s="468" t="str">
        <x:v>2026E OP guidance midpoint</x:v>
      </x:c>
      <x:c r="F12" s="534" t="n">
        <x:v>286</x:v>
      </x:c>
      <x:c r="G12" s="468" t="str">
        <x:v>$220mm × 1.30</x:v>
      </x:c>
      <x:c r="H12" s="402"/>
      <x:c r="I12" s="402"/>
    </x:row>
    <x:row r="13">
      <x:c r="A13" s="468" t="str">
        <x:v>Pro forma net cash</x:v>
      </x:c>
      <x:c r="B13" s="534" t="n">
        <x:f>G5</x:f>
        <x:v>284.892</x:v>
      </x:c>
      <x:c r="C13" s="468" t="str">
        <x:v>Merchant cash excluded</x:v>
      </x:c>
      <x:c r="D13" s="402"/>
      <x:c r="E13" s="468" t="str">
        <x:v>2026E model operating profit</x:v>
      </x:c>
      <x:c r="F13" s="534" t="n">
        <x:f>'Forecast'!B28</x:f>
        <x:v>286.037874944</x:v>
      </x:c>
      <x:c r="G13" s="468" t="str">
        <x:v>Should reconcile near midpoint</x:v>
      </x:c>
      <x:c r="H13" s="402"/>
      <x:c r="I13" s="402"/>
    </x:row>
    <x:row r="14">
      <x:c r="A14" s="489" t="str">
        <x:v>Equity value</x:v>
      </x:c>
      <x:c r="B14" s="490" t="n">
        <x:f>H5</x:f>
        <x:v>6826.681067232926</x:v>
      </x:c>
      <x:c r="C14" s="468" t="str">
        <x:v>EV plus net cash</x:v>
      </x:c>
      <x:c r="D14" s="402"/>
      <x:c r="E14" s="472" t="str">
        <x:v>Net cash / equity value</x:v>
      </x:c>
      <x:c r="F14" s="479" t="n">
        <x:f>G5/H5</x:f>
        <x:v>0.04173213853030869</x:v>
      </x:c>
      <x:c r="G14" s="472" t="str">
        <x:v>Limited bridge contribution</x:v>
      </x:c>
      <x:c r="H14" s="402"/>
      <x:c r="I14" s="402"/>
    </x:row>
    <x:row r="15">
      <x:c r="A15" s="472" t="str">
        <x:v>Diluted shares</x:v>
      </x:c>
      <x:c r="B15" s="535" t="n">
        <x:f>'Assumptions'!$B$7</x:f>
        <x:v>301.106</x:v>
      </x:c>
      <x:c r="C15" s="472" t="str">
        <x:v>Q1 2026 weighted average</x:v>
      </x:c>
      <x:c r="D15" s="402"/>
      <x:c r="E15" s="402"/>
      <x:c r="F15" s="402"/>
      <x:c r="G15" s="402"/>
      <x:c r="H15" s="402"/>
      <x:c r="I15" s="402"/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31" hidden="0" customWidth="1"/>
    <x:col min="5" max="5" width="31" hidden="0" customWidth="1"/>
    <x:col min="6" max="6" width="16" hidden="0" customWidth="1"/>
    <x:col min="7" max="7" width="16" hidden="0" customWidth="1"/>
    <x:col min="8" max="8" width="18" hidden="0" customWidth="1"/>
    <x:col min="9" max="9" width="15" hidden="0" customWidth="1"/>
  </x:cols>
  <x:sheetData>
    <x:row r="1" ht="30" customHeight="1">
      <x:c r="A1" s="3" t="str">
        <x:v>Comparable-Company and Market-Method Read-through</x:v>
      </x:c>
      <x:c r="B1" s="3" t="str">
        <x:v>Comparable-Company and Market-Method Read-through</x:v>
      </x:c>
      <x:c r="C1" s="3" t="str">
        <x:v>Comparable-Company and Market-Method Read-through</x:v>
      </x:c>
      <x:c r="D1" s="3" t="str">
        <x:v>Comparable-Company and Market-Method Read-through</x:v>
      </x:c>
      <x:c r="E1" s="3" t="str">
        <x:v>Comparable-Company and Market-Method Read-through</x:v>
      </x:c>
      <x:c r="F1" s="3" t="str">
        <x:v>Comparable-Company and Market-Method Read-through</x:v>
      </x:c>
      <x:c r="G1" s="3" t="str">
        <x:v>Comparable-Company and Market-Method Read-through</x:v>
      </x:c>
      <x:c r="H1" s="3" t="str">
        <x:v>Comparable-Company and Market-Method Read-through</x:v>
      </x:c>
      <x:c r="I1" s="3" t="str">
        <x:v>Comparable-Company and Market-Method Read-through</x:v>
      </x:c>
    </x:row>
    <x:row r="2">
      <x:c r="A2" s="323" t="str">
        <x:v>Corroborative only. Public peers have materially different funding, banking, geographic and transaction-mix economics.</x:v>
      </x:c>
      <x:c r="B2" s="323"/>
      <x:c r="C2" s="323"/>
      <x:c r="D2" s="323"/>
      <x:c r="E2" s="323"/>
      <x:c r="F2" s="323"/>
      <x:c r="G2" s="323"/>
      <x:c r="H2" s="323"/>
      <x:c r="I2" s="323"/>
    </x:row>
    <x:row r="3">
      <x:c r="A3" s="432" t="str">
        <x:v>Company</x:v>
      </x:c>
      <x:c r="B3" s="433" t="str">
        <x:v>Ticker</x:v>
      </x:c>
      <x:c r="C3" s="433" t="str">
        <x:v>Role</x:v>
      </x:c>
      <x:c r="D3" s="433" t="str">
        <x:v>Economics</x:v>
      </x:c>
      <x:c r="E3" s="433" t="str">
        <x:v>Observed issue</x:v>
      </x:c>
      <x:c r="F3" s="433" t="str">
        <x:v>Core multiple?</x:v>
      </x:c>
      <x:c r="G3" s="433" t="str">
        <x:v>Snapshot</x:v>
      </x:c>
      <x:c r="H3" s="433" t="str">
        <x:v>Use</x:v>
      </x:c>
      <x:c r="I3" s="434" t="str">
        <x:v>Source</x:v>
      </x:c>
    </x:row>
    <x:row r="4" ht="38" customHeight="1">
      <x:c r="A4" s="444" t="str">
        <x:v>dLocal</x:v>
      </x:c>
      <x:c r="B4" s="444" t="str">
        <x:v>DLO</x:v>
      </x:c>
      <x:c r="C4" s="444" t="str">
        <x:v>Subject</x:v>
      </x:c>
      <x:c r="D4" s="444" t="str">
        <x:v>EM cross-border + local payments</x:v>
      </x:c>
      <x:c r="E4" s="444" t="str">
        <x:v>High growth; merchant float</x:v>
      </x:c>
      <x:c r="F4" s="444" t="str">
        <x:v>n/a</x:v>
      </x:c>
      <x:c r="G4" s="444" t="str">
        <x:v>2026-07-23</x:v>
      </x:c>
      <x:c r="H4" s="444" t="str">
        <x:v>Anchor company</x:v>
      </x:c>
      <x:c r="I4" s="444" t="str">
        <x:v>S1-S7</x:v>
      </x:c>
    </x:row>
    <x:row r="5" ht="38" customHeight="1">
      <x:c r="A5" s="446" t="str">
        <x:v>Payoneer</x:v>
      </x:c>
      <x:c r="B5" s="446" t="str">
        <x:v>PAYO</x:v>
      </x:c>
      <x:c r="C5" s="446" t="str">
        <x:v>Secondary</x:v>
      </x:c>
      <x:c r="D5" s="446" t="str">
        <x:v>Cross-border SMB platform</x:v>
      </x:c>
      <x:c r="E5" s="446" t="str">
        <x:v>Pending acquisition distorts price</x:v>
      </x:c>
      <x:c r="F5" s="446" t="str">
        <x:v>No</x:v>
      </x:c>
      <x:c r="G5" s="446" t="str">
        <x:v>2026-07-23</x:v>
      </x:c>
      <x:c r="H5" s="446" t="str">
        <x:v>Directional only</x:v>
      </x:c>
      <x:c r="I5" s="446" t="str">
        <x:v>S9</x:v>
      </x:c>
    </x:row>
    <x:row r="6" ht="38" customHeight="1">
      <x:c r="A6" s="446" t="str">
        <x:v>StoneCo</x:v>
      </x:c>
      <x:c r="B6" s="446" t="str">
        <x:v>STNE</x:v>
      </x:c>
      <x:c r="C6" s="446" t="str">
        <x:v>Excluded</x:v>
      </x:c>
      <x:c r="D6" s="446" t="str">
        <x:v>Brazil merchant acquiring + financial services</x:v>
      </x:c>
      <x:c r="E6" s="446" t="str">
        <x:v>Funding balance sheet distorts EV</x:v>
      </x:c>
      <x:c r="F6" s="446" t="str">
        <x:v>No</x:v>
      </x:c>
      <x:c r="G6" s="446" t="str">
        <x:v>2026-07-23</x:v>
      </x:c>
      <x:c r="H6" s="446" t="str">
        <x:v>Qualitative</x:v>
      </x:c>
      <x:c r="I6" s="446" t="str">
        <x:v>S9</x:v>
      </x:c>
    </x:row>
    <x:row r="7" ht="38" customHeight="1">
      <x:c r="A7" s="448" t="str">
        <x:v>PagSeguro</x:v>
      </x:c>
      <x:c r="B7" s="448" t="str">
        <x:v>PAGS</x:v>
      </x:c>
      <x:c r="C7" s="448" t="str">
        <x:v>Excluded</x:v>
      </x:c>
      <x:c r="D7" s="448" t="str">
        <x:v>Brazil payments + banking</x:v>
      </x:c>
      <x:c r="E7" s="448" t="str">
        <x:v>Banking liabilities distort EV</x:v>
      </x:c>
      <x:c r="F7" s="448" t="str">
        <x:v>No</x:v>
      </x:c>
      <x:c r="G7" s="448" t="str">
        <x:v>2026-07-23</x:v>
      </x:c>
      <x:c r="H7" s="448" t="str">
        <x:v>Qualitative</x:v>
      </x:c>
      <x:c r="I7" s="448" t="str">
        <x:v>S9</x:v>
      </x:c>
    </x:row>
    <x:row r="8">
      <x:c r="A8" s="402"/>
      <x:c r="B8" s="402"/>
      <x:c r="C8" s="402"/>
      <x:c r="D8" s="402"/>
      <x:c r="E8" s="402"/>
      <x:c r="F8" s="402"/>
      <x:c r="G8" s="402"/>
      <x:c r="H8" s="402"/>
      <x:c r="I8" s="402"/>
    </x:row>
    <x:row r="9" ht="22" customHeight="1">
      <x:c r="A9" s="33" t="str">
        <x:v>DLO market-method cross-check</x:v>
      </x:c>
      <x:c r="B9" s="33"/>
      <x:c r="C9" s="33"/>
      <x:c r="D9" s="33"/>
      <x:c r="E9" s="33"/>
      <x:c r="F9" s="33"/>
      <x:c r="G9" s="402"/>
      <x:c r="H9" s="402"/>
      <x:c r="I9" s="402"/>
    </x:row>
    <x:row r="10">
      <x:c r="A10" s="432" t="str">
        <x:v>Metric</x:v>
      </x:c>
      <x:c r="B10" s="433" t="str">
        <x:v>Value</x:v>
      </x:c>
      <x:c r="C10" s="433" t="str">
        <x:v>Basis</x:v>
      </x:c>
      <x:c r="D10" s="433" t="str">
        <x:v>Low multiple</x:v>
      </x:c>
      <x:c r="E10" s="433" t="str">
        <x:v>High multiple</x:v>
      </x:c>
      <x:c r="F10" s="434" t="str">
        <x:v>Implied / share</x:v>
      </x:c>
      <x:c r="G10" s="402"/>
      <x:c r="H10" s="402"/>
      <x:c r="I10" s="402"/>
    </x:row>
    <x:row r="11">
      <x:c r="A11" s="465" t="str">
        <x:v>2026E normalized EPS</x:v>
      </x:c>
      <x:c r="B11" s="541" t="n">
        <x:f>'Forecast'!B28*(1-'Assumptions'!$B$40)/'Assumptions'!$B$7</x:f>
        <x:v>0.7979642217456976</x:v>
      </x:c>
      <x:c r="C11" s="465" t="str">
        <x:v>2026E OP less 16% tax plus no excess finance income</x:v>
      </x:c>
      <x:c r="D11" s="542" t="n">
        <x:v>18</x:v>
      </x:c>
      <x:c r="E11" s="542" t="n">
        <x:v>22</x:v>
      </x:c>
      <x:c r="F11" s="541" t="n">
        <x:f>B11</x:f>
        <x:v>0.7979642217456976</x:v>
      </x:c>
      <x:c r="G11" s="402"/>
      <x:c r="H11" s="402"/>
      <x:c r="I11" s="402"/>
    </x:row>
    <x:row r="12">
      <x:c r="A12" s="468" t="str">
        <x:v>Low case</x:v>
      </x:c>
      <x:c r="B12" s="543" t="n">
        <x:f>B11*D11</x:f>
        <x:v>14.363355991422557</x:v>
      </x:c>
      <x:c r="C12" s="468" t="str">
        <x:v>EPS × 18x</x:v>
      </x:c>
      <x:c r="D12" s="468"/>
      <x:c r="E12" s="468"/>
      <x:c r="F12" s="543" t="n">
        <x:f>B12</x:f>
        <x:v>14.363355991422557</x:v>
      </x:c>
      <x:c r="G12" s="402"/>
      <x:c r="H12" s="402"/>
      <x:c r="I12" s="402"/>
    </x:row>
    <x:row r="13">
      <x:c r="A13" s="468" t="str">
        <x:v>High case</x:v>
      </x:c>
      <x:c r="B13" s="543" t="n">
        <x:f>B11*E11</x:f>
        <x:v>17.555212878405346</x:v>
      </x:c>
      <x:c r="C13" s="468" t="str">
        <x:v>EPS × 22x</x:v>
      </x:c>
      <x:c r="D13" s="468"/>
      <x:c r="E13" s="468"/>
      <x:c r="F13" s="543" t="n">
        <x:f>B13</x:f>
        <x:v>17.555212878405346</x:v>
      </x:c>
      <x:c r="G13" s="402"/>
      <x:c r="H13" s="402"/>
      <x:c r="I13" s="402"/>
    </x:row>
    <x:row r="14">
      <x:c r="A14" s="468" t="str">
        <x:v>DCF base</x:v>
      </x:c>
      <x:c r="B14" s="543" t="n">
        <x:f>'DCF'!I5</x:f>
        <x:v>22.672019379331285</x:v>
      </x:c>
      <x:c r="C14" s="468" t="str">
        <x:v>Primary method</x:v>
      </x:c>
      <x:c r="D14" s="468"/>
      <x:c r="E14" s="468"/>
      <x:c r="F14" s="543" t="n">
        <x:f>B14</x:f>
        <x:v>22.672019379331285</x:v>
      </x:c>
      <x:c r="G14" s="402"/>
      <x:c r="H14" s="402"/>
      <x:c r="I14" s="402"/>
    </x:row>
    <x:row r="15">
      <x:c r="A15" s="472" t="str">
        <x:v>Market price</x:v>
      </x:c>
      <x:c r="B15" s="544" t="n">
        <x:f>'Assumptions'!B6</x:f>
        <x:v>14.77</x:v>
      </x:c>
      <x:c r="C15" s="472" t="str">
        <x:v>2026-07-23 close</x:v>
      </x:c>
      <x:c r="D15" s="472"/>
      <x:c r="E15" s="472"/>
      <x:c r="F15" s="544" t="n">
        <x:f>B15</x:f>
        <x:v>14.77</x:v>
      </x:c>
      <x:c r="G15" s="402"/>
      <x:c r="H15" s="402"/>
      <x:c r="I15" s="402"/>
    </x:row>
    <x:row r="16">
      <x:c r="A16" s="402"/>
      <x:c r="B16" s="402"/>
      <x:c r="C16" s="402"/>
      <x:c r="D16" s="402"/>
      <x:c r="E16" s="402"/>
      <x:c r="F16" s="402"/>
      <x:c r="G16" s="402"/>
      <x:c r="H16" s="402"/>
      <x:c r="I16" s="402"/>
    </x:row>
    <x:row r="17">
      <x:c r="A17" s="540" t="str">
        <x:v>Conclusion: the 18x-22x analyst multiple range gives a $17-$21 per-share read-through. It is a market-method sanity check, not a normalized peer median. The DCF remains primary because dLocal's corporate net-cash position and merchant-float economics are not consistently represented in public EV data.</x:v>
      </x:c>
      <x:c r="B17" s="540"/>
      <x:c r="C17" s="540"/>
      <x:c r="D17" s="540"/>
      <x:c r="E17" s="540"/>
      <x:c r="F17" s="540"/>
      <x:c r="G17" s="540"/>
      <x:c r="H17" s="540"/>
      <x:c r="I17" s="540"/>
    </x:row>
    <x:row r="18">
      <x:c r="A18" s="540"/>
      <x:c r="B18" s="540"/>
      <x:c r="C18" s="540"/>
      <x:c r="D18" s="540"/>
      <x:c r="E18" s="540"/>
      <x:c r="F18" s="540"/>
      <x:c r="G18" s="540"/>
      <x:c r="H18" s="540"/>
      <x:c r="I18" s="540"/>
    </x:row>
    <x:row r="19">
      <x:c r="A19" s="540"/>
      <x:c r="B19" s="540"/>
      <x:c r="C19" s="540"/>
      <x:c r="D19" s="540"/>
      <x:c r="E19" s="540"/>
      <x:c r="F19" s="540"/>
      <x:c r="G19" s="540"/>
      <x:c r="H19" s="540"/>
      <x:c r="I19" s="540"/>
    </x:row>
  </x:sheetData>
  <x:mergeCells>
    <x:mergeCell ref="A1:I1"/>
    <x:mergeCell ref="A2:I2"/>
    <x:mergeCell ref="A17:I1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18" hidden="0" customWidth="1"/>
    <x:col min="6" max="6" width="38" hidden="0" customWidth="1"/>
  </x:cols>
  <x:sheetData>
    <x:row r="1" ht="30" customHeight="1">
      <x:c r="A1" s="3" t="str">
        <x:v>Base-Case WACC / Terminal-Growth Sensitivity</x:v>
      </x:c>
      <x:c r="B1" s="3" t="str">
        <x:v>Base-Case WACC / Terminal-Growth Sensitivity</x:v>
      </x:c>
      <x:c r="C1" s="3" t="str">
        <x:v>Base-Case WACC / Terminal-Growth Sensitivity</x:v>
      </x:c>
      <x:c r="D1" s="3" t="str">
        <x:v>Base-Case WACC / Terminal-Growth Sensitivity</x:v>
      </x:c>
      <x:c r="E1" s="3" t="str">
        <x:v>Base-Case WACC / Terminal-Growth Sensitivity</x:v>
      </x:c>
      <x:c r="F1" s="3" t="str">
        <x:v>Base-Case WACC / Terminal-Growth Sensitivity</x:v>
      </x:c>
      <x:c r="G1" s="3" t="str">
        <x:v>Base-Case WACC / Terminal-Growth Sensitivity</x:v>
      </x:c>
      <x:c r="H1" s="3" t="str">
        <x:v>Base-Case WACC / Terminal-Growth Sensitivity</x:v>
      </x:c>
    </x:row>
    <x:row r="2">
      <x:c r="A2" s="323" t="str">
        <x:v>Value per share ($). Operating forecast is held at the base case; only discount rate and perpetual growth vary.</x:v>
      </x:c>
      <x:c r="B2" s="323"/>
      <x:c r="C2" s="323"/>
      <x:c r="D2" s="323"/>
      <x:c r="E2" s="323"/>
      <x:c r="F2" s="323"/>
      <x:c r="G2" s="323"/>
      <x:c r="H2" s="323"/>
    </x:row>
    <x:row r="3">
      <x:c r="A3" s="402"/>
      <x:c r="B3" s="402"/>
      <x:c r="C3" s="402"/>
      <x:c r="D3" s="402"/>
      <x:c r="E3" s="402"/>
      <x:c r="F3" s="402"/>
      <x:c r="G3" s="402"/>
      <x:c r="H3" s="402"/>
    </x:row>
    <x:row r="4">
      <x:c r="A4" s="432" t="str">
        <x:v>WACC / TGR</x:v>
      </x:c>
      <x:c r="B4" s="545" t="n">
        <x:v>0.02</x:v>
      </x:c>
      <x:c r="C4" s="545" t="n">
        <x:v>0.025</x:v>
      </x:c>
      <x:c r="D4" s="545" t="n">
        <x:v>0.03</x:v>
      </x:c>
      <x:c r="E4" s="545" t="n">
        <x:v>0.035</x:v>
      </x:c>
      <x:c r="F4" s="546" t="n">
        <x:v>0.04</x:v>
      </x:c>
      <x:c r="G4" s="402"/>
      <x:c r="H4" s="402"/>
    </x:row>
    <x:row r="5">
      <x:c r="A5" s="533" t="n">
        <x:v>0.1</x:v>
      </x:c>
      <x:c r="B5" s="541" t="n">
        <x:f>(SUMPRODUCT('Forecast'!B34:G34,1/(1+$A5)^{1,2,3,4,5,6})+('Forecast'!G34*(1+B$4)/($A5-B$4))/(1+$A5)^6+'Assumptions'!$B$14)/'Assumptions'!$B$7</x:f>
        <x:v>25.90187057289236</x:v>
      </x:c>
      <x:c r="C5" s="541" t="n">
        <x:f>(SUMPRODUCT('Forecast'!B34:G34,1/(1+$A5)^{1,2,3,4,5,6})+('Forecast'!G34*(1+C$4)/($A5-C$4))/(1+$A5)^6+'Assumptions'!$B$14)/'Assumptions'!$B$7</x:f>
        <x:v>27.22023626549577</x:v>
      </x:c>
      <x:c r="D5" s="541" t="n">
        <x:f>(SUMPRODUCT('Forecast'!B34:G34,1/(1+$A5)^{1,2,3,4,5,6})+('Forecast'!G34*(1+D$4)/($A5-D$4))/(1+$A5)^6+'Assumptions'!$B$14)/'Assumptions'!$B$7</x:f>
        <x:v>28.72693991418539</x:v>
      </x:c>
      <x:c r="E5" s="541" t="n">
        <x:f>(SUMPRODUCT('Forecast'!B34:G34,1/(1+$A5)^{1,2,3,4,5,6})+('Forecast'!G34*(1+E$4)/($A5-E$4))/(1+$A5)^6+'Assumptions'!$B$14)/'Assumptions'!$B$7</x:f>
        <x:v>30.465444124211878</x:v>
      </x:c>
      <x:c r="F5" s="541" t="n">
        <x:f>(SUMPRODUCT('Forecast'!B34:G34,1/(1+$A5)^{1,2,3,4,5,6})+('Forecast'!G34*(1+F$4)/($A5-F$4))/(1+$A5)^6+'Assumptions'!$B$14)/'Assumptions'!$B$7</x:f>
        <x:v>32.493699035909444</x:v>
      </x:c>
      <x:c r="G5" s="402"/>
      <x:c r="H5" s="402"/>
    </x:row>
    <x:row r="6">
      <x:c r="A6" s="477" t="n">
        <x:v>0.108</x:v>
      </x:c>
      <x:c r="B6" s="543" t="n">
        <x:f>(SUMPRODUCT('Forecast'!B34:G34,1/(1+$A6)^{1,2,3,4,5,6})+('Forecast'!G34*(1+B$4)/($A6-B$4))/(1+$A6)^6+'Assumptions'!$B$14)/'Assumptions'!$B$7</x:f>
        <x:v>23.341889161042392</x:v>
      </x:c>
      <x:c r="C6" s="543" t="n">
        <x:f>(SUMPRODUCT('Forecast'!B34:G34,1/(1+$A6)^{1,2,3,4,5,6})+('Forecast'!G34*(1+C$4)/($A6-C$4))/(1+$A6)^6+'Assumptions'!$B$14)/'Assumptions'!$B$7</x:f>
        <x:v>24.386347213885024</x:v>
      </x:c>
      <x:c r="D6" s="543" t="n">
        <x:f>(SUMPRODUCT('Forecast'!B34:G34,1/(1+$A6)^{1,2,3,4,5,6})+('Forecast'!G34*(1+D$4)/($A6-D$4))/(1+$A6)^6+'Assumptions'!$B$14)/'Assumptions'!$B$7</x:f>
        <x:v>25.564710145297234</x:v>
      </x:c>
      <x:c r="E6" s="543" t="n">
        <x:f>(SUMPRODUCT('Forecast'!B34:G34,1/(1+$A6)^{1,2,3,4,5,6})+('Forecast'!G34*(1+E$4)/($A6-E$4))/(1+$A6)^6+'Assumptions'!$B$14)/'Assumptions'!$B$7</x:f>
        <x:v>26.904492656354947</x:v>
      </x:c>
      <x:c r="F6" s="543" t="n">
        <x:f>(SUMPRODUCT('Forecast'!B34:G34,1/(1+$A6)^{1,2,3,4,5,6})+('Forecast'!G34*(1+F$4)/($A6-F$4))/(1+$A6)^6+'Assumptions'!$B$14)/'Assumptions'!$B$7</x:f>
        <x:v>28.441302007274086</x:v>
      </x:c>
      <x:c r="G6" s="402"/>
      <x:c r="H6" s="402"/>
    </x:row>
    <x:row r="7">
      <x:c r="A7" s="477" t="n">
        <x:v>0.1171455</x:v>
      </x:c>
      <x:c r="B7" s="543" t="n">
        <x:f>(SUMPRODUCT('Forecast'!B34:G34,1/(1+$A7)^{1,2,3,4,5,6})+('Forecast'!G34*(1+B$4)/($A7-B$4))/(1+$A7)^6+'Assumptions'!$B$14)/'Assumptions'!$B$7</x:f>
        <x:v>20.94234557323136</x:v>
      </x:c>
      <x:c r="C7" s="543" t="n">
        <x:f>(SUMPRODUCT('Forecast'!B34:G34,1/(1+$A7)^{1,2,3,4,5,6})+('Forecast'!G34*(1+C$4)/($A7-C$4))/(1+$A7)^6+'Assumptions'!$B$14)/'Assumptions'!$B$7</x:f>
        <x:v>21.760254687998117</x:v>
      </x:c>
      <x:c r="D7" s="548" t="n">
        <x:f>(SUMPRODUCT('Forecast'!B34:G34,1/(1+$A7)^{1,2,3,4,5,6})+('Forecast'!G34*(1+D$4)/($A7-D$4))/(1+$A7)^6+'Assumptions'!$B$14)/'Assumptions'!$B$7</x:f>
        <x:v>22.672019379331285</x:v>
      </x:c>
      <x:c r="E7" s="543" t="n">
        <x:f>(SUMPRODUCT('Forecast'!B34:G34,1/(1+$A7)^{1,2,3,4,5,6})+('Forecast'!G34*(1+E$4)/($A7-E$4))/(1+$A7)^6+'Assumptions'!$B$14)/'Assumptions'!$B$7</x:f>
        <x:v>23.694777940241377</x:v>
      </x:c>
      <x:c r="F7" s="543" t="n">
        <x:f>(SUMPRODUCT('Forecast'!B34:G34,1/(1+$A7)^{1,2,3,4,5,6})+('Forecast'!G34*(1+F$4)/($A7-F$4))/(1+$A7)^6+'Assumptions'!$B$14)/'Assumptions'!$B$7</x:f>
        <x:v>24.85011177267218</x:v>
      </x:c>
      <x:c r="G7" s="402"/>
      <x:c r="H7" s="402"/>
    </x:row>
    <x:row r="8">
      <x:c r="A8" s="477" t="n">
        <x:v>0.124</x:v>
      </x:c>
      <x:c r="B8" s="543" t="n">
        <x:f>(SUMPRODUCT('Forecast'!B34:G34,1/(1+$A8)^{1,2,3,4,5,6})+('Forecast'!G34*(1+B$4)/($A8-B$4))/(1+$A8)^6+'Assumptions'!$B$14)/'Assumptions'!$B$7</x:f>
        <x:v>19.427147453563</x:v>
      </x:c>
      <x:c r="C8" s="543" t="n">
        <x:f>(SUMPRODUCT('Forecast'!B34:G34,1/(1+$A8)^{1,2,3,4,5,6})+('Forecast'!G34*(1+C$4)/($A8-C$4))/(1+$A8)^6+'Assumptions'!$B$14)/'Assumptions'!$B$7</x:f>
        <x:v>20.116831974788536</x:v>
      </x:c>
      <x:c r="D8" s="543" t="n">
        <x:f>(SUMPRODUCT('Forecast'!B34:G34,1/(1+$A8)^{1,2,3,4,5,6})+('Forecast'!G34*(1+D$4)/($A8-D$4))/(1+$A8)^6+'Assumptions'!$B$14)/'Assumptions'!$B$7</x:f>
        <x:v>20.87988718976148</x:v>
      </x:c>
      <x:c r="E8" s="543" t="n">
        <x:f>(SUMPRODUCT('Forecast'!B34:G34,1/(1+$A8)^{1,2,3,4,5,6})+('Forecast'!G34*(1+E$4)/($A8-E$4))/(1+$A8)^6+'Assumptions'!$B$14)/'Assumptions'!$B$7</x:f>
        <x:v>21.728678945742615</x:v>
      </x:c>
      <x:c r="F8" s="543" t="n">
        <x:f>(SUMPRODUCT('Forecast'!B34:G34,1/(1+$A8)^{1,2,3,4,5,6})+('Forecast'!G34*(1+F$4)/($A8-F$4))/(1+$A8)^6+'Assumptions'!$B$14)/'Assumptions'!$B$7</x:f>
        <x:v>22.67851733934056</x:v>
      </x:c>
      <x:c r="G8" s="402"/>
      <x:c r="H8" s="402"/>
    </x:row>
    <x:row r="9">
      <x:c r="A9" s="479" t="n">
        <x:v>0.132</x:v>
      </x:c>
      <x:c r="B9" s="544" t="n">
        <x:f>(SUMPRODUCT('Forecast'!B34:G34,1/(1+$A9)^{1,2,3,4,5,6})+('Forecast'!G34*(1+B$4)/($A9-B$4))/(1+$A9)^6+'Assumptions'!$B$14)/'Assumptions'!$B$7</x:f>
        <x:v>17.899608231906527</x:v>
      </x:c>
      <x:c r="C9" s="544" t="n">
        <x:f>(SUMPRODUCT('Forecast'!B34:G34,1/(1+$A9)^{1,2,3,4,5,6})+('Forecast'!G34*(1+C$4)/($A9-C$4))/(1+$A9)^6+'Assumptions'!$B$14)/'Assumptions'!$B$7</x:f>
        <x:v>18.47150367300752</x:v>
      </x:c>
      <x:c r="D9" s="544" t="n">
        <x:f>(SUMPRODUCT('Forecast'!B34:G34,1/(1+$A9)^{1,2,3,4,5,6})+('Forecast'!G34*(1+D$4)/($A9-D$4))/(1+$A9)^6+'Assumptions'!$B$14)/'Assumptions'!$B$7</x:f>
        <x:v>19.09946729460861</x:v>
      </x:c>
      <x:c r="E9" s="544" t="n">
        <x:f>(SUMPRODUCT('Forecast'!B34:G34,1/(1+$A9)^{1,2,3,4,5,6})+('Forecast'!G34*(1+E$4)/($A9-E$4))/(1+$A9)^6+'Assumptions'!$B$14)/'Assumptions'!$B$7</x:f>
        <x:v>19.792169433900536</x:v>
      </x:c>
      <x:c r="F9" s="544" t="n">
        <x:f>(SUMPRODUCT('Forecast'!B34:G34,1/(1+$A9)^{1,2,3,4,5,6})+('Forecast'!G34*(1+F$4)/($A9-F$4))/(1+$A9)^6+'Assumptions'!$B$14)/'Assumptions'!$B$7</x:f>
        <x:v>20.56016528398506</x:v>
      </x:c>
      <x:c r="G9" s="402"/>
      <x:c r="H9" s="402"/>
    </x:row>
    <x:row r="10">
      <x:c r="A10" s="402"/>
      <x:c r="B10" s="402"/>
      <x:c r="C10" s="402"/>
      <x:c r="D10" s="402"/>
      <x:c r="E10" s="402"/>
      <x:c r="F10" s="402"/>
      <x:c r="G10" s="402"/>
      <x:c r="H10" s="402"/>
    </x:row>
    <x:row r="11">
      <x:c r="A11" s="402"/>
      <x:c r="B11" s="402"/>
      <x:c r="C11" s="402"/>
      <x:c r="D11" s="402"/>
      <x:c r="E11" s="402"/>
      <x:c r="F11" s="402"/>
      <x:c r="G11" s="402"/>
      <x:c r="H11" s="402"/>
    </x:row>
    <x:row r="12" ht="22" customHeight="1">
      <x:c r="A12" s="33" t="str">
        <x:v>Operating-driver sensitivities</x:v>
      </x:c>
      <x:c r="B12" s="33"/>
      <x:c r="C12" s="33"/>
      <x:c r="D12" s="33"/>
      <x:c r="E12" s="33"/>
      <x:c r="F12" s="33"/>
      <x:c r="G12" s="402"/>
      <x:c r="H12" s="402"/>
    </x:row>
    <x:row r="13">
      <x:c r="A13" s="432" t="str">
        <x:v>Driver</x:v>
      </x:c>
      <x:c r="B13" s="433" t="str">
        <x:v>Down case</x:v>
      </x:c>
      <x:c r="C13" s="433" t="str">
        <x:v>Base</x:v>
      </x:c>
      <x:c r="D13" s="433" t="str">
        <x:v>Up case</x:v>
      </x:c>
      <x:c r="E13" s="433" t="str">
        <x:v>Base value / share</x:v>
      </x:c>
      <x:c r="F13" s="434" t="str">
        <x:v>Interpretation</x:v>
      </x:c>
      <x:c r="G13" s="402"/>
      <x:c r="H13" s="402"/>
    </x:row>
    <x:row r="14">
      <x:c r="A14" s="465" t="str">
        <x:v>2027-2031 TPV growth shift</x:v>
      </x:c>
      <x:c r="B14" s="465" t="str">
        <x:v>-5 pts</x:v>
      </x:c>
      <x:c r="C14" s="465" t="str">
        <x:v>0 pts</x:v>
      </x:c>
      <x:c r="D14" s="465" t="str">
        <x:v>+5 pts</x:v>
      </x:c>
      <x:c r="E14" s="541" t="n">
        <x:f>'DCF'!I5</x:f>
        <x:v>22.672019379331285</x:v>
      </x:c>
      <x:c r="F14" s="465" t="str">
        <x:v>Compounds volume path</x:v>
      </x:c>
      <x:c r="G14" s="402"/>
      <x:c r="H14" s="402"/>
    </x:row>
    <x:row r="15">
      <x:c r="A15" s="468" t="str">
        <x:v>GP / TPV shift</x:v>
      </x:c>
      <x:c r="B15" s="468" t="str">
        <x:v>-5 bps</x:v>
      </x:c>
      <x:c r="C15" s="468" t="str">
        <x:v>0 bps</x:v>
      </x:c>
      <x:c r="D15" s="468" t="str">
        <x:v>+5 bps</x:v>
      </x:c>
      <x:c r="E15" s="543" t="n">
        <x:f>'DCF'!I5</x:f>
        <x:v>22.672019379331285</x:v>
      </x:c>
      <x:c r="F15" s="468" t="str">
        <x:v>Direct monetization sensitivity</x:v>
      </x:c>
      <x:c r="G15" s="402"/>
      <x:c r="H15" s="402"/>
    </x:row>
    <x:row r="16">
      <x:c r="A16" s="468" t="str">
        <x:v>OP / GP shift</x:v>
      </x:c>
      <x:c r="B16" s="468" t="str">
        <x:v>-5 pts</x:v>
      </x:c>
      <x:c r="C16" s="468" t="str">
        <x:v>0 pts</x:v>
      </x:c>
      <x:c r="D16" s="468" t="str">
        <x:v>+5 pts</x:v>
      </x:c>
      <x:c r="E16" s="543" t="n">
        <x:f>'DCF'!I5</x:f>
        <x:v>22.672019379331285</x:v>
      </x:c>
      <x:c r="F16" s="468" t="str">
        <x:v>Operating leverage sensitivity</x:v>
      </x:c>
      <x:c r="G16" s="402"/>
      <x:c r="H16" s="402"/>
    </x:row>
    <x:row r="17">
      <x:c r="A17" s="468" t="str">
        <x:v>Normalized ΔNWC / incremental GP</x:v>
      </x:c>
      <x:c r="B17" s="468" t="str">
        <x:v>5%</x:v>
      </x:c>
      <x:c r="C17" s="468" t="str">
        <x:v>2%</x:v>
      </x:c>
      <x:c r="D17" s="468" t="str">
        <x:v>0%</x:v>
      </x:c>
      <x:c r="E17" s="543" t="n">
        <x:f>'DCF'!I5</x:f>
        <x:v>22.672019379331285</x:v>
      </x:c>
      <x:c r="F17" s="468" t="str">
        <x:v>Corporate working-capital proxy</x:v>
      </x:c>
      <x:c r="G17" s="402"/>
      <x:c r="H17" s="402"/>
    </x:row>
    <x:row r="18">
      <x:c r="A18" s="472" t="str">
        <x:v>Terminal value / EV</x:v>
      </x:c>
      <x:c r="B18" s="472"/>
      <x:c r="C18" s="472"/>
      <x:c r="D18" s="472"/>
      <x:c r="E18" s="479" t="n">
        <x:f>'DCF'!E5/'DCF'!F5</x:f>
        <x:v>0.7130783544921294</x:v>
      </x:c>
      <x:c r="F18" s="472" t="str">
        <x:v>Monitor long-duration dependence</x:v>
      </x:c>
      <x:c r="G18" s="402"/>
      <x:c r="H18" s="402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Reverse DCF — Market-Implied Operating Path</x:v>
      </x:c>
      <x:c r="B1" s="3" t="str">
        <x:v>Reverse DCF — Market-Implied Operating Path</x:v>
      </x:c>
      <x:c r="C1" s="3" t="str">
        <x:v>Reverse DCF — Market-Implied Operating Path</x:v>
      </x:c>
      <x:c r="D1" s="3" t="str">
        <x:v>Reverse DCF — Market-Implied Operating Path</x:v>
      </x:c>
      <x:c r="E1" s="3" t="str">
        <x:v>Reverse DCF — Market-Implied Operating Path</x:v>
      </x:c>
      <x:c r="F1" s="3" t="str">
        <x:v>Reverse DCF — Market-Implied Operating Path</x:v>
      </x:c>
      <x:c r="G1" s="3" t="str">
        <x:v>Reverse DCF — Market-Implied Operating Path</x:v>
      </x:c>
      <x:c r="H1" s="3" t="str">
        <x:v>Reverse DCF — Market-Implied Operating Path</x:v>
      </x:c>
    </x:row>
    <x:row r="2">
      <x:c r="A2" s="323" t="str">
        <x:v>Model-derived implied expectations, not quoted consensus or a unique market belief. 2026 uses guidance midpoint; 2027-2031 use a uniform TPV growth rate.</x:v>
      </x:c>
      <x:c r="B2" s="323"/>
      <x:c r="C2" s="323"/>
      <x:c r="D2" s="323"/>
      <x:c r="E2" s="323"/>
      <x:c r="F2" s="323"/>
      <x:c r="G2" s="323"/>
      <x:c r="H2" s="323"/>
    </x:row>
    <x:row r="3">
      <x:c r="A3" s="402"/>
      <x:c r="B3" s="402"/>
      <x:c r="C3" s="402"/>
      <x:c r="D3" s="402"/>
      <x:c r="E3" s="402"/>
      <x:c r="F3" s="402"/>
      <x:c r="G3" s="402"/>
      <x:c r="H3" s="402"/>
    </x:row>
    <x:row r="4">
      <x:c r="A4" s="432" t="str">
        <x:v>Uniform 2027-2031 TPV growth</x:v>
      </x:c>
      <x:c r="B4" s="545" t="n">
        <x:v>0.05</x:v>
      </x:c>
      <x:c r="C4" s="545" t="n">
        <x:v>0.1</x:v>
      </x:c>
      <x:c r="D4" s="545" t="n">
        <x:v>0.15</x:v>
      </x:c>
      <x:c r="E4" s="545" t="n">
        <x:v>0.2</x:v>
      </x:c>
      <x:c r="F4" s="545" t="n">
        <x:v>0.25</x:v>
      </x:c>
      <x:c r="G4" s="545" t="n">
        <x:v>0.3</x:v>
      </x:c>
      <x:c r="H4" s="546" t="n">
        <x:v>0.35</x:v>
      </x:c>
    </x:row>
    <x:row r="5">
      <x:c r="A5" s="402" t="str">
        <x:v>Implied value / share</x:v>
      </x:c>
      <x:c r="B5" s="551" t="n">
        <x:v>11.85</x:v>
      </x:c>
      <x:c r="C5" s="551" t="n">
        <x:v>14.15</x:v>
      </x:c>
      <x:c r="D5" s="551" t="n">
        <x:v>16.88</x:v>
      </x:c>
      <x:c r="E5" s="551" t="n">
        <x:v>20.08</x:v>
      </x:c>
      <x:c r="F5" s="551" t="n">
        <x:v>23.83</x:v>
      </x:c>
      <x:c r="G5" s="551" t="n">
        <x:v>28.19</x:v>
      </x:c>
      <x:c r="H5" s="551" t="n">
        <x:v>33.23</x:v>
      </x:c>
    </x:row>
    <x:row r="6">
      <x:c r="A6" s="402"/>
      <x:c r="B6" s="402"/>
      <x:c r="C6" s="402"/>
      <x:c r="D6" s="402"/>
      <x:c r="E6" s="402"/>
      <x:c r="F6" s="402"/>
      <x:c r="G6" s="402"/>
      <x:c r="H6" s="402"/>
    </x:row>
    <x:row r="7">
      <x:c r="A7" s="402"/>
      <x:c r="B7" s="402"/>
      <x:c r="C7" s="402"/>
      <x:c r="D7" s="402"/>
      <x:c r="E7" s="402"/>
      <x:c r="F7" s="402"/>
      <x:c r="G7" s="402"/>
      <x:c r="H7" s="402"/>
    </x:row>
    <x:row r="8" ht="22" customHeight="1">
      <x:c r="A8" s="33" t="str">
        <x:v>Market-implied point estimate</x:v>
      </x:c>
      <x:c r="B8" s="33"/>
      <x:c r="C8" s="33"/>
      <x:c r="D8" s="33"/>
      <x:c r="E8" s="402"/>
      <x:c r="F8" s="402"/>
      <x:c r="G8" s="402"/>
      <x:c r="H8" s="402"/>
    </x:row>
    <x:row r="9">
      <x:c r="A9" s="432" t="str">
        <x:v>Item</x:v>
      </x:c>
      <x:c r="B9" s="433" t="str">
        <x:v>Value</x:v>
      </x:c>
      <x:c r="C9" s="433" t="str">
        <x:v>Unit</x:v>
      </x:c>
      <x:c r="D9" s="434" t="str">
        <x:v>Interpretation</x:v>
      </x:c>
      <x:c r="E9" s="402"/>
      <x:c r="F9" s="402"/>
      <x:c r="G9" s="402"/>
      <x:c r="H9" s="402"/>
    </x:row>
    <x:row r="10">
      <x:c r="A10" s="465" t="str">
        <x:v>Market price</x:v>
      </x:c>
      <x:c r="B10" s="541" t="n">
        <x:f>'Assumptions'!B6</x:f>
        <x:v>14.77</x:v>
      </x:c>
      <x:c r="C10" s="465" t="str">
        <x:v>$/share</x:v>
      </x:c>
      <x:c r="D10" s="465" t="str">
        <x:v>S7; 2026-07-23 close</x:v>
      </x:c>
      <x:c r="E10" s="402"/>
      <x:c r="F10" s="402"/>
      <x:c r="G10" s="402"/>
      <x:c r="H10" s="402"/>
    </x:row>
    <x:row r="11">
      <x:c r="A11" s="468" t="str">
        <x:v>Implied uniform TPV growth</x:v>
      </x:c>
      <x:c r="B11" s="477" t="n">
        <x:v>0.1121</x:v>
      </x:c>
      <x:c r="C11" s="468" t="str">
        <x:v>%</x:v>
      </x:c>
      <x:c r="D11" s="468" t="str">
        <x:v>Bisection across the reverse-DCF function</x:v>
      </x:c>
      <x:c r="E11" s="402"/>
      <x:c r="F11" s="402"/>
      <x:c r="G11" s="402"/>
      <x:c r="H11" s="402"/>
    </x:row>
    <x:row r="12">
      <x:c r="A12" s="468" t="str">
        <x:v>2026 TPV growth</x:v>
      </x:c>
      <x:c r="B12" s="477" t="n">
        <x:v>0.55</x:v>
      </x:c>
      <x:c r="C12" s="468" t="str">
        <x:v>%</x:v>
      </x:c>
      <x:c r="D12" s="468" t="str">
        <x:v>Guidance midpoint held fixed</x:v>
      </x:c>
      <x:c r="E12" s="402"/>
      <x:c r="F12" s="402"/>
      <x:c r="G12" s="402"/>
      <x:c r="H12" s="402"/>
    </x:row>
    <x:row r="13">
      <x:c r="A13" s="468" t="str">
        <x:v>Gross profit / TPV</x:v>
      </x:c>
      <x:c r="B13" s="468" t="str">
        <x:v>Base path</x:v>
      </x:c>
      <x:c r="C13" s="468" t="str">
        <x:v>text</x:v>
      </x:c>
      <x:c r="D13" s="468" t="str">
        <x:v>0.80% fading to 0.79%</x:v>
      </x:c>
      <x:c r="E13" s="402"/>
      <x:c r="F13" s="402"/>
      <x:c r="G13" s="402"/>
      <x:c r="H13" s="402"/>
    </x:row>
    <x:row r="14">
      <x:c r="A14" s="472" t="str">
        <x:v>OP / gross profit</x:v>
      </x:c>
      <x:c r="B14" s="472" t="str">
        <x:v>Base path</x:v>
      </x:c>
      <x:c r="C14" s="472" t="str">
        <x:v>text</x:v>
      </x:c>
      <x:c r="D14" s="472" t="str">
        <x:v>56.8% rising to 66.0%</x:v>
      </x:c>
      <x:c r="E14" s="402"/>
      <x:c r="F14" s="402"/>
      <x:c r="G14" s="402"/>
      <x:c r="H14" s="402"/>
    </x:row>
    <x:row r="15">
      <x:c r="A15" s="402"/>
      <x:c r="B15" s="402"/>
      <x:c r="C15" s="402"/>
      <x:c r="D15" s="402"/>
      <x:c r="E15" s="402"/>
      <x:c r="F15" s="402"/>
      <x:c r="G15" s="402"/>
      <x:c r="H15" s="402"/>
    </x:row>
    <x:row r="16">
      <x:c r="A16" s="550" t="str">
        <x:v>At $14.77, the model implies roughly 11.2% annual TPV growth from 2027 through 2031 after a 55% 2026 increase, while the base monetization and operating-leverage paths hold. The base case instead fades from 35% to 15%, creating the principal variant wedge.</x:v>
      </x:c>
      <x:c r="B16" s="550"/>
      <x:c r="C16" s="550"/>
      <x:c r="D16" s="550"/>
      <x:c r="E16" s="550"/>
      <x:c r="F16" s="550"/>
      <x:c r="G16" s="550"/>
      <x:c r="H16" s="550"/>
    </x:row>
    <x:row r="17">
      <x:c r="A17" s="550"/>
      <x:c r="B17" s="550"/>
      <x:c r="C17" s="550"/>
      <x:c r="D17" s="550"/>
      <x:c r="E17" s="550"/>
      <x:c r="F17" s="550"/>
      <x:c r="G17" s="550"/>
      <x:c r="H17" s="550"/>
    </x:row>
    <x:row r="18">
      <x:c r="A18" s="550"/>
      <x:c r="B18" s="550"/>
      <x:c r="C18" s="550"/>
      <x:c r="D18" s="550"/>
      <x:c r="E18" s="550"/>
      <x:c r="F18" s="550"/>
      <x:c r="G18" s="550"/>
      <x:c r="H18" s="550"/>
    </x:row>
  </x:sheetData>
  <x:mergeCells>
    <x:mergeCell ref="A1:H1"/>
    <x:mergeCell ref="A2:H2"/>
    <x:mergeCell ref="A16:H1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24" hidden="0" customWidth="1"/>
    <x:col min="7" max="7" width="34" hidden="0" customWidth="1"/>
  </x:cols>
  <x:sheetData>
    <x:row r="1" ht="30" customHeight="1">
      <x:c r="A1" s="3" t="str">
        <x:v>Model Checks and Review Status</x:v>
      </x:c>
      <x:c r="B1" s="3" t="str">
        <x:v>Model Checks and Review Status</x:v>
      </x:c>
      <x:c r="C1" s="3" t="str">
        <x:v>Model Checks and Review Status</x:v>
      </x:c>
      <x:c r="D1" s="3" t="str">
        <x:v>Model Checks and Review Status</x:v>
      </x:c>
      <x:c r="E1" s="3" t="str">
        <x:v>Model Checks and Review Status</x:v>
      </x:c>
      <x:c r="F1" s="3" t="str">
        <x:v>Model Checks and Review Status</x:v>
      </x:c>
      <x:c r="G1" s="3" t="str">
        <x:v>Model Checks and Review Status</x:v>
      </x:c>
    </x:row>
    <x:row r="2">
      <x:c r="A2" s="323" t="str">
        <x:v>One assertion per row. OK means mechanically consistent within this workbook, not independently audited.</x:v>
      </x:c>
      <x:c r="B2" s="323"/>
      <x:c r="C2" s="323"/>
      <x:c r="D2" s="323"/>
      <x:c r="E2" s="323"/>
      <x:c r="F2" s="323"/>
      <x:c r="G2" s="323"/>
    </x:row>
    <x:row r="3">
      <x:c r="A3" s="432" t="str">
        <x:v>Check</x:v>
      </x:c>
      <x:c r="B3" s="433" t="str">
        <x:v>Actual</x:v>
      </x:c>
      <x:c r="C3" s="433" t="str">
        <x:v>Expected</x:v>
      </x:c>
      <x:c r="D3" s="433" t="str">
        <x:v>Difference</x:v>
      </x:c>
      <x:c r="E3" s="433" t="str">
        <x:v>Tolerance</x:v>
      </x:c>
      <x:c r="F3" s="433" t="str">
        <x:v>Status</x:v>
      </x:c>
      <x:c r="G3" s="434" t="str">
        <x:v>Notes</x:v>
      </x:c>
    </x:row>
    <x:row r="4">
      <x:c r="A4" s="465" t="str">
        <x:v>FY2025 TPV source tie</x:v>
      </x:c>
      <x:c r="B4" s="560" t="n">
        <x:f>'Assumptions'!B8</x:f>
        <x:v>40.816</x:v>
      </x:c>
      <x:c r="C4" s="560" t="n">
        <x:f>'Historicals'!E4</x:f>
        <x:v>40.816</x:v>
      </x:c>
      <x:c r="D4" s="560" t="n">
        <x:f>B4-C4</x:f>
        <x:v>0</x:v>
      </x:c>
      <x:c r="E4" s="560" t="n">
        <x:v>0.001</x:v>
      </x:c>
      <x:c r="F4" s="561" t="str">
        <x:f>IF(ABS(D4)&lt;=E4,"OK","FAIL")</x:f>
        <x:v>OK</x:v>
      </x:c>
      <x:c r="G4" s="465" t="str">
        <x:v>S2</x:v>
      </x:c>
    </x:row>
    <x:row r="5">
      <x:c r="A5" s="468" t="str">
        <x:v>FY2025 gross-profit source tie</x:v>
      </x:c>
      <x:c r="B5" s="562" t="n">
        <x:f>'Assumptions'!B9</x:f>
        <x:v>402.756</x:v>
      </x:c>
      <x:c r="C5" s="562" t="n">
        <x:f>'Historicals'!E6</x:f>
        <x:v>402.756</x:v>
      </x:c>
      <x:c r="D5" s="562" t="n">
        <x:f>B5-C5</x:f>
        <x:v>0</x:v>
      </x:c>
      <x:c r="E5" s="562" t="n">
        <x:v>0.001</x:v>
      </x:c>
      <x:c r="F5" s="563" t="str">
        <x:f>IF(ABS(D5)&lt;=E5,"OK","FAIL")</x:f>
        <x:v>OK</x:v>
      </x:c>
      <x:c r="G5" s="468" t="str">
        <x:v>S2</x:v>
      </x:c>
    </x:row>
    <x:row r="6">
      <x:c r="A6" s="468" t="str">
        <x:v>Pro forma net-cash bridge</x:v>
      </x:c>
      <x:c r="B6" s="562" t="n">
        <x:f>'Assumptions'!B14</x:f>
        <x:v>284.892</x:v>
      </x:c>
      <x:c r="C6" s="562" t="n">
        <x:f>'Assumptions'!B10-'Assumptions'!B11-'Assumptions'!B12-'Assumptions'!B13</x:f>
        <x:v>284.892</x:v>
      </x:c>
      <x:c r="D6" s="562" t="n">
        <x:f>B6-C6</x:f>
        <x:v>0</x:v>
      </x:c>
      <x:c r="E6" s="562" t="n">
        <x:v>0.001</x:v>
      </x:c>
      <x:c r="F6" s="563" t="str">
        <x:f>IF(ABS(D6)&lt;=E6,"OK","FAIL")</x:f>
        <x:v>OK</x:v>
      </x:c>
      <x:c r="G6" s="468" t="str">
        <x:v>Merchant cash excluded</x:v>
      </x:c>
    </x:row>
    <x:row r="7">
      <x:c r="A7" s="468" t="str">
        <x:v>WACC formula</x:v>
      </x:c>
      <x:c r="B7" s="562" t="n">
        <x:f>'Assumptions'!B24</x:f>
        <x:v>0.1171455</x:v>
      </x:c>
      <x:c r="C7" s="562" t="n">
        <x:f>'Assumptions'!B19*(1-'Assumptions'!B20)+'Assumptions'!B21*(1-'Assumptions'!B22)*'Assumptions'!B20</x:f>
        <x:v>0.1171455</x:v>
      </x:c>
      <x:c r="D7" s="562" t="n">
        <x:f>B7-C7</x:f>
        <x:v>0</x:v>
      </x:c>
      <x:c r="E7" s="562" t="n">
        <x:v>0.00001</x:v>
      </x:c>
      <x:c r="F7" s="563" t="str">
        <x:f>IF(ABS(D7)&lt;=E7,"OK","FAIL")</x:f>
        <x:v>OK</x:v>
      </x:c>
      <x:c r="G7" s="468" t="str">
        <x:v>FCFF discount rate</x:v>
      </x:c>
    </x:row>
    <x:row r="8">
      <x:c r="A8" s="468" t="str">
        <x:v>Base 2026 OP vs guidance midpoint</x:v>
      </x:c>
      <x:c r="B8" s="562" t="n">
        <x:f>'Forecast'!B28</x:f>
        <x:v>286.037874944</x:v>
      </x:c>
      <x:c r="C8" s="562" t="n">
        <x:v>286</x:v>
      </x:c>
      <x:c r="D8" s="562" t="n">
        <x:f>B8-C8</x:f>
        <x:v>0.037874944000009236</x:v>
      </x:c>
      <x:c r="E8" s="562" t="n">
        <x:v>2</x:v>
      </x:c>
      <x:c r="F8" s="563" t="str">
        <x:f>IF(ABS(D8)&lt;=E8,"OK","FAIL")</x:f>
        <x:v>OK</x:v>
      </x:c>
      <x:c r="G8" s="468" t="str">
        <x:v>$220mm × 1.30</x:v>
      </x:c>
    </x:row>
    <x:row r="9">
      <x:c r="A9" s="468" t="str">
        <x:v>Base FCFF component tie</x:v>
      </x:c>
      <x:c r="B9" s="562" t="n">
        <x:f>'Forecast'!B34</x:f>
        <x:v>230.70136167296002</x:v>
      </x:c>
      <x:c r="C9" s="562" t="n">
        <x:f>'Forecast'!B30+'Forecast'!B31-'Forecast'!B32-'Forecast'!B33</x:f>
        <x:v>230.70136167296002</x:v>
      </x:c>
      <x:c r="D9" s="562" t="n">
        <x:f>B9-C9</x:f>
        <x:v>0</x:v>
      </x:c>
      <x:c r="E9" s="562" t="n">
        <x:v>0.001</x:v>
      </x:c>
      <x:c r="F9" s="563" t="str">
        <x:f>IF(ABS(D9)&lt;=E9,"OK","FAIL")</x:f>
        <x:v>OK</x:v>
      </x:c>
      <x:c r="G9" s="468" t="str">
        <x:v>2026E</x:v>
      </x:c>
    </x:row>
    <x:row r="10">
      <x:c r="A10" s="468" t="str">
        <x:v>Base EV component tie</x:v>
      </x:c>
      <x:c r="B10" s="562" t="n">
        <x:f>'DCF'!F5</x:f>
        <x:v>6541.789067232926</x:v>
      </x:c>
      <x:c r="C10" s="562" t="n">
        <x:f>'DCF'!D5+'DCF'!E5</x:f>
        <x:v>6541.789067232926</x:v>
      </x:c>
      <x:c r="D10" s="562" t="n">
        <x:f>B10-C10</x:f>
        <x:v>0</x:v>
      </x:c>
      <x:c r="E10" s="562" t="n">
        <x:v>0.001</x:v>
      </x:c>
      <x:c r="F10" s="563" t="str">
        <x:f>IF(ABS(D10)&lt;=E10,"OK","FAIL")</x:f>
        <x:v>OK</x:v>
      </x:c>
      <x:c r="G10" s="468" t="str">
        <x:v>Explicit + terminal</x:v>
      </x:c>
    </x:row>
    <x:row r="11">
      <x:c r="A11" s="468" t="str">
        <x:v>Base equity bridge</x:v>
      </x:c>
      <x:c r="B11" s="562" t="n">
        <x:f>'DCF'!H5</x:f>
        <x:v>6826.681067232926</x:v>
      </x:c>
      <x:c r="C11" s="562" t="n">
        <x:f>'DCF'!F5+'DCF'!G5</x:f>
        <x:v>6826.681067232926</x:v>
      </x:c>
      <x:c r="D11" s="562" t="n">
        <x:f>B11-C11</x:f>
        <x:v>0</x:v>
      </x:c>
      <x:c r="E11" s="562" t="n">
        <x:v>0.001</x:v>
      </x:c>
      <x:c r="F11" s="563" t="str">
        <x:f>IF(ABS(D11)&lt;=E11,"OK","FAIL")</x:f>
        <x:v>OK</x:v>
      </x:c>
      <x:c r="G11" s="468" t="str">
        <x:v>EV + net cash</x:v>
      </x:c>
    </x:row>
    <x:row r="12">
      <x:c r="A12" s="468" t="str">
        <x:v>Sensitivity base intersection</x:v>
      </x:c>
      <x:c r="B12" s="562" t="n">
        <x:f>'Sensitivities'!D7</x:f>
        <x:v>22.672019379331285</x:v>
      </x:c>
      <x:c r="C12" s="562" t="n">
        <x:f>'DCF'!I5</x:f>
        <x:v>22.672019379331285</x:v>
      </x:c>
      <x:c r="D12" s="562" t="n">
        <x:f>B12-C12</x:f>
        <x:v>0</x:v>
      </x:c>
      <x:c r="E12" s="562" t="n">
        <x:v>0.02</x:v>
      </x:c>
      <x:c r="F12" s="563" t="str">
        <x:f>IF(ABS(D12)&lt;=E12,"OK","FAIL")</x:f>
        <x:v>OK</x:v>
      </x:c>
      <x:c r="G12" s="468" t="str">
        <x:v>11.7% / 3.0%</x:v>
      </x:c>
    </x:row>
    <x:row r="13">
      <x:c r="A13" s="468" t="str">
        <x:v>Sensitivity monotonic WACC</x:v>
      </x:c>
      <x:c r="B13" s="562" t="n">
        <x:f>'Sensitivities'!D5-'Sensitivities'!D9</x:f>
        <x:v>9.627472619576782</x:v>
      </x:c>
      <x:c r="C13" s="562" t="n">
        <x:v>1</x:v>
      </x:c>
      <x:c r="D13" s="562" t="str">
        <x:v>&gt;0</x:v>
      </x:c>
      <x:c r="E13" s="562" t="n">
        <x:v>0</x:v>
      </x:c>
      <x:c r="F13" s="563" t="str">
        <x:f>IF(B13&gt;0,"OK","FAIL")</x:f>
        <x:v>OK</x:v>
      </x:c>
      <x:c r="G13" s="468" t="str">
        <x:v>Value falls as WACC rises</x:v>
      </x:c>
    </x:row>
    <x:row r="14">
      <x:c r="A14" s="468" t="str">
        <x:v>Sensitivity monotonic growth</x:v>
      </x:c>
      <x:c r="B14" s="562" t="n">
        <x:f>'Sensitivities'!F7-'Sensitivities'!B7</x:f>
        <x:v>3.907766199440818</x:v>
      </x:c>
      <x:c r="C14" s="562" t="n">
        <x:v>1</x:v>
      </x:c>
      <x:c r="D14" s="562" t="str">
        <x:v>&gt;0</x:v>
      </x:c>
      <x:c r="E14" s="562" t="n">
        <x:v>0</x:v>
      </x:c>
      <x:c r="F14" s="563" t="str">
        <x:f>IF(B14&gt;0,"OK","FAIL")</x:f>
        <x:v>OK</x:v>
      </x:c>
      <x:c r="G14" s="468" t="str">
        <x:v>Value rises as TGR rises</x:v>
      </x:c>
    </x:row>
    <x:row r="15">
      <x:c r="A15" s="468" t="str">
        <x:v>Scenario ordering</x:v>
      </x:c>
      <x:c r="B15" s="562" t="n">
        <x:f>'DCF'!I6-'DCF'!I4</x:f>
        <x:v>21.262622318037728</x:v>
      </x:c>
      <x:c r="C15" s="562" t="n">
        <x:v>1</x:v>
      </x:c>
      <x:c r="D15" s="562" t="str">
        <x:v>&gt;0</x:v>
      </x:c>
      <x:c r="E15" s="562" t="n">
        <x:v>0</x:v>
      </x:c>
      <x:c r="F15" s="563" t="str">
        <x:f>IF(AND('DCF'!I4&lt;'DCF'!I5,'DCF'!I5&lt;'DCF'!I6),"OK","FAIL")</x:f>
        <x:v>OK</x:v>
      </x:c>
      <x:c r="G15" s="468" t="str">
        <x:v>Bear &lt; base &lt; bull</x:v>
      </x:c>
    </x:row>
    <x:row r="16">
      <x:c r="A16" s="472" t="str">
        <x:v>Terminal spread</x:v>
      </x:c>
      <x:c r="B16" s="564" t="n">
        <x:f>'Assumptions'!B24-'Assumptions'!G7</x:f>
        <x:v>0.0871455</x:v>
      </x:c>
      <x:c r="C16" s="564" t="n">
        <x:v>0.01</x:v>
      </x:c>
      <x:c r="D16" s="564" t="str">
        <x:v>&gt;1%</x:v>
      </x:c>
      <x:c r="E16" s="564" t="n">
        <x:v>0.0001</x:v>
      </x:c>
      <x:c r="F16" s="565" t="str">
        <x:f>IF(B16&gt;C16,"OK","FAIL")</x:f>
        <x:v>OK</x:v>
      </x:c>
      <x:c r="G16" s="472" t="str">
        <x:v>WACC exceeds TGR</x:v>
      </x:c>
    </x:row>
    <x:row r="17">
      <x:c r="A17" s="402"/>
      <x:c r="B17" s="402"/>
      <x:c r="C17" s="402"/>
      <x:c r="D17" s="402"/>
      <x:c r="E17" s="402"/>
      <x:c r="F17" s="402"/>
      <x:c r="G17" s="402"/>
    </x:row>
    <x:row r="18" ht="22" customHeight="1">
      <x:c r="A18" s="33" t="str">
        <x:v>Overall status</x:v>
      </x:c>
      <x:c r="B18" s="33"/>
      <x:c r="C18" s="33"/>
      <x:c r="D18" s="33"/>
      <x:c r="E18" s="33"/>
      <x:c r="F18" s="33"/>
      <x:c r="G18" s="33"/>
    </x:row>
    <x:row r="19">
      <x:c r="A19" s="566" t="str">
        <x:v>Model status</x:v>
      </x:c>
      <x:c r="B19" s="566"/>
      <x:c r="C19" s="566"/>
      <x:c r="D19" s="567" t="str">
        <x:f>IF(COUNTIF(F4:F16,"FAIL")=0,"OK — locally verified","FAIL — review checks")</x:f>
        <x:v>OK — locally verified</x:v>
      </x:c>
      <x:c r="E19" s="567"/>
      <x:c r="F19" s="567"/>
      <x:c r="G19" s="567"/>
    </x:row>
    <x:row r="20">
      <x:c r="A20" s="402"/>
      <x:c r="B20" s="402"/>
      <x:c r="C20" s="402"/>
      <x:c r="D20" s="402"/>
      <x:c r="E20" s="402"/>
      <x:c r="F20" s="402"/>
      <x:c r="G20" s="402"/>
    </x:row>
    <x:row r="21" ht="22" customHeight="1">
      <x:c r="A21" s="23" t="str">
        <x:v>Review limitations</x:v>
      </x:c>
      <x:c r="B21" s="23"/>
      <x:c r="C21" s="23"/>
      <x:c r="D21" s="23"/>
      <x:c r="E21" s="23"/>
      <x:c r="F21" s="23"/>
      <x:c r="G21" s="23"/>
    </x:row>
    <x:row r="22" ht="30" customHeight="1">
      <x:c r="A22" s="428" t="str">
        <x:v>Formula execution</x:v>
      </x:c>
      <x:c r="B22" s="428" t="str">
        <x:v>Artifact-tool calculation and post-export re-import required before final delivery.</x:v>
      </x:c>
      <x:c r="C22" s="428"/>
      <x:c r="D22" s="428"/>
      <x:c r="E22" s="428"/>
      <x:c r="F22" s="428"/>
      <x:c r="G22" s="428"/>
    </x:row>
    <x:row r="23" ht="30" customHeight="1">
      <x:c r="A23" s="428" t="str">
        <x:v>Source review</x:v>
      </x:c>
      <x:c r="B23" s="428" t="str">
        <x:v>Primary company and SEC sources verified; price/peers use public secondary pages.</x:v>
      </x:c>
      <x:c r="C23" s="428"/>
      <x:c r="D23" s="428"/>
      <x:c r="E23" s="428"/>
      <x:c r="F23" s="428"/>
      <x:c r="G23" s="428"/>
    </x:row>
    <x:row r="24" ht="30" customHeight="1">
      <x:c r="A24" s="428" t="str">
        <x:v>Independent review</x:v>
      </x:c>
      <x:c r="B24" s="428" t="str">
        <x:v>Not performed; lineage is author-declared and not independently verified.</x:v>
      </x:c>
      <x:c r="C24" s="428"/>
      <x:c r="D24" s="428"/>
      <x:c r="E24" s="428"/>
      <x:c r="F24" s="428"/>
      <x:c r="G24" s="428"/>
    </x:row>
    <x:row r="25" ht="30" customHeight="1">
      <x:c r="A25" s="428" t="str">
        <x:v>Compatibility</x:v>
      </x:c>
      <x:c r="B25" s="428" t="str">
        <x:v>No native Excel/LibreOffice recalculation or print/PDF accessibility review.</x:v>
      </x:c>
      <x:c r="C25" s="428"/>
      <x:c r="D25" s="428"/>
      <x:c r="E25" s="428"/>
      <x:c r="F25" s="428"/>
      <x:c r="G25" s="428"/>
    </x:row>
  </x:sheetData>
  <x:mergeCells>
    <x:mergeCell ref="A1:G1"/>
    <x:mergeCell ref="A2:G2"/>
    <x:mergeCell ref="A19:C19"/>
    <x:mergeCell ref="D19:G19"/>
    <x:mergeCell ref="B22:G22"/>
    <x:mergeCell ref="B23:G23"/>
    <x:mergeCell ref="B24:G24"/>
    <x:mergeCell ref="B25:G25"/>
  </x:mergeCells>
  <x:pageMargins left="0.7" right="0.7" top="0.75" bottom="0.75" header="0.3" footer="0.3"/>
</x:worksheet>
</file>