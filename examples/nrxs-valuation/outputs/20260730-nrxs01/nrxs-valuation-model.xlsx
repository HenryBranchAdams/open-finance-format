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1aeef0663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c9b2d6470d549e9"/>
    <x:sheet xmlns:r="http://schemas.openxmlformats.org/officeDocument/2006/relationships" name="Sources" sheetId="2" r:id="R55cf0dbbb8784a24"/>
    <x:sheet xmlns:r="http://schemas.openxmlformats.org/officeDocument/2006/relationships" name="Assumptions" sheetId="3" r:id="Rdee1f6d63483479c"/>
    <x:sheet xmlns:r="http://schemas.openxmlformats.org/officeDocument/2006/relationships" name="Historicals" sheetId="4" r:id="R1543bd0dbe4b410d"/>
    <x:sheet xmlns:r="http://schemas.openxmlformats.org/officeDocument/2006/relationships" name="KPIs" sheetId="5" r:id="Reb0fdefadea24986"/>
    <x:sheet xmlns:r="http://schemas.openxmlformats.org/officeDocument/2006/relationships" name="Forecast" sheetId="6" r:id="Rae0ccd32a9dd45eb"/>
    <x:sheet xmlns:r="http://schemas.openxmlformats.org/officeDocument/2006/relationships" name="DCF" sheetId="7" r:id="R6e54a712c8d84f08"/>
    <x:sheet xmlns:r="http://schemas.openxmlformats.org/officeDocument/2006/relationships" name="Comps" sheetId="8" r:id="R25e1e44239a848d4"/>
    <x:sheet xmlns:r="http://schemas.openxmlformats.org/officeDocument/2006/relationships" name="Sensitivities" sheetId="9" r:id="R8e5c4893b9944394"/>
    <x:sheet xmlns:r="http://schemas.openxmlformats.org/officeDocument/2006/relationships" name="Reverse DCF" sheetId="10" r:id="R044b8644a6614161"/>
    <x:sheet xmlns:r="http://schemas.openxmlformats.org/officeDocument/2006/relationships" name="Checks" sheetId="11" r:id="R13d893196c36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$0.000"/>
    <x:numFmt numFmtId="202" formatCode="0.000"/>
    <x:numFmt numFmtId="203" formatCode="0.0%"/>
    <x:numFmt numFmtId="204" formatCode="$0.0"/>
    <x:numFmt numFmtId="205" formatCode="$0.000;[Red]($0.000);-"/>
    <x:numFmt numFmtId="206" formatCode="$0.0;[Red]($0.0);-"/>
    <x:numFmt numFmtId="207" formatCode="0.000x"/>
    <x:numFmt numFmtId="208" formatCode="$0.00"/>
    <x:numFmt numFmtId="209" formatCode="0.0x"/>
    <x:numFmt numFmtId="210" formatCode="0.00x"/>
  </x:numFmts>
  <x:fonts count="26">
    <x:font>
      <x:sz val="11"/>
      <x:name val="Carlito"/>
    </x:font>
    <x:font>
      <x:b/>
      <x:sz val="16"/>
      <x:color rgb="FFFFFFFF"/>
      <x:name val="Arial"/>
    </x:font>
    <x:font>
      <x:b/>
      <x:sz val="11"/>
      <x:color rgb="FF000000"/>
      <x:name val="Arial"/>
    </x:font>
    <x:font>
      <x:sz val="9"/>
      <x:color rgb="FF0563C1"/>
      <x:name val="Carlito"/>
    </x:font>
    <x:font>
      <x:b/>
      <x:sz val="11"/>
      <x:color rgb="FFFFFFFF"/>
      <x:name val="Arial"/>
    </x:font>
    <x:font>
      <x:i/>
      <x:sz val="9"/>
      <x:color rgb="FF595959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9"/>
      <x:color rgb="FF595959"/>
      <x:name val="Carlito"/>
    </x:font>
    <x:font>
      <x:b/>
      <x:sz val="19"/>
      <x:color rgb="FF0E2A47"/>
      <x:name val="Carlito"/>
    </x:font>
    <x:font>
      <x:sz val="8"/>
      <x:color rgb="FF595959"/>
      <x:name val="Carlito"/>
    </x:font>
    <x:font>
      <x:b/>
      <x:sz val="11"/>
      <x:color rgb="FF0E2A47"/>
      <x:name val="Carlito"/>
    </x:font>
    <x:font>
      <x:i/>
      <x:sz val="8"/>
      <x:color rgb="FF7F2D27"/>
      <x:name val="Carlito"/>
    </x:font>
    <x:font>
      <x:i/>
      <x:sz val="9"/>
      <x:color rgb="FF595959"/>
      <x:name val="Arial"/>
    </x:font>
    <x:font>
      <x:sz val="11"/>
      <x:name val="Arial"/>
    </x:font>
    <x:font>
      <x:b/>
      <x:sz val="9"/>
      <x:color rgb="FF595959"/>
      <x:name val="Arial"/>
    </x:font>
    <x:font>
      <x:b/>
      <x:sz val="19"/>
      <x:color rgb="FF0E2A47"/>
      <x:name val="Arial"/>
    </x:font>
    <x:font>
      <x:sz val="8"/>
      <x:color rgb="FF595959"/>
      <x:name val="Arial"/>
    </x:font>
    <x:font>
      <x:b/>
      <x:sz val="11"/>
      <x:color rgb="FF0E2A47"/>
      <x:name val="Arial"/>
    </x:font>
    <x:font>
      <x:i/>
      <x:sz val="8"/>
      <x:color rgb="FF7F2D27"/>
      <x:name val="Arial"/>
    </x:font>
    <x:font>
      <x:sz val="9"/>
      <x:color rgb="FF0563C1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sz val="11"/>
      <x:color rgb="FF00000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A64B44"/>
      </x:patternFill>
    </x:fill>
    <x:fill>
      <x:patternFill patternType="solid">
        <x:fgColor rgb="FFF5F7F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DF5FA"/>
      </x:patternFill>
    </x:fill>
    <x:fill>
      <x:patternFill patternType="solid">
        <x:fgColor rgb="FFD9EAD3"/>
      </x:patternFill>
    </x:fill>
    <x:fill>
      <x:patternFill patternType="solid">
        <x:fgColor rgb="FF548235"/>
      </x:patternFill>
    </x:fill>
  </x:fills>
  <x:borders count="19">
    <x:border/>
    <x:border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bottom style="medium">
        <x:color rgb="FF9FBAD0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  <x:border>
      <x:top style="thin">
        <x:color rgb="FFD8E0E8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B656"/>
      </x:left>
      <x:right style="thin">
        <x:color rgb="FFD6B656"/>
      </x:right>
      <x:bottom style="thin">
        <x:color rgb="FFD8E0E8"/>
      </x:bottom>
    </x:border>
    <x:border>
      <x:left style="thin">
        <x:color rgb="FFD6B656"/>
      </x:left>
      <x:right style="thin">
        <x:color rgb="FFD6B656"/>
      </x:right>
      <x:top style="thin">
        <x:color rgb="FFD8E0E8"/>
      </x:top>
    </x:border>
    <x:border>
      <x:top style="thin">
        <x:color rgb="FF000000"/>
      </x:top>
      <x:bottom style="thin">
        <x:color rgb="FFD8E0E8"/>
      </x:bottom>
    </x:border>
    <x:border>
      <x:top style="thin">
        <x:color rgb="FFD8E0E8"/>
      </x:top>
      <x:bottom style="double">
        <x:color rgb="FF000000"/>
      </x:bottom>
    </x:border>
    <x:border>
      <x:top style="thin">
        <x:color rgb="FF000000"/>
      </x:top>
      <x:bottom style="double">
        <x:color rgb="FF000000"/>
      </x:bottom>
    </x:border>
    <x:border>
      <x:left style="thin">
        <x:color rgb="FFD8E0E8"/>
      </x:left>
      <x:top style="thin">
        <x:color rgb="FFD8E0E8"/>
      </x:top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</x:border>
    <x:border>
      <x:right style="thin">
        <x:color rgb="FFD8E0E8"/>
      </x:right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bottom style="thin">
        <x:color rgb="FFD8E0E8"/>
      </x:bottom>
    </x:border>
  </x:borders>
  <x:cellStyleXfs count="1">
    <x:xf numFmtId="0" fontId="0" fillId="0" borderId="0"/>
  </x:cellStyleXfs>
  <x:cellXfs count="4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7" xfId="0" applyNumberFormat="1" applyFont="1" applyFill="1" applyBorder="1"/>
    <x:xf numFmtId="201" fontId="6" fillId="6" borderId="7" xfId="0" applyNumberFormat="1" applyFont="1" applyFill="1" applyBorder="1"/>
    <x:xf numFmtId="202" fontId="6" fillId="6" borderId="7" xfId="0" applyNumberFormat="1" applyFont="1" applyFill="1" applyBorder="1"/>
    <x:xf numFmtId="203" fontId="6" fillId="6" borderId="7" xfId="0" applyNumberFormat="1" applyFont="1" applyFill="1" applyBorder="1"/>
    <x:xf numFmtId="202" fontId="0" fillId="0" borderId="5" xfId="0" applyNumberFormat="1" applyFont="1" applyFill="1" applyBorder="1"/>
    <x:xf numFmtId="204" fontId="0" fillId="0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204" fontId="6" fillId="6" borderId="7" xfId="0" applyNumberFormat="1" applyFont="1" applyFill="1" applyBorder="1"/>
    <x:xf numFmtId="0" fontId="0" fillId="7" borderId="4" xfId="0" applyNumberFormat="1" applyFont="1" applyFill="1" applyBorder="1"/>
    <x:xf numFmtId="203" fontId="6" fillId="7" borderId="7" xfId="0" applyNumberFormat="1" applyFont="1" applyFill="1" applyBorder="1"/>
    <x:xf numFmtId="204" fontId="6" fillId="7" borderId="7" xfId="0" applyNumberFormat="1" applyFont="1" applyFill="1" applyBorder="1"/>
    <x:xf numFmtId="202" fontId="6" fillId="7" borderId="7" xfId="0" applyNumberFormat="1" applyFont="1" applyFill="1" applyBorder="1"/>
    <x:xf numFmtId="0" fontId="0" fillId="8" borderId="5" xfId="0" applyNumberFormat="1" applyFont="1" applyFill="1" applyBorder="1"/>
    <x:xf numFmtId="203" fontId="6" fillId="8" borderId="7" xfId="0" applyNumberFormat="1" applyFont="1" applyFill="1" applyBorder="1"/>
    <x:xf numFmtId="204" fontId="6" fillId="8" borderId="7" xfId="0" applyNumberFormat="1" applyFont="1" applyFill="1" applyBorder="1"/>
    <x:xf numFmtId="202" fontId="6" fillId="8" borderId="7" xfId="0" applyNumberFormat="1" applyFont="1" applyFill="1" applyBorder="1"/>
    <x:xf numFmtId="0" fontId="0" fillId="9" borderId="6" xfId="0" applyNumberFormat="1" applyFont="1" applyFill="1" applyBorder="1"/>
    <x:xf numFmtId="203" fontId="6" fillId="9" borderId="7" xfId="0" applyNumberFormat="1" applyFont="1" applyFill="1" applyBorder="1"/>
    <x:xf numFmtId="204" fontId="6" fillId="9" borderId="7" xfId="0" applyNumberFormat="1" applyFont="1" applyFill="1" applyBorder="1"/>
    <x:xf numFmtId="202" fontId="6" fillId="9" borderId="7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4" fontId="6" fillId="6" borderId="8" xfId="0" applyNumberFormat="1" applyFont="1" applyFill="1" applyBorder="1"/>
    <x:xf numFmtId="203" fontId="6" fillId="6" borderId="9" xfId="0" applyNumberFormat="1" applyFont="1" applyFill="1" applyBorder="1"/>
    <x:xf numFmtId="204" fontId="6" fillId="7" borderId="8" xfId="0" applyNumberFormat="1" applyFont="1" applyFill="1" applyBorder="1"/>
    <x:xf numFmtId="0" fontId="0" fillId="8" borderId="4" xfId="0" applyNumberFormat="1" applyFont="1" applyFill="1" applyBorder="1"/>
    <x:xf numFmtId="204" fontId="6" fillId="8" borderId="8" xfId="0" applyNumberFormat="1" applyFont="1" applyFill="1" applyBorder="1"/>
    <x:xf numFmtId="0" fontId="0" fillId="9" borderId="4" xfId="0" applyNumberFormat="1" applyFont="1" applyFill="1" applyBorder="1"/>
    <x:xf numFmtId="204" fontId="6" fillId="9" borderId="8" xfId="0" applyNumberFormat="1" applyFont="1" applyFill="1" applyBorder="1"/>
    <x:xf numFmtId="205" fontId="0" fillId="0" borderId="4" xfId="0" applyNumberFormat="1" applyFont="1" applyFill="1" applyBorder="1"/>
    <x:xf numFmtId="205" fontId="0" fillId="0" borderId="5" xfId="0" applyNumberFormat="1" applyFont="1" applyFill="1" applyBorder="1"/>
    <x:xf numFmtId="205" fontId="0" fillId="0" borderId="6" xfId="0" applyNumberFormat="1" applyFont="1" applyFill="1" applyBorder="1"/>
    <x:xf numFmtId="203" fontId="0" fillId="0" borderId="5" xfId="0" applyNumberFormat="1" applyFont="1" applyFill="1" applyBorder="1"/>
    <x:xf numFmtId="202" fontId="0" fillId="0" borderId="6" xfId="0" applyNumberFormat="1" applyFont="1" applyFill="1" applyBorder="1"/>
    <x:xf numFmtId="205" fontId="7" fillId="0" borderId="4" xfId="0" applyNumberFormat="1" applyFont="1" applyFill="1" applyBorder="1"/>
    <x:xf numFmtId="203" fontId="7" fillId="0" borderId="5" xfId="0" applyNumberFormat="1" applyFont="1" applyFill="1" applyBorder="1"/>
    <x:xf numFmtId="205" fontId="7" fillId="0" borderId="5" xfId="0" applyNumberFormat="1" applyFont="1" applyFill="1" applyBorder="1"/>
    <x:xf numFmtId="202" fontId="7" fillId="0" borderId="5" xfId="0" applyNumberFormat="1" applyFont="1" applyFill="1" applyBorder="1"/>
    <x:xf numFmtId="202" fontId="7" fillId="0" borderId="6" xfId="0" applyNumberFormat="1" applyFont="1" applyFill="1" applyBorder="1"/>
    <x:xf numFmtId="203" fontId="8" fillId="0" borderId="5" xfId="0" applyNumberFormat="1" applyFont="1" applyFill="1" applyBorder="1"/>
    <x:xf numFmtId="0" fontId="9" fillId="0" borderId="5" xfId="0" applyNumberFormat="1" applyFont="1" applyFill="1" applyBorder="1"/>
    <x:xf numFmtId="205" fontId="9" fillId="0" borderId="5" xfId="0" applyNumberFormat="1" applyFont="1" applyFill="1" applyBorder="1"/>
    <x:xf numFmtId="203" fontId="9" fillId="0" borderId="5" xfId="0" applyNumberFormat="1" applyFont="1" applyFill="1" applyBorder="1"/>
    <x:xf numFmtId="0" fontId="9" fillId="0" borderId="10" xfId="0" applyNumberFormat="1" applyFont="1" applyFill="1" applyBorder="1"/>
    <x:xf numFmtId="205" fontId="9" fillId="0" borderId="10" xfId="0" applyNumberFormat="1" applyFont="1" applyFill="1" applyBorder="1"/>
    <x:xf numFmtId="0" fontId="9" fillId="0" borderId="11" xfId="0" applyNumberFormat="1" applyFont="1" applyFill="1" applyBorder="1"/>
    <x:xf numFmtId="203" fontId="9" fillId="0" borderId="1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4" fontId="0" fillId="0" borderId="4" xfId="0" applyNumberFormat="1" applyFont="1" applyFill="1" applyBorder="1"/>
    <x:xf numFmtId="206" fontId="0" fillId="0" borderId="5" xfId="0" applyNumberFormat="1" applyFont="1" applyFill="1" applyBorder="1"/>
    <x:xf numFmtId="207" fontId="0" fillId="0" borderId="5" xfId="0" applyNumberFormat="1" applyFont="1" applyFill="1" applyBorder="1"/>
    <x:xf numFmtId="206" fontId="0" fillId="0" borderId="6" xfId="0" applyNumberFormat="1" applyFont="1" applyFill="1" applyBorder="1"/>
    <x:xf numFmtId="206" fontId="9" fillId="0" borderId="5" xfId="0" applyNumberFormat="1" applyFont="1" applyFill="1" applyBorder="1"/>
    <x:xf numFmtId="0" fontId="9" fillId="0" borderId="12" xfId="0" applyNumberFormat="1" applyFont="1" applyFill="1" applyBorder="1"/>
    <x:xf numFmtId="206" fontId="9" fillId="0" borderId="12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/>
    <x:xf numFmtId="203" fontId="0" fillId="0" borderId="6" xfId="0" applyNumberFormat="1" applyFont="1" applyFill="1" applyBorder="1"/>
    <x:xf numFmtId="206" fontId="0" fillId="0" borderId="4" xfId="0" applyNumberFormat="1" applyFont="1" applyFill="1" applyBorder="1"/>
    <x:xf numFmtId="202" fontId="0" fillId="0" borderId="4" xfId="0" applyNumberFormat="1" applyFont="1" applyFill="1" applyBorder="1"/>
    <x:xf numFmtId="208" fontId="0" fillId="0" borderId="4" xfId="0" applyNumberFormat="1" applyFont="1" applyFill="1" applyBorder="1"/>
    <x:xf numFmtId="208" fontId="0" fillId="0" borderId="5" xfId="0" applyNumberFormat="1" applyFont="1" applyFill="1" applyBorder="1"/>
    <x:xf numFmtId="208" fontId="0" fillId="0" borderId="6" xfId="0" applyNumberFormat="1" applyFont="1" applyFill="1" applyBorder="1"/>
    <x:xf numFmtId="203" fontId="0" fillId="7" borderId="4" xfId="0" applyNumberFormat="1" applyFont="1" applyFill="1" applyBorder="1"/>
    <x:xf numFmtId="206" fontId="0" fillId="7" borderId="4" xfId="0" applyNumberFormat="1" applyFont="1" applyFill="1" applyBorder="1"/>
    <x:xf numFmtId="202" fontId="0" fillId="7" borderId="4" xfId="0" applyNumberFormat="1" applyFont="1" applyFill="1" applyBorder="1"/>
    <x:xf numFmtId="208" fontId="0" fillId="7" borderId="4" xfId="0" applyNumberFormat="1" applyFont="1" applyFill="1" applyBorder="1"/>
    <x:xf numFmtId="203" fontId="0" fillId="8" borderId="5" xfId="0" applyNumberFormat="1" applyFont="1" applyFill="1" applyBorder="1"/>
    <x:xf numFmtId="206" fontId="0" fillId="8" borderId="5" xfId="0" applyNumberFormat="1" applyFont="1" applyFill="1" applyBorder="1"/>
    <x:xf numFmtId="202" fontId="0" fillId="8" borderId="5" xfId="0" applyNumberFormat="1" applyFont="1" applyFill="1" applyBorder="1"/>
    <x:xf numFmtId="208" fontId="0" fillId="8" borderId="5" xfId="0" applyNumberFormat="1" applyFont="1" applyFill="1" applyBorder="1"/>
    <x:xf numFmtId="203" fontId="0" fillId="9" borderId="6" xfId="0" applyNumberFormat="1" applyFont="1" applyFill="1" applyBorder="1"/>
    <x:xf numFmtId="206" fontId="0" fillId="9" borderId="6" xfId="0" applyNumberFormat="1" applyFont="1" applyFill="1" applyBorder="1"/>
    <x:xf numFmtId="202" fontId="0" fillId="9" borderId="6" xfId="0" applyNumberFormat="1" applyFont="1" applyFill="1" applyBorder="1"/>
    <x:xf numFmtId="208" fontId="0" fillId="9" borderId="6" xfId="0" applyNumberFormat="1" applyFont="1" applyFill="1" applyBorder="1"/>
    <x:xf numFmtId="0" fontId="9" fillId="8" borderId="5" xfId="0" applyNumberFormat="1" applyFont="1" applyFill="1" applyBorder="1"/>
    <x:xf numFmtId="203" fontId="9" fillId="8" borderId="5" xfId="0" applyNumberFormat="1" applyFont="1" applyFill="1" applyBorder="1"/>
    <x:xf numFmtId="206" fontId="9" fillId="8" borderId="5" xfId="0" applyNumberFormat="1" applyFont="1" applyFill="1" applyBorder="1"/>
    <x:xf numFmtId="202" fontId="9" fillId="8" borderId="5" xfId="0" applyNumberFormat="1" applyFont="1" applyFill="1" applyBorder="1"/>
    <x:xf numFmtId="208" fontId="9" fillId="8" borderId="5" xfId="0" applyNumberFormat="1" applyFont="1" applyFill="1" applyBorder="1"/>
    <x:xf numFmtId="0" fontId="9" fillId="8" borderId="12" xfId="0" applyNumberFormat="1" applyFont="1" applyFill="1" applyBorder="1"/>
    <x:xf numFmtId="203" fontId="9" fillId="8" borderId="12" xfId="0" applyNumberFormat="1" applyFont="1" applyFill="1" applyBorder="1"/>
    <x:xf numFmtId="206" fontId="9" fillId="8" borderId="12" xfId="0" applyNumberFormat="1" applyFont="1" applyFill="1" applyBorder="1"/>
    <x:xf numFmtId="202" fontId="9" fillId="8" borderId="12" xfId="0" applyNumberFormat="1" applyFont="1" applyFill="1" applyBorder="1"/>
    <x:xf numFmtId="208" fontId="9" fillId="8" borderId="12" xfId="0" applyNumberFormat="1" applyFont="1" applyFill="1" applyBorder="1"/>
    <x:xf numFmtId="203" fontId="2" fillId="3" borderId="2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208" fontId="0" fillId="9" borderId="5" xfId="0" applyNumberFormat="1" applyFont="1" applyFill="1" applyBorder="1"/>
    <x:xf numFmtId="204" fontId="0" fillId="0" borderId="6" xfId="0" applyNumberFormat="1" applyFont="1" applyFill="1" applyBorder="1"/>
    <x:xf numFmtId="209" fontId="0" fillId="0" borderId="4" xfId="0" applyNumberFormat="1" applyFont="1" applyFill="1" applyBorder="1"/>
    <x:xf numFmtId="209" fontId="0" fillId="0" borderId="5" xfId="0" applyNumberFormat="1" applyFont="1" applyFill="1" applyBorder="1"/>
    <x:xf numFmtId="209" fontId="0" fillId="0" borderId="6" xfId="0" applyNumberFormat="1" applyFont="1" applyFill="1" applyBorder="1"/>
    <x:xf numFmtId="209" fontId="0" fillId="9" borderId="5" xfId="0" applyNumberFormat="1" applyFont="1" applyFill="1" applyBorder="1"/>
    <x:xf numFmtId="204" fontId="0" fillId="9" borderId="5" xfId="0" applyNumberFormat="1" applyFont="1" applyFill="1" applyBorder="1"/>
    <x:xf numFmtId="210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11" fillId="8" borderId="0" xfId="0" applyNumberFormat="1" applyFont="1" applyFill="1" applyBorder="1"/>
    <x:xf numFmtId="208" fontId="11" fillId="8" borderId="0" xfId="0" applyNumberFormat="1" applyFont="1" applyFill="1" applyBorder="1"/>
    <x:xf numFmtId="208" fontId="11" fillId="8" borderId="0" xfId="0" applyNumberFormat="1" applyFont="1" applyFill="1" applyBorder="1" applyAlignment="1">
      <x:alignment horizontal="center"/>
    </x:xf>
    <x:xf numFmtId="208" fontId="11" fillId="8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horizontal="center" wrapText="1"/>
    </x:xf>
    <x:xf numFmtId="0" fontId="10" fillId="8" borderId="13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14" xfId="0" applyNumberFormat="1" applyFont="1" applyFill="1" applyBorder="1" applyAlignment="1">
      <x:alignment horizontal="center"/>
    </x:xf>
    <x:xf numFmtId="208" fontId="11" fillId="8" borderId="15" xfId="0" applyNumberFormat="1" applyFont="1" applyFill="1" applyBorder="1" applyAlignment="1">
      <x:alignment horizontal="center" vertical="center"/>
    </x:xf>
    <x:xf numFmtId="208" fontId="11" fillId="8" borderId="16" xfId="0" applyNumberFormat="1" applyFont="1" applyFill="1" applyBorder="1" applyAlignment="1">
      <x:alignment horizontal="center" vertical="center"/>
    </x:xf>
    <x:xf numFmtId="0" fontId="12" fillId="8" borderId="17" xfId="0" applyNumberFormat="1" applyFont="1" applyFill="1" applyBorder="1" applyAlignment="1">
      <x:alignment horizontal="center" wrapText="1"/>
    </x:xf>
    <x:xf numFmtId="0" fontId="12" fillId="8" borderId="4" xfId="0" applyNumberFormat="1" applyFont="1" applyFill="1" applyBorder="1" applyAlignment="1">
      <x:alignment horizontal="center" wrapText="1"/>
    </x:xf>
    <x:xf numFmtId="0" fontId="12" fillId="8" borderId="18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/>
    <x:xf numFmtId="201" fontId="11" fillId="7" borderId="0" xfId="0" applyNumberFormat="1" applyFont="1" applyFill="1" applyBorder="1"/>
    <x:xf numFmtId="201" fontId="11" fillId="7" borderId="0" xfId="0" applyNumberFormat="1" applyFont="1" applyFill="1" applyBorder="1" applyAlignment="1">
      <x:alignment horizontal="center"/>
    </x:xf>
    <x:xf numFmtId="201" fontId="11" fillId="7" borderId="0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0" fillId="7" borderId="13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14" xfId="0" applyNumberFormat="1" applyFont="1" applyFill="1" applyBorder="1" applyAlignment="1">
      <x:alignment horizontal="center"/>
    </x:xf>
    <x:xf numFmtId="201" fontId="11" fillId="7" borderId="15" xfId="0" applyNumberFormat="1" applyFont="1" applyFill="1" applyBorder="1" applyAlignment="1">
      <x:alignment horizontal="center" vertical="center"/>
    </x:xf>
    <x:xf numFmtId="201" fontId="11" fillId="7" borderId="16" xfId="0" applyNumberFormat="1" applyFont="1" applyFill="1" applyBorder="1" applyAlignment="1">
      <x:alignment horizontal="center" vertical="center"/>
    </x:xf>
    <x:xf numFmtId="0" fontId="12" fillId="7" borderId="17" xfId="0" applyNumberFormat="1" applyFont="1" applyFill="1" applyBorder="1" applyAlignment="1">
      <x:alignment horizontal="center" wrapText="1"/>
    </x:xf>
    <x:xf numFmtId="0" fontId="12" fillId="7" borderId="4" xfId="0" applyNumberFormat="1" applyFont="1" applyFill="1" applyBorder="1" applyAlignment="1">
      <x:alignment horizontal="center" wrapText="1"/>
    </x:xf>
    <x:xf numFmtId="0" fontId="12" fillId="7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0" fontId="11" fillId="9" borderId="0" xfId="0" applyNumberFormat="1" applyFont="1" applyFill="1" applyBorder="1"/>
    <x:xf numFmtId="208" fontId="11" fillId="9" borderId="0" xfId="0" applyNumberFormat="1" applyFont="1" applyFill="1" applyBorder="1"/>
    <x:xf numFmtId="208" fontId="11" fillId="9" borderId="0" xfId="0" applyNumberFormat="1" applyFont="1" applyFill="1" applyBorder="1" applyAlignment="1">
      <x:alignment horizontal="center"/>
    </x:xf>
    <x:xf numFmtId="208" fontId="11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0" fillId="9" borderId="13" xfId="0" applyNumberFormat="1" applyFont="1" applyFill="1" applyBorder="1" applyAlignment="1">
      <x:alignment horizontal="center"/>
    </x:xf>
    <x:xf numFmtId="0" fontId="10" fillId="9" borderId="6" xfId="0" applyNumberFormat="1" applyFont="1" applyFill="1" applyBorder="1" applyAlignment="1">
      <x:alignment horizontal="center"/>
    </x:xf>
    <x:xf numFmtId="0" fontId="10" fillId="9" borderId="14" xfId="0" applyNumberFormat="1" applyFont="1" applyFill="1" applyBorder="1" applyAlignment="1">
      <x:alignment horizontal="center"/>
    </x:xf>
    <x:xf numFmtId="208" fontId="11" fillId="9" borderId="15" xfId="0" applyNumberFormat="1" applyFont="1" applyFill="1" applyBorder="1" applyAlignment="1">
      <x:alignment horizontal="center" vertical="center"/>
    </x:xf>
    <x:xf numFmtId="208" fontId="11" fillId="9" borderId="16" xfId="0" applyNumberFormat="1" applyFont="1" applyFill="1" applyBorder="1" applyAlignment="1">
      <x:alignment horizontal="center" vertical="center"/>
    </x:xf>
    <x:xf numFmtId="0" fontId="12" fillId="9" borderId="17" xfId="0" applyNumberFormat="1" applyFont="1" applyFill="1" applyBorder="1" applyAlignment="1">
      <x:alignment horizontal="center" wrapText="1"/>
    </x:xf>
    <x:xf numFmtId="0" fontId="12" fillId="9" borderId="4" xfId="0" applyNumberFormat="1" applyFont="1" applyFill="1" applyBorder="1" applyAlignment="1">
      <x:alignment horizontal="center" wrapText="1"/>
    </x:xf>
    <x:xf numFmtId="0" fontId="12" fillId="9" borderId="18" xfId="0" applyNumberFormat="1" applyFont="1" applyFill="1" applyBorder="1" applyAlignment="1">
      <x:alignment horizontal="center" wrapText="1"/>
    </x:xf>
    <x:xf numFmtId="210" fontId="0" fillId="0" borderId="0" xfId="0" applyNumberFormat="1" applyFont="1" applyFill="1" applyBorder="1"/>
    <x:xf numFmtId="21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7" borderId="13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14" xfId="0" applyNumberFormat="1" applyFont="1" applyFill="1" applyBorder="1" applyAlignment="1">
      <x:alignment horizontal="center" vertical="center"/>
    </x:xf>
    <x:xf numFmtId="0" fontId="10" fillId="9" borderId="13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10" fillId="9" borderId="14" xfId="0" applyNumberFormat="1" applyFont="1" applyFill="1" applyBorder="1" applyAlignment="1">
      <x:alignment horizontal="center" vertical="center"/>
    </x:xf>
    <x:xf numFmtId="0" fontId="12" fillId="8" borderId="17" xfId="0" applyNumberFormat="1" applyFont="1" applyFill="1" applyBorder="1" applyAlignment="1">
      <x:alignment horizontal="center" vertical="center" wrapText="1"/>
    </x:xf>
    <x:xf numFmtId="0" fontId="12" fillId="8" borderId="4" xfId="0" applyNumberFormat="1" applyFont="1" applyFill="1" applyBorder="1" applyAlignment="1">
      <x:alignment horizontal="center" vertical="center" wrapText="1"/>
    </x:xf>
    <x:xf numFmtId="0" fontId="12" fillId="8" borderId="18" xfId="0" applyNumberFormat="1" applyFont="1" applyFill="1" applyBorder="1" applyAlignment="1">
      <x:alignment horizontal="center" vertical="center" wrapText="1"/>
    </x:xf>
    <x:xf numFmtId="0" fontId="12" fillId="7" borderId="17" xfId="0" applyNumberFormat="1" applyFont="1" applyFill="1" applyBorder="1" applyAlignment="1">
      <x:alignment horizontal="center" vertical="center" wrapText="1"/>
    </x:xf>
    <x:xf numFmtId="0" fontId="12" fillId="7" borderId="4" xfId="0" applyNumberFormat="1" applyFont="1" applyFill="1" applyBorder="1" applyAlignment="1">
      <x:alignment horizontal="center" vertical="center" wrapText="1"/>
    </x:xf>
    <x:xf numFmtId="0" fontId="12" fillId="7" borderId="18" xfId="0" applyNumberFormat="1" applyFont="1" applyFill="1" applyBorder="1" applyAlignment="1">
      <x:alignment horizontal="center" vertical="center" wrapText="1"/>
    </x:xf>
    <x:xf numFmtId="0" fontId="12" fillId="9" borderId="17" xfId="0" applyNumberFormat="1" applyFont="1" applyFill="1" applyBorder="1" applyAlignment="1">
      <x:alignment horizontal="center" vertical="center" wrapText="1"/>
    </x:xf>
    <x:xf numFmtId="0" fontId="12" fillId="9" borderId="4" xfId="0" applyNumberFormat="1" applyFont="1" applyFill="1" applyBorder="1" applyAlignment="1">
      <x:alignment horizontal="center" vertical="center" wrapText="1"/>
    </x:xf>
    <x:xf numFmtId="0" fontId="12" fillId="9" borderId="18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 applyAlignment="1">
      <x:alignment vertical="center" wrapText="1"/>
    </x:xf>
    <x:xf numFmtId="210" fontId="0" fillId="0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7" fillId="8" borderId="13" xfId="0" applyNumberFormat="1" applyFont="1" applyFill="1" applyBorder="1" applyAlignment="1">
      <x:alignment horizontal="center" vertical="center"/>
    </x:xf>
    <x:xf numFmtId="0" fontId="17" fillId="8" borderId="6" xfId="0" applyNumberFormat="1" applyFont="1" applyFill="1" applyBorder="1" applyAlignment="1">
      <x:alignment horizontal="center" vertical="center"/>
    </x:xf>
    <x:xf numFmtId="0" fontId="17" fillId="8" borderId="14" xfId="0" applyNumberFormat="1" applyFont="1" applyFill="1" applyBorder="1" applyAlignment="1">
      <x:alignment horizontal="center" vertical="center"/>
    </x:xf>
    <x:xf numFmtId="0" fontId="17" fillId="7" borderId="13" xfId="0" applyNumberFormat="1" applyFont="1" applyFill="1" applyBorder="1" applyAlignment="1">
      <x:alignment horizontal="center" vertical="center"/>
    </x:xf>
    <x:xf numFmtId="0" fontId="17" fillId="7" borderId="6" xfId="0" applyNumberFormat="1" applyFont="1" applyFill="1" applyBorder="1" applyAlignment="1">
      <x:alignment horizontal="center" vertical="center"/>
    </x:xf>
    <x:xf numFmtId="0" fontId="17" fillId="7" borderId="14" xfId="0" applyNumberFormat="1" applyFont="1" applyFill="1" applyBorder="1" applyAlignment="1">
      <x:alignment horizontal="center" vertical="center"/>
    </x:xf>
    <x:xf numFmtId="0" fontId="17" fillId="9" borderId="13" xfId="0" applyNumberFormat="1" applyFont="1" applyFill="1" applyBorder="1" applyAlignment="1">
      <x:alignment horizontal="center" vertical="center"/>
    </x:xf>
    <x:xf numFmtId="0" fontId="17" fillId="9" borderId="6" xfId="0" applyNumberFormat="1" applyFont="1" applyFill="1" applyBorder="1" applyAlignment="1">
      <x:alignment horizontal="center" vertical="center"/>
    </x:xf>
    <x:xf numFmtId="0" fontId="17" fillId="9" borderId="14" xfId="0" applyNumberFormat="1" applyFont="1" applyFill="1" applyBorder="1" applyAlignment="1">
      <x:alignment horizontal="center" vertical="center"/>
    </x:xf>
    <x:xf numFmtId="208" fontId="18" fillId="8" borderId="15" xfId="0" applyNumberFormat="1" applyFont="1" applyFill="1" applyBorder="1" applyAlignment="1">
      <x:alignment horizontal="center" vertical="center"/>
    </x:xf>
    <x:xf numFmtId="208" fontId="18" fillId="8" borderId="0" xfId="0" applyNumberFormat="1" applyFont="1" applyFill="1" applyBorder="1" applyAlignment="1">
      <x:alignment horizontal="center" vertical="center"/>
    </x:xf>
    <x:xf numFmtId="208" fontId="18" fillId="8" borderId="16" xfId="0" applyNumberFormat="1" applyFont="1" applyFill="1" applyBorder="1" applyAlignment="1">
      <x:alignment horizontal="center" vertical="center"/>
    </x:xf>
    <x:xf numFmtId="201" fontId="18" fillId="7" borderId="15" xfId="0" applyNumberFormat="1" applyFont="1" applyFill="1" applyBorder="1" applyAlignment="1">
      <x:alignment horizontal="center" vertical="center"/>
    </x:xf>
    <x:xf numFmtId="201" fontId="18" fillId="7" borderId="0" xfId="0" applyNumberFormat="1" applyFont="1" applyFill="1" applyBorder="1" applyAlignment="1">
      <x:alignment horizontal="center" vertical="center"/>
    </x:xf>
    <x:xf numFmtId="201" fontId="18" fillId="7" borderId="16" xfId="0" applyNumberFormat="1" applyFont="1" applyFill="1" applyBorder="1" applyAlignment="1">
      <x:alignment horizontal="center" vertical="center"/>
    </x:xf>
    <x:xf numFmtId="208" fontId="18" fillId="9" borderId="15" xfId="0" applyNumberFormat="1" applyFont="1" applyFill="1" applyBorder="1" applyAlignment="1">
      <x:alignment horizontal="center" vertical="center"/>
    </x:xf>
    <x:xf numFmtId="208" fontId="18" fillId="9" borderId="0" xfId="0" applyNumberFormat="1" applyFont="1" applyFill="1" applyBorder="1" applyAlignment="1">
      <x:alignment horizontal="center" vertical="center"/>
    </x:xf>
    <x:xf numFmtId="208" fontId="18" fillId="9" borderId="16" xfId="0" applyNumberFormat="1" applyFont="1" applyFill="1" applyBorder="1" applyAlignment="1">
      <x:alignment horizontal="center" vertical="center"/>
    </x:xf>
    <x:xf numFmtId="0" fontId="19" fillId="8" borderId="17" xfId="0" applyNumberFormat="1" applyFont="1" applyFill="1" applyBorder="1" applyAlignment="1">
      <x:alignment horizontal="center" vertical="center" wrapText="1"/>
    </x:xf>
    <x:xf numFmtId="0" fontId="19" fillId="8" borderId="4" xfId="0" applyNumberFormat="1" applyFont="1" applyFill="1" applyBorder="1" applyAlignment="1">
      <x:alignment horizontal="center" vertical="center" wrapText="1"/>
    </x:xf>
    <x:xf numFmtId="0" fontId="19" fillId="8" borderId="18" xfId="0" applyNumberFormat="1" applyFont="1" applyFill="1" applyBorder="1" applyAlignment="1">
      <x:alignment horizontal="center" vertical="center" wrapText="1"/>
    </x:xf>
    <x:xf numFmtId="0" fontId="19" fillId="7" borderId="17" xfId="0" applyNumberFormat="1" applyFont="1" applyFill="1" applyBorder="1" applyAlignment="1">
      <x:alignment horizontal="center" vertical="center" wrapText="1"/>
    </x:xf>
    <x:xf numFmtId="0" fontId="19" fillId="7" borderId="4" xfId="0" applyNumberFormat="1" applyFont="1" applyFill="1" applyBorder="1" applyAlignment="1">
      <x:alignment horizontal="center" vertical="center" wrapText="1"/>
    </x:xf>
    <x:xf numFmtId="0" fontId="19" fillId="7" borderId="18" xfId="0" applyNumberFormat="1" applyFont="1" applyFill="1" applyBorder="1" applyAlignment="1">
      <x:alignment horizontal="center" vertical="center" wrapText="1"/>
    </x:xf>
    <x:xf numFmtId="0" fontId="19" fillId="9" borderId="17" xfId="0" applyNumberFormat="1" applyFont="1" applyFill="1" applyBorder="1" applyAlignment="1">
      <x:alignment horizontal="center" vertical="center" wrapText="1"/>
    </x:xf>
    <x:xf numFmtId="0" fontId="19" fillId="9" borderId="4" xfId="0" applyNumberFormat="1" applyFont="1" applyFill="1" applyBorder="1" applyAlignment="1">
      <x:alignment horizontal="center" vertical="center" wrapText="1"/>
    </x:xf>
    <x:xf numFmtId="0" fontId="19" fillId="9" borderId="18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 applyAlignment="1">
      <x:alignment vertical="center" wrapText="1"/>
    </x:xf>
    <x:xf numFmtId="210" fontId="16" fillId="0" borderId="0" xfId="0" applyNumberFormat="1" applyFont="1" applyFill="1" applyBorder="1" applyAlignment="1">
      <x:alignment vertical="center" wrapText="1"/>
    </x:xf>
    <x:xf numFmtId="0" fontId="21" fillId="7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 wrapText="1"/>
    </x:xf>
    <x:xf numFmtId="0" fontId="22" fillId="0" borderId="4" xfId="0" applyNumberFormat="1" applyFont="1" applyFill="1" applyBorder="1" applyAlignment="1">
      <x:alignment vertical="center" wrapText="1"/>
    </x:xf>
    <x:xf numFmtId="0" fontId="16" fillId="0" borderId="5" xfId="0" applyNumberFormat="1" applyFont="1" applyFill="1" applyBorder="1" applyAlignment="1">
      <x:alignment vertical="center" wrapText="1"/>
    </x:xf>
    <x:xf numFmtId="0" fontId="22" fillId="0" borderId="5" xfId="0" applyNumberFormat="1" applyFont="1" applyFill="1" applyBorder="1" applyAlignment="1">
      <x:alignment vertical="center" wrapText="1"/>
    </x:xf>
    <x:xf numFmtId="0" fontId="16" fillId="0" borderId="6" xfId="0" applyNumberFormat="1" applyFont="1" applyFill="1" applyBorder="1" applyAlignment="1">
      <x:alignment vertical="center" wrapText="1"/>
    </x:xf>
    <x:xf numFmtId="0" fontId="22" fillId="0" borderId="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6" fillId="6" borderId="7" xfId="0" applyNumberFormat="1" applyFont="1" applyFill="1" applyBorder="1" applyAlignment="1">
      <x:alignment vertical="center"/>
    </x:xf>
    <x:xf numFmtId="202" fontId="6" fillId="6" borderId="7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203" fontId="6" fillId="7" borderId="7" xfId="0" applyNumberFormat="1" applyFont="1" applyFill="1" applyBorder="1" applyAlignment="1">
      <x:alignment vertical="center"/>
    </x:xf>
    <x:xf numFmtId="204" fontId="6" fillId="7" borderId="7" xfId="0" applyNumberFormat="1" applyFont="1" applyFill="1" applyBorder="1" applyAlignment="1">
      <x:alignment vertical="center"/>
    </x:xf>
    <x:xf numFmtId="202" fontId="6" fillId="7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6" fillId="6" borderId="7" xfId="0" applyNumberFormat="1" applyFont="1" applyFill="1" applyBorder="1" applyAlignment="1">
      <x:alignment vertical="center"/>
    </x:xf>
    <x:xf numFmtId="0" fontId="0" fillId="8" borderId="5" xfId="0" applyNumberFormat="1" applyFont="1" applyFill="1" applyBorder="1" applyAlignment="1">
      <x:alignment vertical="center"/>
    </x:xf>
    <x:xf numFmtId="203" fontId="6" fillId="8" borderId="7" xfId="0" applyNumberFormat="1" applyFont="1" applyFill="1" applyBorder="1" applyAlignment="1">
      <x:alignment vertical="center"/>
    </x:xf>
    <x:xf numFmtId="204" fontId="6" fillId="8" borderId="7" xfId="0" applyNumberFormat="1" applyFont="1" applyFill="1" applyBorder="1" applyAlignment="1">
      <x:alignment vertical="center"/>
    </x:xf>
    <x:xf numFmtId="202" fontId="6" fillId="8" borderId="7" xfId="0" applyNumberFormat="1" applyFont="1" applyFill="1" applyBorder="1" applyAlignment="1">
      <x:alignment vertical="center"/>
    </x:xf>
    <x:xf numFmtId="0" fontId="0" fillId="9" borderId="6" xfId="0" applyNumberFormat="1" applyFont="1" applyFill="1" applyBorder="1" applyAlignment="1">
      <x:alignment vertical="center"/>
    </x:xf>
    <x:xf numFmtId="203" fontId="6" fillId="9" borderId="7" xfId="0" applyNumberFormat="1" applyFont="1" applyFill="1" applyBorder="1" applyAlignment="1">
      <x:alignment vertical="center"/>
    </x:xf>
    <x:xf numFmtId="204" fontId="6" fillId="9" borderId="7" xfId="0" applyNumberFormat="1" applyFont="1" applyFill="1" applyBorder="1" applyAlignment="1">
      <x:alignment vertical="center"/>
    </x:xf>
    <x:xf numFmtId="202" fontId="6" fillId="9" borderId="7" xfId="0" applyNumberFormat="1" applyFont="1" applyFill="1" applyBorder="1" applyAlignment="1">
      <x:alignment vertical="center"/>
    </x:xf>
    <x:xf numFmtId="203" fontId="6" fillId="6" borderId="7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0" fontId="0" fillId="7" borderId="6" xfId="0" applyNumberFormat="1" applyFont="1" applyFill="1" applyBorder="1" applyAlignment="1">
      <x:alignment vertical="center" wrapText="1"/>
    </x:xf>
    <x:xf numFmtId="204" fontId="6" fillId="7" borderId="8" xfId="0" applyNumberFormat="1" applyFont="1" applyFill="1" applyBorder="1" applyAlignment="1">
      <x:alignment vertical="center"/>
    </x:xf>
    <x:xf numFmtId="203" fontId="6" fillId="6" borderId="9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204" fontId="6" fillId="8" borderId="8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204" fontId="6" fillId="9" borderId="8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 wrapText="1"/>
    </x:xf>
    <x:xf numFmtId="0" fontId="16" fillId="0" borderId="4" xfId="0" applyNumberFormat="1" applyFont="1" applyFill="1" applyBorder="1" applyAlignment="1">
      <x:alignment vertical="center"/>
    </x:xf>
    <x:xf numFmtId="200" fontId="23" fillId="6" borderId="7" xfId="0" applyNumberFormat="1" applyFont="1" applyFill="1" applyBorder="1" applyAlignment="1">
      <x:alignment vertical="center"/>
    </x:xf>
    <x:xf numFmtId="202" fontId="23" fillId="6" borderId="7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203" fontId="23" fillId="7" borderId="7" xfId="0" applyNumberFormat="1" applyFont="1" applyFill="1" applyBorder="1" applyAlignment="1">
      <x:alignment vertical="center"/>
    </x:xf>
    <x:xf numFmtId="204" fontId="23" fillId="7" borderId="7" xfId="0" applyNumberFormat="1" applyFont="1" applyFill="1" applyBorder="1" applyAlignment="1">
      <x:alignment vertical="center"/>
    </x:xf>
    <x:xf numFmtId="202" fontId="23" fillId="7" borderId="7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vertical="center"/>
    </x:xf>
    <x:xf numFmtId="201" fontId="23" fillId="6" borderId="7" xfId="0" applyNumberFormat="1" applyFont="1" applyFill="1" applyBorder="1" applyAlignment="1">
      <x:alignment vertical="center"/>
    </x:xf>
    <x:xf numFmtId="0" fontId="16" fillId="8" borderId="5" xfId="0" applyNumberFormat="1" applyFont="1" applyFill="1" applyBorder="1" applyAlignment="1">
      <x:alignment vertical="center"/>
    </x:xf>
    <x:xf numFmtId="203" fontId="23" fillId="8" borderId="7" xfId="0" applyNumberFormat="1" applyFont="1" applyFill="1" applyBorder="1" applyAlignment="1">
      <x:alignment vertical="center"/>
    </x:xf>
    <x:xf numFmtId="204" fontId="23" fillId="8" borderId="7" xfId="0" applyNumberFormat="1" applyFont="1" applyFill="1" applyBorder="1" applyAlignment="1">
      <x:alignment vertical="center"/>
    </x:xf>
    <x:xf numFmtId="202" fontId="23" fillId="8" borderId="7" xfId="0" applyNumberFormat="1" applyFont="1" applyFill="1" applyBorder="1" applyAlignment="1">
      <x:alignment vertical="center"/>
    </x:xf>
    <x:xf numFmtId="0" fontId="16" fillId="9" borderId="6" xfId="0" applyNumberFormat="1" applyFont="1" applyFill="1" applyBorder="1" applyAlignment="1">
      <x:alignment vertical="center"/>
    </x:xf>
    <x:xf numFmtId="203" fontId="23" fillId="9" borderId="7" xfId="0" applyNumberFormat="1" applyFont="1" applyFill="1" applyBorder="1" applyAlignment="1">
      <x:alignment vertical="center"/>
    </x:xf>
    <x:xf numFmtId="204" fontId="23" fillId="9" borderId="7" xfId="0" applyNumberFormat="1" applyFont="1" applyFill="1" applyBorder="1" applyAlignment="1">
      <x:alignment vertical="center"/>
    </x:xf>
    <x:xf numFmtId="202" fontId="23" fillId="9" borderId="7" xfId="0" applyNumberFormat="1" applyFont="1" applyFill="1" applyBorder="1" applyAlignment="1">
      <x:alignment vertical="center"/>
    </x:xf>
    <x:xf numFmtId="203" fontId="23" fillId="6" borderId="7" xfId="0" applyNumberFormat="1" applyFont="1" applyFill="1" applyBorder="1" applyAlignment="1">
      <x:alignment vertical="center"/>
    </x:xf>
    <x:xf numFmtId="202" fontId="16" fillId="0" borderId="5" xfId="0" applyNumberFormat="1" applyFont="1" applyFill="1" applyBorder="1" applyAlignment="1">
      <x:alignment vertical="center"/>
    </x:xf>
    <x:xf numFmtId="0" fontId="16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0" borderId="6" xfId="0" applyNumberFormat="1" applyFont="1" applyFill="1" applyBorder="1" applyAlignment="1">
      <x:alignment vertical="center"/>
    </x:xf>
    <x:xf numFmtId="204" fontId="16" fillId="0" borderId="5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 wrapText="1"/>
    </x:xf>
    <x:xf numFmtId="204" fontId="23" fillId="7" borderId="8" xfId="0" applyNumberFormat="1" applyFont="1" applyFill="1" applyBorder="1" applyAlignment="1">
      <x:alignment vertical="center"/>
    </x:xf>
    <x:xf numFmtId="203" fontId="23" fillId="6" borderId="9" xfId="0" applyNumberFormat="1" applyFont="1" applyFill="1" applyBorder="1" applyAlignment="1">
      <x:alignment vertical="center"/>
    </x:xf>
    <x:xf numFmtId="0" fontId="16" fillId="8" borderId="4" xfId="0" applyNumberFormat="1" applyFont="1" applyFill="1" applyBorder="1" applyAlignment="1">
      <x:alignment vertical="center"/>
    </x:xf>
    <x:xf numFmtId="204" fontId="23" fillId="8" borderId="8" xfId="0" applyNumberFormat="1" applyFont="1" applyFill="1" applyBorder="1" applyAlignment="1">
      <x:alignment vertical="center"/>
    </x:xf>
    <x:xf numFmtId="0" fontId="16" fillId="9" borderId="4" xfId="0" applyNumberFormat="1" applyFont="1" applyFill="1" applyBorder="1" applyAlignment="1">
      <x:alignment vertical="center"/>
    </x:xf>
    <x:xf numFmtId="204" fontId="23" fillId="9" borderId="8" xfId="0" applyNumberFormat="1" applyFont="1" applyFill="1" applyBorder="1" applyAlignment="1">
      <x:alignment vertical="center"/>
    </x:xf>
    <x:xf numFmtId="205" fontId="7" fillId="0" borderId="4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205" fontId="7" fillId="0" borderId="5" xfId="0" applyNumberFormat="1" applyFont="1" applyFill="1" applyBorder="1" applyAlignment="1">
      <x:alignment vertical="center"/>
    </x:xf>
    <x:xf numFmtId="0" fontId="9" fillId="0" borderId="10" xfId="0" applyNumberFormat="1" applyFont="1" applyFill="1" applyBorder="1" applyAlignment="1">
      <x:alignment vertical="center"/>
    </x:xf>
    <x:xf numFmtId="205" fontId="9" fillId="0" borderId="10" xfId="0" applyNumberFormat="1" applyFont="1" applyFill="1" applyBorder="1" applyAlignment="1">
      <x:alignment vertical="center"/>
    </x:xf>
    <x:xf numFmtId="0" fontId="9" fillId="0" borderId="11" xfId="0" applyNumberFormat="1" applyFont="1" applyFill="1" applyBorder="1" applyAlignment="1">
      <x:alignment vertical="center"/>
    </x:xf>
    <x:xf numFmtId="203" fontId="9" fillId="0" borderId="11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vertical="center"/>
    </x:xf>
    <x:xf numFmtId="202" fontId="7" fillId="0" borderId="6" xfId="0" applyNumberFormat="1" applyFont="1" applyFill="1" applyBorder="1" applyAlignment="1">
      <x:alignment vertical="center"/>
    </x:xf>
    <x:xf numFmtId="205" fontId="24" fillId="0" borderId="4" xfId="0" applyNumberFormat="1" applyFont="1" applyFill="1" applyBorder="1" applyAlignment="1">
      <x:alignment vertical="center"/>
    </x:xf>
    <x:xf numFmtId="203" fontId="25" fillId="0" borderId="5" xfId="0" applyNumberFormat="1" applyFont="1" applyFill="1" applyBorder="1" applyAlignment="1">
      <x:alignment vertical="center"/>
    </x:xf>
    <x:xf numFmtId="205" fontId="24" fillId="0" borderId="5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5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203" fontId="2" fillId="0" borderId="11" xfId="0" applyNumberFormat="1" applyFont="1" applyFill="1" applyBorder="1" applyAlignment="1">
      <x:alignment vertical="center"/>
    </x:xf>
    <x:xf numFmtId="202" fontId="24" fillId="0" borderId="5" xfId="0" applyNumberFormat="1" applyFont="1" applyFill="1" applyBorder="1" applyAlignment="1">
      <x:alignment vertical="center"/>
    </x:xf>
    <x:xf numFmtId="202" fontId="24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6" fontId="0" fillId="0" borderId="5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vertical="center"/>
    </x:xf>
    <x:xf numFmtId="206" fontId="9" fillId="0" borderId="12" xfId="0" applyNumberFormat="1" applyFont="1" applyFill="1" applyBorder="1" applyAlignment="1">
      <x:alignment vertical="center"/>
    </x:xf>
    <x:xf numFmtId="207" fontId="0" fillId="0" borderId="5" xfId="0" applyNumberFormat="1" applyFont="1" applyFill="1" applyBorder="1" applyAlignment="1">
      <x:alignment vertical="center"/>
    </x:xf>
    <x:xf numFmtId="206" fontId="0" fillId="0" borderId="6" xfId="0" applyNumberFormat="1" applyFont="1" applyFill="1" applyBorder="1" applyAlignment="1">
      <x:alignment vertical="center"/>
    </x:xf>
    <x:xf numFmtId="204" fontId="16" fillId="0" borderId="4" xfId="0" applyNumberFormat="1" applyFont="1" applyFill="1" applyBorder="1" applyAlignment="1">
      <x:alignment vertical="center"/>
    </x:xf>
    <x:xf numFmtId="203" fontId="16" fillId="0" borderId="5" xfId="0" applyNumberFormat="1" applyFont="1" applyFill="1" applyBorder="1" applyAlignment="1">
      <x:alignment vertical="center"/>
    </x:xf>
    <x:xf numFmtId="206" fontId="16" fillId="0" borderId="5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6" fontId="2" fillId="0" borderId="12" xfId="0" applyNumberFormat="1" applyFont="1" applyFill="1" applyBorder="1" applyAlignment="1">
      <x:alignment vertical="center"/>
    </x:xf>
    <x:xf numFmtId="207" fontId="16" fillId="0" borderId="5" xfId="0" applyNumberFormat="1" applyFont="1" applyFill="1" applyBorder="1" applyAlignment="1">
      <x:alignment vertical="center"/>
    </x:xf>
    <x:xf numFmtId="206" fontId="16" fillId="0" borderId="6" xfId="0" applyNumberFormat="1" applyFont="1" applyFill="1" applyBorder="1" applyAlignment="1">
      <x:alignment vertical="center"/>
    </x:xf>
    <x:xf numFmtId="203" fontId="0" fillId="7" borderId="4" xfId="0" applyNumberFormat="1" applyFont="1" applyFill="1" applyBorder="1" applyAlignment="1">
      <x:alignment vertical="center"/>
    </x:xf>
    <x:xf numFmtId="206" fontId="0" fillId="7" borderId="4" xfId="0" applyNumberFormat="1" applyFont="1" applyFill="1" applyBorder="1" applyAlignment="1">
      <x:alignment vertical="center"/>
    </x:xf>
    <x:xf numFmtId="202" fontId="0" fillId="7" borderId="4" xfId="0" applyNumberFormat="1" applyFont="1" applyFill="1" applyBorder="1" applyAlignment="1">
      <x:alignment vertical="center"/>
    </x:xf>
    <x:xf numFmtId="208" fontId="0" fillId="7" borderId="4" xfId="0" applyNumberFormat="1" applyFont="1" applyFill="1" applyBorder="1" applyAlignment="1">
      <x:alignment vertical="center"/>
    </x:xf>
    <x:xf numFmtId="0" fontId="9" fillId="8" borderId="12" xfId="0" applyNumberFormat="1" applyFont="1" applyFill="1" applyBorder="1" applyAlignment="1">
      <x:alignment vertical="center"/>
    </x:xf>
    <x:xf numFmtId="203" fontId="9" fillId="8" borderId="12" xfId="0" applyNumberFormat="1" applyFont="1" applyFill="1" applyBorder="1" applyAlignment="1">
      <x:alignment vertical="center"/>
    </x:xf>
    <x:xf numFmtId="206" fontId="9" fillId="8" borderId="12" xfId="0" applyNumberFormat="1" applyFont="1" applyFill="1" applyBorder="1" applyAlignment="1">
      <x:alignment vertical="center"/>
    </x:xf>
    <x:xf numFmtId="202" fontId="9" fillId="8" borderId="12" xfId="0" applyNumberFormat="1" applyFont="1" applyFill="1" applyBorder="1" applyAlignment="1">
      <x:alignment vertical="center"/>
    </x:xf>
    <x:xf numFmtId="208" fontId="9" fillId="8" borderId="12" xfId="0" applyNumberFormat="1" applyFont="1" applyFill="1" applyBorder="1" applyAlignment="1">
      <x:alignment vertical="center"/>
    </x:xf>
    <x:xf numFmtId="203" fontId="0" fillId="9" borderId="6" xfId="0" applyNumberFormat="1" applyFont="1" applyFill="1" applyBorder="1" applyAlignment="1">
      <x:alignment vertical="center"/>
    </x:xf>
    <x:xf numFmtId="206" fontId="0" fillId="9" borderId="6" xfId="0" applyNumberFormat="1" applyFont="1" applyFill="1" applyBorder="1" applyAlignment="1">
      <x:alignment vertical="center"/>
    </x:xf>
    <x:xf numFmtId="202" fontId="0" fillId="9" borderId="6" xfId="0" applyNumberFormat="1" applyFont="1" applyFill="1" applyBorder="1" applyAlignment="1">
      <x:alignment vertical="center"/>
    </x:xf>
    <x:xf numFmtId="208" fontId="0" fillId="9" borderId="6" xfId="0" applyNumberFormat="1" applyFont="1" applyFill="1" applyBorder="1" applyAlignment="1">
      <x:alignment vertical="center"/>
    </x:xf>
    <x:xf numFmtId="208" fontId="0" fillId="0" borderId="4" xfId="0" applyNumberFormat="1" applyFont="1" applyFill="1" applyBorder="1" applyAlignment="1">
      <x:alignment vertical="center"/>
    </x:xf>
    <x:xf numFmtId="208" fontId="0" fillId="0" borderId="5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8" fontId="0" fillId="0" borderId="6" xfId="0" applyNumberFormat="1" applyFont="1" applyFill="1" applyBorder="1" applyAlignment="1">
      <x:alignment vertical="center"/>
    </x:xf>
    <x:xf numFmtId="203" fontId="16" fillId="7" borderId="4" xfId="0" applyNumberFormat="1" applyFont="1" applyFill="1" applyBorder="1" applyAlignment="1">
      <x:alignment vertical="center"/>
    </x:xf>
    <x:xf numFmtId="206" fontId="16" fillId="7" borderId="4" xfId="0" applyNumberFormat="1" applyFont="1" applyFill="1" applyBorder="1" applyAlignment="1">
      <x:alignment vertical="center"/>
    </x:xf>
    <x:xf numFmtId="202" fontId="16" fillId="7" borderId="4" xfId="0" applyNumberFormat="1" applyFont="1" applyFill="1" applyBorder="1" applyAlignment="1">
      <x:alignment vertical="center"/>
    </x:xf>
    <x:xf numFmtId="208" fontId="16" fillId="7" borderId="4" xfId="0" applyNumberFormat="1" applyFont="1" applyFill="1" applyBorder="1" applyAlignment="1">
      <x:alignment vertical="center"/>
    </x:xf>
    <x:xf numFmtId="0" fontId="2" fillId="8" borderId="12" xfId="0" applyNumberFormat="1" applyFont="1" applyFill="1" applyBorder="1" applyAlignment="1">
      <x:alignment vertical="center"/>
    </x:xf>
    <x:xf numFmtId="203" fontId="2" fillId="8" borderId="12" xfId="0" applyNumberFormat="1" applyFont="1" applyFill="1" applyBorder="1" applyAlignment="1">
      <x:alignment vertical="center"/>
    </x:xf>
    <x:xf numFmtId="206" fontId="2" fillId="8" borderId="12" xfId="0" applyNumberFormat="1" applyFont="1" applyFill="1" applyBorder="1" applyAlignment="1">
      <x:alignment vertical="center"/>
    </x:xf>
    <x:xf numFmtId="202" fontId="2" fillId="8" borderId="12" xfId="0" applyNumberFormat="1" applyFont="1" applyFill="1" applyBorder="1" applyAlignment="1">
      <x:alignment vertical="center"/>
    </x:xf>
    <x:xf numFmtId="208" fontId="2" fillId="8" borderId="12" xfId="0" applyNumberFormat="1" applyFont="1" applyFill="1" applyBorder="1" applyAlignment="1">
      <x:alignment vertical="center"/>
    </x:xf>
    <x:xf numFmtId="203" fontId="16" fillId="9" borderId="6" xfId="0" applyNumberFormat="1" applyFont="1" applyFill="1" applyBorder="1" applyAlignment="1">
      <x:alignment vertical="center"/>
    </x:xf>
    <x:xf numFmtId="206" fontId="16" fillId="9" borderId="6" xfId="0" applyNumberFormat="1" applyFont="1" applyFill="1" applyBorder="1" applyAlignment="1">
      <x:alignment vertical="center"/>
    </x:xf>
    <x:xf numFmtId="202" fontId="16" fillId="9" borderId="6" xfId="0" applyNumberFormat="1" applyFont="1" applyFill="1" applyBorder="1" applyAlignment="1">
      <x:alignment vertical="center"/>
    </x:xf>
    <x:xf numFmtId="208" fontId="16" fillId="9" borderId="6" xfId="0" applyNumberFormat="1" applyFont="1" applyFill="1" applyBorder="1" applyAlignment="1">
      <x:alignment vertical="center"/>
    </x:xf>
    <x:xf numFmtId="208" fontId="16" fillId="0" borderId="4" xfId="0" applyNumberFormat="1" applyFont="1" applyFill="1" applyBorder="1" applyAlignment="1">
      <x:alignment vertical="center"/>
    </x:xf>
    <x:xf numFmtId="208" fontId="16" fillId="0" borderId="5" xfId="0" applyNumberFormat="1" applyFont="1" applyFill="1" applyBorder="1" applyAlignment="1">
      <x:alignment vertical="center"/>
    </x:xf>
    <x:xf numFmtId="203" fontId="16" fillId="0" borderId="4" xfId="0" applyNumberFormat="1" applyFont="1" applyFill="1" applyBorder="1" applyAlignment="1">
      <x:alignment vertical="center"/>
    </x:xf>
    <x:xf numFmtId="208" fontId="16" fillId="0" borderId="6" xfId="0" applyNumberFormat="1" applyFont="1" applyFill="1" applyBorder="1" applyAlignment="1">
      <x:alignment vertical="center"/>
    </x:xf>
    <x:xf numFmtId="208" fontId="0" fillId="9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8" fontId="16" fillId="9" borderId="5" xfId="0" applyNumberFormat="1" applyFont="1" applyFill="1" applyBorder="1" applyAlignment="1">
      <x:alignment vertical="center"/>
    </x:xf>
    <x:xf numFmtId="203" fontId="16" fillId="0" borderId="6" xfId="0" applyNumberFormat="1" applyFont="1" applyFill="1" applyBorder="1" applyAlignment="1">
      <x:alignment vertical="center"/>
    </x:xf>
    <x:xf numFmtId="202" fontId="16" fillId="0" borderId="4" xfId="0" applyNumberFormat="1" applyFont="1" applyFill="1" applyBorder="1" applyAlignment="1">
      <x:alignment vertical="center"/>
    </x:xf>
    <x:xf numFmtId="202" fontId="16" fillId="0" borderId="6" xfId="0" applyNumberFormat="1" applyFont="1" applyFill="1" applyBorder="1" applyAlignment="1">
      <x:alignment vertical="center"/>
    </x:xf>
    <x:xf numFmtId="204" fontId="16" fillId="0" borderId="6" xfId="0" applyNumberFormat="1" applyFont="1" applyFill="1" applyBorder="1" applyAlignment="1">
      <x:alignment vertical="center"/>
    </x:xf>
    <x:xf numFmtId="209" fontId="0" fillId="0" borderId="4" xfId="0" applyNumberFormat="1" applyFont="1" applyFill="1" applyBorder="1" applyAlignment="1">
      <x:alignment vertical="center"/>
    </x:xf>
    <x:xf numFmtId="209" fontId="0" fillId="0" borderId="5" xfId="0" applyNumberFormat="1" applyFont="1" applyFill="1" applyBorder="1" applyAlignment="1">
      <x:alignment vertical="center"/>
    </x:xf>
    <x:xf numFmtId="209" fontId="0" fillId="9" borderId="5" xfId="0" applyNumberFormat="1" applyFont="1" applyFill="1" applyBorder="1" applyAlignment="1">
      <x:alignment vertical="center"/>
    </x:xf>
    <x:xf numFmtId="204" fontId="0" fillId="9" borderId="5" xfId="0" applyNumberFormat="1" applyFont="1" applyFill="1" applyBorder="1" applyAlignment="1">
      <x:alignment vertical="center"/>
    </x:xf>
    <x:xf numFmtId="209" fontId="0" fillId="0" borderId="6" xfId="0" applyNumberFormat="1" applyFont="1" applyFill="1" applyBorder="1" applyAlignment="1">
      <x:alignment vertical="center"/>
    </x:xf>
    <x:xf numFmtId="210" fontId="0" fillId="0" borderId="4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9" fontId="16" fillId="0" borderId="4" xfId="0" applyNumberFormat="1" applyFont="1" applyFill="1" applyBorder="1" applyAlignment="1">
      <x:alignment vertical="center"/>
    </x:xf>
    <x:xf numFmtId="209" fontId="16" fillId="0" borderId="5" xfId="0" applyNumberFormat="1" applyFont="1" applyFill="1" applyBorder="1" applyAlignment="1">
      <x:alignment vertical="center"/>
    </x:xf>
    <x:xf numFmtId="209" fontId="16" fillId="9" borderId="5" xfId="0" applyNumberFormat="1" applyFont="1" applyFill="1" applyBorder="1" applyAlignment="1">
      <x:alignment vertical="center"/>
    </x:xf>
    <x:xf numFmtId="204" fontId="16" fillId="9" borderId="5" xfId="0" applyNumberFormat="1" applyFont="1" applyFill="1" applyBorder="1" applyAlignment="1">
      <x:alignment vertical="center"/>
    </x:xf>
    <x:xf numFmtId="209" fontId="16" fillId="0" borderId="6" xfId="0" applyNumberFormat="1" applyFont="1" applyFill="1" applyBorder="1" applyAlignment="1">
      <x:alignment vertical="center"/>
    </x:xf>
    <x:xf numFmtId="210" fontId="16" fillId="0" borderId="4" xfId="0" applyNumberFormat="1" applyFont="1" applyFill="1" applyBorder="1" applyAlignment="1">
      <x:alignment vertical="center"/>
    </x:xf>
    <x:xf numFmtId="201" fontId="16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e0ae06b384d2f" /><Relationship Type="http://schemas.openxmlformats.org/officeDocument/2006/relationships/theme" Target="/xl/theme/theme1.xml" Id="R61eee70704a7411b" /><Relationship Type="http://schemas.microsoft.com/office/2022/11/relationships/FeaturePropertyBag" Target="/xl/featurePropertyBag/featurePropertyBag.xml" Id="Rfc3d36739d3c47a1" /><Relationship Type="http://schemas.openxmlformats.org/officeDocument/2006/relationships/sharedStrings" Target="/xl/sharedStrings.xml" Id="Rf4c316bfc5bf4473" /><Relationship Type="http://schemas.openxmlformats.org/officeDocument/2006/relationships/worksheet" Target="/xl/worksheets/sheet1.xml" Id="R8c9b2d6470d549e9" /><Relationship Type="http://schemas.openxmlformats.org/officeDocument/2006/relationships/worksheet" Target="/xl/worksheets/sheet2.xml" Id="R55cf0dbbb8784a24" /><Relationship Type="http://schemas.openxmlformats.org/officeDocument/2006/relationships/worksheet" Target="/xl/worksheets/sheet3.xml" Id="Rdee1f6d63483479c" /><Relationship Type="http://schemas.openxmlformats.org/officeDocument/2006/relationships/worksheet" Target="/xl/worksheets/sheet4.xml" Id="R1543bd0dbe4b410d" /><Relationship Type="http://schemas.openxmlformats.org/officeDocument/2006/relationships/worksheet" Target="/xl/worksheets/sheet5.xml" Id="Reb0fdefadea24986" /><Relationship Type="http://schemas.openxmlformats.org/officeDocument/2006/relationships/worksheet" Target="/xl/worksheets/sheet6.xml" Id="Rae0ccd32a9dd45eb" /><Relationship Type="http://schemas.openxmlformats.org/officeDocument/2006/relationships/worksheet" Target="/xl/worksheets/sheet7.xml" Id="R6e54a712c8d84f08" /><Relationship Type="http://schemas.openxmlformats.org/officeDocument/2006/relationships/worksheet" Target="/xl/worksheets/sheet8.xml" Id="R25e1e44239a848d4" /><Relationship Type="http://schemas.openxmlformats.org/officeDocument/2006/relationships/worksheet" Target="/xl/worksheets/sheet9.xml" Id="R8e5c4893b9944394" /><Relationship Type="http://schemas.openxmlformats.org/officeDocument/2006/relationships/worksheet" Target="/xl/worksheets/sheet10.xml" Id="R044b8644a6614161" /><Relationship Type="http://schemas.openxmlformats.org/officeDocument/2006/relationships/worksheet" Target="/xl/worksheets/sheet11.xml" Id="R13d893196c3646c7" /><Relationship Type="http://schemas.microsoft.com/office/2017/10/relationships/person" Target="/xl/persons/person.xml" Id="R2c1d439f759047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295da97bad43e5" /><Relationship Type="http://schemas.openxmlformats.org/officeDocument/2006/relationships/chart" Target="/xl/drawings/charts/chart2.xml" Id="R933725b90a76452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Intrinsic scenario values vs. market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Value / share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'DCF'!$A$4:$A$6</c:f>
              <c:strCache>
                <c:ptCount val="0"/>
              </c:strCache>
            </c:strRef>
          </c:cat>
          <c:val>
            <c:numRef>
              <c:f>'DCF'!$L$4:$L$6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Scenario revenue paths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ser>
          <c:idx val="0"/>
          <c:order val="0"/>
          <c:tx>
            <c:v>Bear</c:v>
          </c:tx>
          <c:spPr>
            <a:solidFill xmlns:a="http://schemas.openxmlformats.org/drawingml/2006/main">
              <a:srgbClr val="A64B44"/>
            </a:solidFill>
          </c:spPr>
          <c:marker>
            <c:symbol val="none"/>
          </c:marker>
          <c:cat>
            <c:strRef>
              <c:f>'Forecast'!$B$4:$P$4</c:f>
              <c:strCache>
                <c:ptCount val="0"/>
              </c:strCache>
            </c:strRef>
          </c:cat>
          <c:val>
            <c:numRef>
              <c:f>'Forecast'!$B$5:$P$5</c:f>
              <c:numCache>
                <c:formatCode>$0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'Forecast'!$B$4:$P$4</c:f>
              <c:strCache>
                <c:ptCount val="0"/>
              </c:strCache>
            </c:strRef>
          </c:cat>
          <c:val>
            <c:numRef>
              <c:f>'Forecast'!$B$22:$P$22</c:f>
              <c:numCache>
                <c:formatCode>$0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'Forecast'!$B$4:$P$4</c:f>
              <c:strCache>
                <c:ptCount val="0"/>
              </c:strCache>
            </c:strRef>
          </c:cat>
          <c:val>
            <c:numRef>
              <c:f>'Forecast'!$B$39:$P$39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295da97bad43e5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3725b90a76452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Henry Adams" id="{F5294D57-CE79-4348-A43C-B7AA057A804D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7b4e05c8e942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Neuraxis, Inc. (NRXS) — Bespoke Equity Valuation</x:v>
      </x:c>
      <x:c r="B1" s="3" t="str">
        <x:v>Neuraxis, Inc. (NRXS) — Bespoke Equity Valuation</x:v>
      </x:c>
      <x:c r="C1" s="3" t="str">
        <x:v>Neuraxis, Inc. (NRXS) — Bespoke Equity Valuation</x:v>
      </x:c>
      <x:c r="D1" s="3" t="str">
        <x:v>Neuraxis, Inc. (NRXS) — Bespoke Equity Valuation</x:v>
      </x:c>
      <x:c r="E1" s="3" t="str">
        <x:v>Neuraxis, Inc. (NRXS) — Bespoke Equity Valuation</x:v>
      </x:c>
      <x:c r="F1" s="3" t="str">
        <x:v>Neuraxis, Inc. (NRXS) — Bespoke Equity Valuation</x:v>
      </x:c>
      <x:c r="G1" s="3" t="str">
        <x:v>Neuraxis, Inc. (NRXS) — Bespoke Equity Valuation</x:v>
      </x:c>
      <x:c r="H1" s="3" t="str">
        <x:v>Neuraxis, Inc. (NRXS) — Bespoke Equity Valuation</x:v>
      </x:c>
      <x:c r="I1" s="3" t="str">
        <x:v>Neuraxis, Inc. (NRXS) — Bespoke Equity Valuation</x:v>
      </x:c>
      <x:c r="J1" s="3" t="str">
        <x:v>Neuraxis, Inc. (NRXS) — Bespoke Equity Valuation</x:v>
      </x:c>
      <x:c r="K1" s="3" t="str">
        <x:v>Neuraxis, Inc. (NRXS) — Bespoke Equity Valuation</x:v>
      </x:c>
      <x:c r="L1" s="3" t="str">
        <x:v>Neuraxis, Inc. (NRXS) — Bespoke Equity Valuation</x:v>
      </x:c>
    </x:row>
    <x:row r="2" ht="30" customHeight="1">
      <x:c r="A2" s="3" t="str">
        <x:v>Neuraxis, Inc. (NRXS) — Bespoke Equity Valuation</x:v>
      </x:c>
      <x:c r="B2" s="3" t="str">
        <x:v>Neuraxis, Inc. (NRXS) — Bespoke Equity Valuation</x:v>
      </x:c>
      <x:c r="C2" s="3" t="str">
        <x:v>Neuraxis, Inc. (NRXS) — Bespoke Equity Valuation</x:v>
      </x:c>
      <x:c r="D2" s="3" t="str">
        <x:v>Neuraxis, Inc. (NRXS) — Bespoke Equity Valuation</x:v>
      </x:c>
      <x:c r="E2" s="3" t="str">
        <x:v>Neuraxis, Inc. (NRXS) — Bespoke Equity Valuation</x:v>
      </x:c>
      <x:c r="F2" s="3" t="str">
        <x:v>Neuraxis, Inc. (NRXS) — Bespoke Equity Valuation</x:v>
      </x:c>
      <x:c r="G2" s="3" t="str">
        <x:v>Neuraxis, Inc. (NRXS) — Bespoke Equity Valuation</x:v>
      </x:c>
      <x:c r="H2" s="3" t="str">
        <x:v>Neuraxis, Inc. (NRXS) — Bespoke Equity Valuation</x:v>
      </x:c>
      <x:c r="I2" s="3" t="str">
        <x:v>Neuraxis, Inc. (NRXS) — Bespoke Equity Valuation</x:v>
      </x:c>
      <x:c r="J2" s="3" t="str">
        <x:v>Neuraxis, Inc. (NRXS) — Bespoke Equity Valuation</x:v>
      </x:c>
      <x:c r="K2" s="3" t="str">
        <x:v>Neuraxis, Inc. (NRXS) — Bespoke Equity Valuation</x:v>
      </x:c>
      <x:c r="L2" s="3" t="str">
        <x:v>Neuraxis, Inc. (NRXS) — Bespoke Equity Valuation</x:v>
      </x:c>
    </x:row>
    <x:row r="3">
      <x:c r="A3" s="226" t="str">
        <x:v>Valuation date 2026-07-30 • Approved commercial operations only • Probability-weighted 15-year FCFF • Screen-grade / high uncertainty</x:v>
      </x:c>
      <x:c r="B3" s="226"/>
      <x:c r="C3" s="226"/>
      <x:c r="D3" s="226"/>
      <x:c r="E3" s="226"/>
      <x:c r="F3" s="226"/>
      <x:c r="G3" s="226"/>
      <x:c r="H3" s="226"/>
      <x:c r="I3" s="226"/>
      <x:c r="J3" s="226"/>
      <x:c r="K3" s="226"/>
      <x:c r="L3" s="226"/>
    </x:row>
    <x:row r="4">
      <x:c r="A4" s="227"/>
      <x:c r="B4" s="227"/>
      <x:c r="C4" s="227"/>
      <x:c r="D4" s="227"/>
      <x:c r="E4" s="227"/>
      <x:c r="F4" s="227"/>
      <x:c r="G4" s="227"/>
      <x:c r="H4" s="227"/>
      <x:c r="I4" s="227"/>
      <x:c r="J4" s="227"/>
      <x:c r="K4" s="227"/>
      <x:c r="L4" s="227"/>
    </x:row>
    <x:row r="5">
      <x:c r="A5" s="228" t="str">
        <x:v>Probability-weighted value / share</x:v>
      </x:c>
      <x:c r="B5" s="229"/>
      <x:c r="C5" s="230"/>
      <x:c r="D5" s="231" t="str">
        <x:v>Current market reference</x:v>
      </x:c>
      <x:c r="E5" s="232"/>
      <x:c r="F5" s="233"/>
      <x:c r="G5" s="228" t="str">
        <x:v>Base value / share</x:v>
      </x:c>
      <x:c r="H5" s="229"/>
      <x:c r="I5" s="230"/>
      <x:c r="J5" s="234" t="str">
        <x:v>Bull value / share</x:v>
      </x:c>
      <x:c r="K5" s="235"/>
      <x:c r="L5" s="236"/>
    </x:row>
    <x:row r="6">
      <x:c r="A6" s="237" t="n">
        <x:f>'DCF'!B9</x:f>
        <x:v>1.4985266222229972</x:v>
      </x:c>
      <x:c r="B6" s="238"/>
      <x:c r="C6" s="239"/>
      <x:c r="D6" s="240" t="n">
        <x:f>'Assumptions'!B7</x:f>
        <x:v>6.235</x:v>
      </x:c>
      <x:c r="E6" s="241"/>
      <x:c r="F6" s="242"/>
      <x:c r="G6" s="237" t="n">
        <x:f>'DCF'!L5</x:f>
        <x:v>1.1287390588006745</x:v>
      </x:c>
      <x:c r="H6" s="238"/>
      <x:c r="I6" s="239"/>
      <x:c r="J6" s="243" t="n">
        <x:f>'DCF'!L6</x:f>
        <x:v>4.296203566093978</x:v>
      </x:c>
      <x:c r="K6" s="244"/>
      <x:c r="L6" s="245"/>
    </x:row>
    <x:row r="7">
      <x:c r="A7" s="237"/>
      <x:c r="B7" s="238"/>
      <x:c r="C7" s="239"/>
      <x:c r="D7" s="240"/>
      <x:c r="E7" s="241"/>
      <x:c r="F7" s="242"/>
      <x:c r="G7" s="237"/>
      <x:c r="H7" s="238"/>
      <x:c r="I7" s="239"/>
      <x:c r="J7" s="243"/>
      <x:c r="K7" s="244"/>
      <x:c r="L7" s="245"/>
    </x:row>
    <x:row r="8">
      <x:c r="A8" s="237"/>
      <x:c r="B8" s="238"/>
      <x:c r="C8" s="239"/>
      <x:c r="D8" s="240"/>
      <x:c r="E8" s="241"/>
      <x:c r="F8" s="242"/>
      <x:c r="G8" s="237"/>
      <x:c r="H8" s="238"/>
      <x:c r="I8" s="239"/>
      <x:c r="J8" s="243"/>
      <x:c r="K8" s="244"/>
      <x:c r="L8" s="245"/>
    </x:row>
    <x:row r="9">
      <x:c r="A9" s="246" t="str">
        <x:v>30% bear / 50% base / 20% bull</x:v>
      </x:c>
      <x:c r="B9" s="247"/>
      <x:c r="C9" s="248"/>
      <x:c r="D9" s="249" t="str">
        <x:v>Intraday 2026-07-30 13:36:28 UTC</x:v>
      </x:c>
      <x:c r="E9" s="250"/>
      <x:c r="F9" s="251"/>
      <x:c r="G9" s="246" t="str">
        <x:v>19% WACC • 2.5% terminal g</x:v>
      </x:c>
      <x:c r="H9" s="247"/>
      <x:c r="I9" s="248"/>
      <x:c r="J9" s="252" t="str">
        <x:v>19% WACC • low financing</x:v>
      </x:c>
      <x:c r="K9" s="253"/>
      <x:c r="L9" s="254"/>
    </x:row>
    <x:row r="10">
      <x:c r="A10" s="227"/>
      <x:c r="B10" s="227"/>
      <x:c r="C10" s="227"/>
      <x:c r="D10" s="227"/>
      <x:c r="E10" s="227"/>
      <x:c r="F10" s="227"/>
      <x:c r="G10" s="227"/>
      <x:c r="H10" s="227"/>
      <x:c r="I10" s="227"/>
      <x:c r="J10" s="227"/>
      <x:c r="K10" s="227"/>
      <x:c r="L10" s="227"/>
    </x:row>
    <x:row r="11" ht="22" customHeight="1">
      <x:c r="A11" s="32" t="str">
        <x:v>Investment-team read-through</x:v>
      </x:c>
      <x:c r="B11" s="32"/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</x:row>
    <x:row r="12" ht="45" customHeight="1">
      <x:c r="A12" s="24" t="str">
        <x:v>Question</x:v>
      </x:c>
      <x:c r="B12" s="26" t="str">
        <x:v>Answer</x:v>
      </x:c>
      <x:c r="C12" s="255"/>
      <x:c r="D12" s="255"/>
      <x:c r="E12" s="255"/>
      <x:c r="F12" s="255"/>
      <x:c r="G12" s="255"/>
      <x:c r="H12" s="255"/>
      <x:c r="I12" s="255"/>
      <x:c r="J12" s="255"/>
      <x:c r="K12" s="255"/>
      <x:c r="L12" s="255"/>
    </x:row>
    <x:row r="13" ht="45" customHeight="1">
      <x:c r="A13" s="255" t="str">
        <x:v>Primary conclusion</x:v>
      </x:c>
      <x:c r="B13" s="255" t="str">
        <x:v>The dated market price exceeds the probability-weighted result and sits above the modeled bull value; evidence does not support a trade recommendation without fresh claims, adoption, and cap-table data.</x:v>
      </x:c>
      <x:c r="C13" s="255"/>
      <x:c r="D13" s="255"/>
      <x:c r="E13" s="255"/>
      <x:c r="F13" s="255"/>
      <x:c r="G13" s="255"/>
      <x:c r="H13" s="255"/>
      <x:c r="I13" s="255"/>
      <x:c r="J13" s="255"/>
      <x:c r="K13" s="255"/>
      <x:c r="L13" s="255"/>
    </x:row>
    <x:row r="14" ht="45" customHeight="1">
      <x:c r="A14" s="255" t="str">
        <x:v>What is priced in?</x:v>
      </x:c>
      <x:c r="B14" s="255" t="str">
        <x:v>About 1.5–1.6× the bull revenue path while mature EBIT reaches 30%, the common 19% hurdle holds, and future dilution remains modest.</x:v>
      </x:c>
      <x:c r="C14" s="255"/>
      <x:c r="D14" s="255"/>
      <x:c r="E14" s="255"/>
      <x:c r="F14" s="255"/>
      <x:c r="G14" s="255"/>
      <x:c r="H14" s="255"/>
      <x:c r="I14" s="255"/>
      <x:c r="J14" s="255"/>
      <x:c r="K14" s="255"/>
      <x:c r="L14" s="255"/>
    </x:row>
    <x:row r="15" ht="45" customHeight="1">
      <x:c r="A15" s="255" t="str">
        <x:v>Variant wedge</x:v>
      </x:c>
      <x:c r="B15" s="255" t="str">
        <x:v>Category I CPT reimbursement can accelerate hospital adoption and repeat utilization while Q1 gross margin stays in the mid-80s.</x:v>
      </x:c>
      <x:c r="C15" s="255"/>
      <x:c r="D15" s="255"/>
      <x:c r="E15" s="255"/>
      <x:c r="F15" s="255"/>
      <x:c r="G15" s="255"/>
      <x:c r="H15" s="255"/>
      <x:c r="I15" s="255"/>
      <x:c r="J15" s="255"/>
      <x:c r="K15" s="255"/>
      <x:c r="L15" s="255"/>
    </x:row>
    <x:row r="16" ht="45" customHeight="1">
      <x:c r="A16" s="255" t="str">
        <x:v>Downside mechanism</x:v>
      </x:c>
      <x:c r="B16" s="255" t="str">
        <x:v>Realized reimbursement below device economics, slow policy activation, persistent overhead, and discounted equity raises can overwhelm otherwise attractive gross margin.</x:v>
      </x:c>
      <x:c r="C16" s="255"/>
      <x:c r="D16" s="255"/>
      <x:c r="E16" s="255"/>
      <x:c r="F16" s="255"/>
      <x:c r="G16" s="255"/>
      <x:c r="H16" s="255"/>
      <x:c r="I16" s="255"/>
      <x:c r="J16" s="255"/>
      <x:c r="K16" s="255"/>
      <x:c r="L16" s="255"/>
    </x:row>
    <x:row r="17">
      <x:c r="A17" s="227"/>
      <x:c r="B17" s="227"/>
      <x:c r="C17" s="227"/>
      <x:c r="D17" s="227"/>
      <x:c r="E17" s="227"/>
      <x:c r="F17" s="227"/>
      <x:c r="G17" s="227"/>
      <x:c r="H17" s="227"/>
      <x:c r="I17" s="227"/>
      <x:c r="J17" s="227"/>
      <x:c r="K17" s="227"/>
      <x:c r="L17" s="227"/>
    </x:row>
    <x:row r="18" ht="22" customHeight="1">
      <x:c r="A18" s="32" t="str">
        <x:v>Scenario value per share</x:v>
      </x:c>
      <x:c r="B18" s="32"/>
      <x:c r="C18" s="32"/>
      <x:c r="D18" s="32"/>
      <x:c r="E18" s="32"/>
      <x:c r="F18" s="32"/>
      <x:c r="G18" s="32" t="str">
        <x:v>Revenue paths ($mm)</x:v>
      </x:c>
      <x:c r="H18" s="32"/>
      <x:c r="I18" s="32"/>
      <x:c r="J18" s="32"/>
      <x:c r="K18" s="32"/>
      <x:c r="L18" s="32"/>
    </x:row>
    <x:row r="19">
      <x:c r="A19" s="227"/>
      <x:c r="B19" s="227"/>
      <x:c r="C19" s="227"/>
      <x:c r="D19" s="227"/>
      <x:c r="E19" s="227"/>
      <x:c r="F19" s="227"/>
      <x:c r="G19" s="227"/>
      <x:c r="H19" s="227"/>
      <x:c r="I19" s="227"/>
      <x:c r="J19" s="227"/>
      <x:c r="K19" s="227"/>
      <x:c r="L19" s="227"/>
    </x:row>
    <x:row r="20">
      <x:c r="A20" s="227"/>
      <x:c r="B20" s="227"/>
      <x:c r="C20" s="227"/>
      <x:c r="D20" s="227"/>
      <x:c r="E20" s="227"/>
      <x:c r="F20" s="227"/>
      <x:c r="G20" s="227"/>
      <x:c r="H20" s="227"/>
      <x:c r="I20" s="227"/>
      <x:c r="J20" s="227"/>
      <x:c r="K20" s="227"/>
      <x:c r="L20" s="227"/>
    </x:row>
    <x:row r="21">
      <x:c r="A21" s="227"/>
      <x:c r="B21" s="227"/>
      <x:c r="C21" s="227"/>
      <x:c r="D21" s="227"/>
      <x:c r="E21" s="227"/>
      <x:c r="F21" s="227"/>
      <x:c r="G21" s="227"/>
      <x:c r="H21" s="227"/>
      <x:c r="I21" s="227"/>
      <x:c r="J21" s="227"/>
      <x:c r="K21" s="227"/>
      <x:c r="L21" s="227"/>
    </x:row>
    <x:row r="22">
      <x:c r="A22" s="227"/>
      <x:c r="B22" s="227"/>
      <x:c r="C22" s="227"/>
      <x:c r="D22" s="227"/>
      <x:c r="E22" s="227"/>
      <x:c r="F22" s="227"/>
      <x:c r="G22" s="227"/>
      <x:c r="H22" s="227"/>
      <x:c r="I22" s="227"/>
      <x:c r="J22" s="227"/>
      <x:c r="K22" s="227"/>
      <x:c r="L22" s="227"/>
    </x:row>
    <x:row r="23">
      <x:c r="A23" s="227"/>
      <x:c r="B23" s="227"/>
      <x:c r="C23" s="227"/>
      <x:c r="D23" s="227"/>
      <x:c r="E23" s="227"/>
      <x:c r="F23" s="227"/>
      <x:c r="G23" s="227"/>
      <x:c r="H23" s="227"/>
      <x:c r="I23" s="227"/>
      <x:c r="J23" s="227"/>
      <x:c r="K23" s="227"/>
      <x:c r="L23" s="227"/>
    </x:row>
    <x:row r="24">
      <x:c r="A24" s="227"/>
      <x:c r="B24" s="227"/>
      <x:c r="C24" s="227"/>
      <x:c r="D24" s="227"/>
      <x:c r="E24" s="227"/>
      <x:c r="F24" s="227"/>
      <x:c r="G24" s="227"/>
      <x:c r="H24" s="227"/>
      <x:c r="I24" s="227"/>
      <x:c r="J24" s="227"/>
      <x:c r="K24" s="227"/>
      <x:c r="L24" s="227"/>
    </x:row>
    <x:row r="25">
      <x:c r="A25" s="227"/>
      <x:c r="B25" s="227"/>
      <x:c r="C25" s="227"/>
      <x:c r="D25" s="227"/>
      <x:c r="E25" s="227"/>
      <x:c r="F25" s="227"/>
      <x:c r="G25" s="227"/>
      <x:c r="H25" s="227"/>
      <x:c r="I25" s="227"/>
      <x:c r="J25" s="227"/>
      <x:c r="K25" s="227"/>
      <x:c r="L25" s="227"/>
    </x:row>
    <x:row r="26">
      <x:c r="A26" s="227"/>
      <x:c r="B26" s="227"/>
      <x:c r="C26" s="227"/>
      <x:c r="D26" s="227"/>
      <x:c r="E26" s="227"/>
      <x:c r="F26" s="227"/>
      <x:c r="G26" s="227"/>
      <x:c r="H26" s="227"/>
      <x:c r="I26" s="227"/>
      <x:c r="J26" s="227"/>
      <x:c r="K26" s="227"/>
      <x:c r="L26" s="227"/>
    </x:row>
    <x:row r="27">
      <x:c r="A27" s="227"/>
      <x:c r="B27" s="227"/>
      <x:c r="C27" s="227"/>
      <x:c r="D27" s="227"/>
      <x:c r="E27" s="227"/>
      <x:c r="F27" s="227"/>
      <x:c r="G27" s="227"/>
      <x:c r="H27" s="227"/>
      <x:c r="I27" s="227"/>
      <x:c r="J27" s="227"/>
      <x:c r="K27" s="227"/>
      <x:c r="L27" s="227"/>
    </x:row>
    <x:row r="28">
      <x:c r="A28" s="227"/>
      <x:c r="B28" s="227"/>
      <x:c r="C28" s="227"/>
      <x:c r="D28" s="227"/>
      <x:c r="E28" s="227"/>
      <x:c r="F28" s="227"/>
      <x:c r="G28" s="227"/>
      <x:c r="H28" s="227"/>
      <x:c r="I28" s="227"/>
      <x:c r="J28" s="227"/>
      <x:c r="K28" s="227"/>
      <x:c r="L28" s="227"/>
    </x:row>
    <x:row r="29">
      <x:c r="A29" s="227"/>
      <x:c r="B29" s="227"/>
      <x:c r="C29" s="227"/>
      <x:c r="D29" s="227"/>
      <x:c r="E29" s="227"/>
      <x:c r="F29" s="227"/>
      <x:c r="G29" s="227"/>
      <x:c r="H29" s="227"/>
      <x:c r="I29" s="227"/>
      <x:c r="J29" s="227"/>
      <x:c r="K29" s="227"/>
      <x:c r="L29" s="227"/>
    </x:row>
    <x:row r="30">
      <x:c r="A30" s="227"/>
      <x:c r="B30" s="227"/>
      <x:c r="C30" s="227"/>
      <x:c r="D30" s="227"/>
      <x:c r="E30" s="227"/>
      <x:c r="F30" s="227"/>
      <x:c r="G30" s="227"/>
      <x:c r="H30" s="227"/>
      <x:c r="I30" s="227"/>
      <x:c r="J30" s="227"/>
      <x:c r="K30" s="227"/>
      <x:c r="L30" s="227"/>
    </x:row>
    <x:row r="31">
      <x:c r="A31" s="227"/>
      <x:c r="B31" s="227"/>
      <x:c r="C31" s="227"/>
      <x:c r="D31" s="227"/>
      <x:c r="E31" s="227"/>
      <x:c r="F31" s="227"/>
      <x:c r="G31" s="227"/>
      <x:c r="H31" s="227"/>
      <x:c r="I31" s="227"/>
      <x:c r="J31" s="227"/>
      <x:c r="K31" s="227"/>
      <x:c r="L31" s="227"/>
    </x:row>
    <x:row r="32">
      <x:c r="A32" s="227"/>
      <x:c r="B32" s="227"/>
      <x:c r="C32" s="227"/>
      <x:c r="D32" s="227"/>
      <x:c r="E32" s="227"/>
      <x:c r="F32" s="227"/>
      <x:c r="G32" s="227"/>
      <x:c r="H32" s="227"/>
      <x:c r="I32" s="227"/>
      <x:c r="J32" s="227"/>
      <x:c r="K32" s="227"/>
      <x:c r="L32" s="227"/>
    </x:row>
    <x:row r="33" ht="22" customHeight="1">
      <x:c r="A33" s="32" t="str">
        <x:v>Method, controls, and limitations</x:v>
      </x:c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 ht="33" customHeight="1">
      <x:c r="A34" s="256" t="str">
        <x:v>Item</x:v>
      </x:c>
      <x:c r="B34" s="255" t="str">
        <x:v>Current treatment</x:v>
      </x:c>
      <x:c r="C34" s="255"/>
      <x:c r="D34" s="255"/>
      <x:c r="E34" s="255"/>
      <x:c r="F34" s="255"/>
      <x:c r="G34" s="256" t="str">
        <x:v>Item</x:v>
      </x:c>
      <x:c r="H34" s="255" t="str">
        <x:v>Current treatment</x:v>
      </x:c>
      <x:c r="I34" s="255"/>
      <x:c r="J34" s="255"/>
      <x:c r="K34" s="255"/>
      <x:c r="L34" s="255"/>
    </x:row>
    <x:row r="35" ht="33" customHeight="1">
      <x:c r="A35" s="256" t="str">
        <x:v>Primary method</x:v>
      </x:c>
      <x:c r="B35" s="255" t="str">
        <x:v>15-year probability-weighted FCFF DCF</x:v>
      </x:c>
      <x:c r="C35" s="255"/>
      <x:c r="D35" s="255"/>
      <x:c r="E35" s="255"/>
      <x:c r="F35" s="255"/>
      <x:c r="G35" s="256" t="str">
        <x:v>Model status</x:v>
      </x:c>
      <x:c r="H35" s="255" t="str">
        <x:f>'Checks'!B4</x:f>
        <x:v>PASS</x:v>
      </x:c>
      <x:c r="I35" s="255"/>
      <x:c r="J35" s="255"/>
      <x:c r="K35" s="255"/>
      <x:c r="L35" s="255"/>
    </x:row>
    <x:row r="36" ht="33" customHeight="1">
      <x:c r="A36" s="256" t="str">
        <x:v>Pipeline value</x:v>
      </x:c>
      <x:c r="B36" s="255" t="str">
        <x:v>$0 for unapproved indications</x:v>
      </x:c>
      <x:c r="C36" s="255"/>
      <x:c r="D36" s="255"/>
      <x:c r="E36" s="255"/>
      <x:c r="F36" s="255"/>
      <x:c r="G36" s="256" t="str">
        <x:v>Reverse DCF</x:v>
      </x:c>
      <x:c r="H36" s="257" t="n">
        <x:f>'Reverse DCF'!B18</x:f>
        <x:v>1.5317242627259162</x:v>
      </x:c>
      <x:c r="I36" s="255"/>
      <x:c r="J36" s="255"/>
      <x:c r="K36" s="255"/>
      <x:c r="L36" s="255"/>
    </x:row>
    <x:row r="37" ht="33" customHeight="1">
      <x:c r="A37" s="256" t="str">
        <x:v>Dilution</x:v>
      </x:c>
      <x:c r="B37" s="255" t="str">
        <x:v>Filing-derived if-converted / RSU / warrant / option cases plus future financing</x:v>
      </x:c>
      <x:c r="C37" s="255"/>
      <x:c r="D37" s="255"/>
      <x:c r="E37" s="255"/>
      <x:c r="F37" s="255"/>
      <x:c r="G37" s="256" t="str">
        <x:v>OFF boundary</x:v>
      </x:c>
      <x:c r="H37" s="255" t="str">
        <x:v>Package structure and declared lineage only</x:v>
      </x:c>
      <x:c r="I37" s="255"/>
      <x:c r="J37" s="255"/>
      <x:c r="K37" s="255"/>
      <x:c r="L37" s="255"/>
    </x:row>
    <x:row r="38" ht="33" customHeight="1">
      <x:c r="A38" s="256" t="str">
        <x:v>Evidence</x:v>
      </x:c>
      <x:c r="B38" s="255" t="str">
        <x:v>SEC/FDA/CMS primary where available; issuer claims labeled</x:v>
      </x:c>
      <x:c r="C38" s="255"/>
      <x:c r="D38" s="255"/>
      <x:c r="E38" s="255"/>
      <x:c r="F38" s="255"/>
      <x:c r="G38" s="256" t="str">
        <x:v>Confidence</x:v>
      </x:c>
      <x:c r="H38" s="255" t="str">
        <x:v>Screen-grade / high uncertainty</x:v>
      </x:c>
      <x:c r="I38" s="255"/>
      <x:c r="J38" s="255"/>
      <x:c r="K38" s="255"/>
      <x:c r="L38" s="255"/>
    </x:row>
    <x:row r="39" ht="33" customHeight="1">
      <x:c r="A39" s="256" t="str">
        <x:v>Known gaps</x:v>
      </x:c>
      <x:c r="B39" s="255" t="str">
        <x:v>Claims realization, deduped coverage, option replacement, licensed consensus</x:v>
      </x:c>
      <x:c r="C39" s="255"/>
      <x:c r="D39" s="255"/>
      <x:c r="E39" s="255"/>
      <x:c r="F39" s="255"/>
      <x:c r="G39" s="256" t="str">
        <x:v>Trade posture</x:v>
      </x:c>
      <x:c r="H39" s="255" t="str">
        <x:v>No recommendation without portfolio context and evidence refresh</x:v>
      </x:c>
      <x:c r="I39" s="255"/>
      <x:c r="J39" s="255"/>
      <x:c r="K39" s="255"/>
      <x:c r="L39" s="255"/>
    </x:row>
    <x:row r="40" ht="33" customHeight="1">
      <x:c r="A40" s="256" t="str">
        <x:v>Audience</x:v>
      </x:c>
      <x:c r="B40" s="255" t="str">
        <x:v>Investment-team diligence</x:v>
      </x:c>
      <x:c r="C40" s="255"/>
      <x:c r="D40" s="255"/>
      <x:c r="E40" s="255"/>
      <x:c r="F40" s="255"/>
      <x:c r="G40" s="256" t="str">
        <x:v>Owner / version</x:v>
      </x:c>
      <x:c r="H40" s="255" t="str">
        <x:v>Henry Adams • v1 • 2026-07-30</x:v>
      </x:c>
      <x:c r="I40" s="255"/>
      <x:c r="J40" s="255"/>
      <x:c r="K40" s="255"/>
      <x:c r="L40" s="255"/>
    </x:row>
    <x:row r="41">
      <x:c r="A41" s="227"/>
      <x:c r="B41" s="227"/>
      <x:c r="C41" s="227"/>
      <x:c r="D41" s="227"/>
      <x:c r="E41" s="227"/>
      <x:c r="F41" s="227"/>
      <x:c r="G41" s="227"/>
      <x:c r="H41" s="227"/>
      <x:c r="I41" s="227"/>
      <x:c r="J41" s="227"/>
      <x:c r="K41" s="227"/>
      <x:c r="L41" s="227"/>
    </x:row>
    <x:row r="42">
      <x:c r="A42" s="258" t="str">
        <x:v>This workbook is valuation research, not individualized investment advice. Refresh the price, claims realization, payer activation, cash runway, and capitalization before any decision.</x:v>
      </x:c>
      <x:c r="B42" s="258"/>
      <x:c r="C42" s="258"/>
      <x:c r="D42" s="258"/>
      <x:c r="E42" s="258"/>
      <x:c r="F42" s="258"/>
      <x:c r="G42" s="258"/>
      <x:c r="H42" s="258"/>
      <x:c r="I42" s="258"/>
      <x:c r="J42" s="258"/>
      <x:c r="K42" s="258"/>
      <x:c r="L42" s="258"/>
    </x:row>
  </x:sheetData>
  <x:mergeCells>
    <x:mergeCell ref="A1:L2"/>
    <x:mergeCell ref="A3:L3"/>
    <x:mergeCell ref="A5:C5"/>
    <x:mergeCell ref="A6:C8"/>
    <x:mergeCell ref="A9:C9"/>
    <x:mergeCell ref="D5:F5"/>
    <x:mergeCell ref="D6:F8"/>
    <x:mergeCell ref="D9:F9"/>
    <x:mergeCell ref="G5:I5"/>
    <x:mergeCell ref="G6:I8"/>
    <x:mergeCell ref="G9:I9"/>
    <x:mergeCell ref="J5:L5"/>
    <x:mergeCell ref="J6:L8"/>
    <x:mergeCell ref="J9:L9"/>
    <x:mergeCell ref="B13:L13"/>
    <x:mergeCell ref="B14:L14"/>
    <x:mergeCell ref="B15:L15"/>
    <x:mergeCell ref="B16:L16"/>
    <x:mergeCell ref="B34:F34"/>
    <x:mergeCell ref="H34:L34"/>
    <x:mergeCell ref="B35:F35"/>
    <x:mergeCell ref="H35:L35"/>
    <x:mergeCell ref="B36:F36"/>
    <x:mergeCell ref="H36:L36"/>
    <x:mergeCell ref="B37:F37"/>
    <x:mergeCell ref="H37:L37"/>
    <x:mergeCell ref="B38:F38"/>
    <x:mergeCell ref="H38:L38"/>
    <x:mergeCell ref="B39:F39"/>
    <x:mergeCell ref="H39:L39"/>
    <x:mergeCell ref="B40:F40"/>
    <x:mergeCell ref="H40:L40"/>
    <x:mergeCell ref="A42:L42"/>
  </x:mergeCells>
  <x:pageMargins left="0.7" right="0.7" top="0.75" bottom="0.75" header="0.3" footer="0.3"/>
  <x:drawing xmlns:r="http://schemas.openxmlformats.org/officeDocument/2006/relationships" r:id="R267b4e05c8e942c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30" hidden="0" customWidth="1"/>
    <x:col min="5" max="5" width="18" hidden="0" customWidth="1"/>
    <x:col min="6" max="6" width="18" hidden="0" customWidth="1"/>
    <x:col min="7" max="7" width="28" hidden="0" customWidth="1"/>
    <x:col min="8" max="8" width="44" hidden="0" customWidth="1"/>
    <x:col min="9" max="9" width="38" hidden="0" customWidth="1"/>
    <x:col min="10" max="10" width="27" hidden="0" customWidth="1"/>
  </x:cols>
  <x:sheetData>
    <x:row r="1" ht="30" customHeight="1">
      <x:c r="A1" s="3" t="str">
        <x:v>Neuraxis (NRXS) — Evidence and Source Register</x:v>
      </x:c>
      <x:c r="B1" s="3" t="str">
        <x:v>Neuraxis (NRXS) — Evidence and Source Register</x:v>
      </x:c>
      <x:c r="C1" s="3" t="str">
        <x:v>Neuraxis (NRXS) — Evidence and Source Register</x:v>
      </x:c>
      <x:c r="D1" s="3" t="str">
        <x:v>Neuraxis (NRXS) — Evidence and Source Register</x:v>
      </x:c>
      <x:c r="E1" s="3" t="str">
        <x:v>Neuraxis (NRXS) — Evidence and Source Register</x:v>
      </x:c>
      <x:c r="F1" s="3" t="str">
        <x:v>Neuraxis (NRXS) — Evidence and Source Register</x:v>
      </x:c>
      <x:c r="G1" s="3" t="str">
        <x:v>Neuraxis (NRXS) — Evidence and Source Register</x:v>
      </x:c>
      <x:c r="H1" s="3" t="str">
        <x:v>Neuraxis (NRXS) — Evidence and Source Register</x:v>
      </x:c>
      <x:c r="I1" s="3" t="str">
        <x:v>Neuraxis (NRXS) — Evidence and Source Register</x:v>
      </x:c>
      <x:c r="J1" s="3" t="str">
        <x:v>Neuraxis (NRXS) — Evidence and Source Register</x:v>
      </x:c>
    </x:row>
    <x:row r="2">
      <x:c r="A2" s="227"/>
      <x:c r="B2" s="227"/>
      <x:c r="C2" s="227"/>
      <x:c r="D2" s="227"/>
      <x:c r="E2" s="227"/>
      <x:c r="F2" s="227"/>
      <x:c r="G2" s="227"/>
      <x:c r="H2" s="227"/>
      <x:c r="I2" s="227"/>
      <x:c r="J2" s="227"/>
    </x:row>
    <x:row r="3">
      <x:c r="A3" s="9" t="str">
        <x:v>ID</x:v>
      </x:c>
      <x:c r="B3" s="10" t="str">
        <x:v>Class</x:v>
      </x:c>
      <x:c r="C3" s="10" t="str">
        <x:v>Publisher</x:v>
      </x:c>
      <x:c r="D3" s="10" t="str">
        <x:v>Document</x:v>
      </x:c>
      <x:c r="E3" s="10" t="str">
        <x:v>Filed / effective</x:v>
      </x:c>
      <x:c r="F3" s="10" t="str">
        <x:v>Period / as-of</x:v>
      </x:c>
      <x:c r="G3" s="10" t="str">
        <x:v>Location</x:v>
      </x:c>
      <x:c r="H3" s="10" t="str">
        <x:v>URL</x:v>
      </x:c>
      <x:c r="I3" s="10" t="str">
        <x:v>Used for</x:v>
      </x:c>
      <x:c r="J3" s="11" t="str">
        <x:v>Evidence status</x:v>
      </x:c>
    </x:row>
    <x:row r="4" ht="44" customHeight="1">
      <x:c r="A4" s="265" t="str">
        <x:v>S1</x:v>
      </x:c>
      <x:c r="B4" s="265" t="str">
        <x:v>SEC filing</x:v>
      </x:c>
      <x:c r="C4" s="265" t="str">
        <x:v>Neuraxis / SEC</x:v>
      </x:c>
      <x:c r="D4" s="265" t="str">
        <x:v>2025 Form 10-K</x:v>
      </x:c>
      <x:c r="E4" s="265" t="str">
        <x:v>2026-03-19</x:v>
      </x:c>
      <x:c r="F4" s="265" t="str">
        <x:v>FY2022-FY2025</x:v>
      </x:c>
      <x:c r="G4" s="265" t="str">
        <x:v>Financial statements and notes</x:v>
      </x:c>
      <x:c r="H4" s="266" t="str">
        <x:v>https://www.sec.gov/Archives/edgar/data/1933567/000149315226011505/form10-k.htm</x:v>
      </x:c>
      <x:c r="I4" s="265" t="str">
        <x:v>Historical financials, products, hospitals, payer policies, capitalization</x:v>
      </x:c>
      <x:c r="J4" s="265" t="str">
        <x:v>Verified primary</x:v>
      </x:c>
    </x:row>
    <x:row r="5" ht="44" customHeight="1">
      <x:c r="A5" s="267" t="str">
        <x:v>S2</x:v>
      </x:c>
      <x:c r="B5" s="267" t="str">
        <x:v>SEC filing</x:v>
      </x:c>
      <x:c r="C5" s="267" t="str">
        <x:v>Neuraxis / SEC</x:v>
      </x:c>
      <x:c r="D5" s="267" t="str">
        <x:v>Q1 2026 Form 10-Q</x:v>
      </x:c>
      <x:c r="E5" s="267" t="str">
        <x:v>2026-05-12</x:v>
      </x:c>
      <x:c r="F5" s="267" t="str">
        <x:v>Quarter ended 2026-03-31</x:v>
      </x:c>
      <x:c r="G5" s="267" t="str">
        <x:v>Financial statements, MD&amp;A, cover</x:v>
      </x:c>
      <x:c r="H5" s="268" t="str">
        <x:v>https://www.sec.gov/Archives/edgar/data/1933567/000149315226022384/form10-q.htm</x:v>
      </x:c>
      <x:c r="I5" s="267" t="str">
        <x:v>Q1 results, cash, dilution, reimbursement commentary</x:v>
      </x:c>
      <x:c r="J5" s="267" t="str">
        <x:v>Verified primary</x:v>
      </x:c>
    </x:row>
    <x:row r="6" ht="44" customHeight="1">
      <x:c r="A6" s="267" t="str">
        <x:v>S3</x:v>
      </x:c>
      <x:c r="B6" s="267" t="str">
        <x:v>SEC XBRL</x:v>
      </x:c>
      <x:c r="C6" s="267" t="str">
        <x:v>U.S. SEC</x:v>
      </x:c>
      <x:c r="D6" s="267" t="str">
        <x:v>Neuraxis company facts</x:v>
      </x:c>
      <x:c r="E6" s="267" t="str">
        <x:v>2026-05-12</x:v>
      </x:c>
      <x:c r="F6" s="267" t="str">
        <x:v>Through Q1 2026</x:v>
      </x:c>
      <x:c r="G6" s="267" t="str">
        <x:v>CIK 0001933567</x:v>
      </x:c>
      <x:c r="H6" s="268" t="str">
        <x:v>https://data.sec.gov/api/xbrl/companyfacts/CIK0001933567.json</x:v>
      </x:c>
      <x:c r="I6" s="267" t="str">
        <x:v>Machine-readable cross-check of reported values</x:v>
      </x:c>
      <x:c r="J6" s="267" t="str">
        <x:v>Verified primary</x:v>
      </x:c>
    </x:row>
    <x:row r="7" ht="44" customHeight="1">
      <x:c r="A7" s="267" t="str">
        <x:v>S4</x:v>
      </x:c>
      <x:c r="B7" s="267" t="str">
        <x:v>Issuer release</x:v>
      </x:c>
      <x:c r="C7" s="267" t="str">
        <x:v>Neuraxis</x:v>
      </x:c>
      <x:c r="D7" s="267" t="str">
        <x:v>Q1 2026 results</x:v>
      </x:c>
      <x:c r="E7" s="267" t="str">
        <x:v>2026-05-12</x:v>
      </x:c>
      <x:c r="F7" s="267" t="str">
        <x:v>Q1 2026</x:v>
      </x:c>
      <x:c r="G7" s="267" t="str">
        <x:v>Release and tables</x:v>
      </x:c>
      <x:c r="H7" s="268" t="str">
        <x:v>https://neuraxis.com/2026/05/12/neuraxis-inc-a-medical-technology-company-commercializing-neuromodulation-therapies-for-chronic-and-debilitating-conditions-in-children-and-adults-today-announced-results-for-the-first-quarter-per/</x:v>
      </x:c>
      <x:c r="I7" s="267" t="str">
        <x:v>Growth, unit delivery, CPT commercialization read-through</x:v>
      </x:c>
      <x:c r="J7" s="267" t="str">
        <x:v>Primary management claim</x:v>
      </x:c>
    </x:row>
    <x:row r="8" ht="44" customHeight="1">
      <x:c r="A8" s="267" t="str">
        <x:v>S5</x:v>
      </x:c>
      <x:c r="B8" s="267" t="str">
        <x:v>FDA</x:v>
      </x:c>
      <x:c r="C8" s="267" t="str">
        <x:v>U.S. FDA</x:v>
      </x:c>
      <x:c r="D8" s="267" t="str">
        <x:v>510(k) K252024</x:v>
      </x:c>
      <x:c r="E8" s="267" t="str">
        <x:v>2025-10-16</x:v>
      </x:c>
      <x:c r="F8" s="267" t="str">
        <x:v>Current label</x:v>
      </x:c>
      <x:c r="G8" s="267" t="str">
        <x:v>Decision summary</x:v>
      </x:c>
      <x:c r="H8" s="268" t="str">
        <x:v>https://www.accessdata.fda.gov/cdrh_docs/pdf25/K252024.pdf</x:v>
      </x:c>
      <x:c r="I8" s="267" t="str">
        <x:v>IB-Stim indications, age and regimen</x:v>
      </x:c>
      <x:c r="J8" s="267" t="str">
        <x:v>Verified primary</x:v>
      </x:c>
    </x:row>
    <x:row r="9" ht="44" customHeight="1">
      <x:c r="A9" s="267" t="str">
        <x:v>S6</x:v>
      </x:c>
      <x:c r="B9" s="267" t="str">
        <x:v>CMS</x:v>
      </x:c>
      <x:c r="C9" s="267" t="str">
        <x:v>Centers for Medicare &amp; Medicaid Services</x:v>
      </x:c>
      <x:c r="D9" s="267" t="str">
        <x:v>CY 2026 PFS relative value file RVU26C</x:v>
      </x:c>
      <x:c r="E9" s="267" t="str">
        <x:v>2026-07</x:v>
      </x:c>
      <x:c r="F9" s="267" t="str">
        <x:v>CPT 64567</x:v>
      </x:c>
      <x:c r="G9" s="267" t="str">
        <x:v>National RVU screen</x:v>
      </x:c>
      <x:c r="H9" s="268" t="str">
        <x:v>https://www.cms.gov/medicare/payment/fee-schedules/physician/pfs-relative-value-files/rvu26c</x:v>
      </x:c>
      <x:c r="I9" s="267" t="str">
        <x:v>Office reimbursement benchmark</x:v>
      </x:c>
      <x:c r="J9" s="267" t="str">
        <x:v>Primary; geography and contract caveats</x:v>
      </x:c>
    </x:row>
    <x:row r="10" ht="44" customHeight="1">
      <x:c r="A10" s="267" t="str">
        <x:v>S7</x:v>
      </x:c>
      <x:c r="B10" s="267" t="str">
        <x:v>CMS / Federal Register</x:v>
      </x:c>
      <x:c r="C10" s="267" t="str">
        <x:v>Centers for Medicare &amp; Medicaid Services</x:v>
      </x:c>
      <x:c r="D10" s="267" t="str">
        <x:v>CY 2026 OPPS final rule</x:v>
      </x:c>
      <x:c r="E10" s="267" t="str">
        <x:v>2025-11-25</x:v>
      </x:c>
      <x:c r="F10" s="267" t="str">
        <x:v>APC 5301</x:v>
      </x:c>
      <x:c r="G10" s="267" t="str">
        <x:v>Hospital outpatient national rate</x:v>
      </x:c>
      <x:c r="H10" s="268" t="str">
        <x:v>https://www.govinfo.gov/content/pkg/FR-2025-11-25/pdf/2025-20907.pdf</x:v>
      </x:c>
      <x:c r="I10" s="267" t="str">
        <x:v>Hospital reimbursement pressure point</x:v>
      </x:c>
      <x:c r="J10" s="267" t="str">
        <x:v>Primary; pediatric/commercial mix differs</x:v>
      </x:c>
    </x:row>
    <x:row r="11" ht="44" customHeight="1">
      <x:c r="A11" s="267" t="str">
        <x:v>S8</x:v>
      </x:c>
      <x:c r="B11" s="267" t="str">
        <x:v>SEC filings</x:v>
      </x:c>
      <x:c r="C11" s="267" t="str">
        <x:v>Neuraxis / SEC</x:v>
      </x:c>
      <x:c r="D11" s="267" t="str">
        <x:v>July 2026 S-3 and Series B dividend 8-K</x:v>
      </x:c>
      <x:c r="E11" s="267" t="str">
        <x:v>2026-07-23 / 2026-07-10</x:v>
      </x:c>
      <x:c r="F11" s="267" t="str">
        <x:v>Capitalization through 2026-07-22 plus July dividend</x:v>
      </x:c>
      <x:c r="G11" s="267" t="str">
        <x:v>S-3 selling-stockholder table; 8-K Item 8.01</x:v>
      </x:c>
      <x:c r="H11" s="268" t="str">
        <x:v>https://www.sec.gov/Archives/edgar/data/1933567/000149315226034417/forms-3.htm</x:v>
      </x:c>
      <x:c r="I11" s="267" t="str">
        <x:v>12.477m common, 0.924m RSUs, and subsequent approximate dividend</x:v>
      </x:c>
      <x:c r="J11" s="267" t="str">
        <x:v>Verified primary; dividend remains approximate</x:v>
      </x:c>
    </x:row>
    <x:row r="12" ht="44" customHeight="1">
      <x:c r="A12" s="267" t="str">
        <x:v>S9</x:v>
      </x:c>
      <x:c r="B12" s="267" t="str">
        <x:v>Market snapshot</x:v>
      </x:c>
      <x:c r="C12" s="267" t="str">
        <x:v>Aggregated public market data</x:v>
      </x:c>
      <x:c r="D12" s="267" t="str">
        <x:v>NRXS quote</x:v>
      </x:c>
      <x:c r="E12" s="267" t="str">
        <x:v>2026-07-30 13:36:28 UTC</x:v>
      </x:c>
      <x:c r="F12" s="267" t="str">
        <x:v>Intraday</x:v>
      </x:c>
      <x:c r="G12" s="267" t="str">
        <x:v>Price only</x:v>
      </x:c>
      <x:c r="H12" s="268" t="str">
        <x:v>https://www.nyse.com/quote/XASE:NRXS</x:v>
      </x:c>
      <x:c r="I12" s="267" t="str">
        <x:v>Dated share-price reference of $6.235</x:v>
      </x:c>
      <x:c r="J12" s="267" t="str">
        <x:v>Secondary; intraday; refresh required</x:v>
      </x:c>
    </x:row>
    <x:row r="13" ht="44" customHeight="1">
      <x:c r="A13" s="269" t="str">
        <x:v>S10</x:v>
      </x:c>
      <x:c r="B13" s="269" t="str">
        <x:v>Issuer release</x:v>
      </x:c>
      <x:c r="C13" s="269" t="str">
        <x:v>Neuraxis</x:v>
      </x:c>
      <x:c r="D13" s="269" t="str">
        <x:v>Additional payer policies</x:v>
      </x:c>
      <x:c r="E13" s="269" t="str">
        <x:v>2026-04-22</x:v>
      </x:c>
      <x:c r="F13" s="269" t="str">
        <x:v>Coverage update</x:v>
      </x:c>
      <x:c r="G13" s="269" t="str">
        <x:v>Press release</x:v>
      </x:c>
      <x:c r="H13" s="270" t="str">
        <x:v>https://neuraxis.com/2026/04/22/neuraxis-expands-payer-coverage-with-four-new-medical-policies/</x:v>
      </x:c>
      <x:c r="I13" s="269" t="str">
        <x:v>Four policies / 1.25m lives management claim</x:v>
      </x:c>
      <x:c r="J13" s="269" t="str">
        <x:v>Primary management claim; deduping unavailable</x:v>
      </x:c>
    </x:row>
    <x:row r="14">
      <x:c r="A14" s="227"/>
      <x:c r="B14" s="227"/>
      <x:c r="C14" s="227"/>
      <x:c r="D14" s="227"/>
      <x:c r="E14" s="227"/>
      <x:c r="F14" s="227"/>
      <x:c r="G14" s="227"/>
      <x:c r="H14" s="227"/>
      <x:c r="I14" s="227"/>
      <x:c r="J14" s="227"/>
    </x:row>
    <x:row r="15" ht="22" customHeight="1">
      <x:c r="A15" s="23" t="str">
        <x:v>Evidence limitations</x:v>
      </x:c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 ht="42" customHeight="1">
      <x:c r="A16" s="24" t="str">
        <x:v>Limitation</x:v>
      </x:c>
      <x:c r="B16" s="25" t="str">
        <x:v>Status</x:v>
      </x:c>
      <x:c r="C16" s="25" t="str">
        <x:v>Valuation effect</x:v>
      </x:c>
      <x:c r="D16" s="26" t="str">
        <x:v>Required refresh</x:v>
      </x:c>
      <x:c r="E16" s="227"/>
      <x:c r="F16" s="227"/>
      <x:c r="G16" s="227"/>
      <x:c r="H16" s="227"/>
      <x:c r="I16" s="227"/>
      <x:c r="J16" s="227"/>
    </x:row>
    <x:row r="17" ht="42" customHeight="1">
      <x:c r="A17" s="265" t="str">
        <x:v>Current price</x:v>
      </x:c>
      <x:c r="B17" s="265" t="str">
        <x:v>Intraday secondary snapshot</x:v>
      </x:c>
      <x:c r="C17" s="265" t="str">
        <x:v>Useful reference, not an official close.</x:v>
      </x:c>
      <x:c r="D17" s="265" t="str">
        <x:v>Refresh immediately before any decision.</x:v>
      </x:c>
      <x:c r="E17" s="227"/>
      <x:c r="F17" s="227"/>
      <x:c r="G17" s="227"/>
      <x:c r="H17" s="227"/>
      <x:c r="I17" s="227"/>
      <x:c r="J17" s="227"/>
    </x:row>
    <x:row r="18" ht="42" customHeight="1">
      <x:c r="A18" s="267" t="str">
        <x:v>Payer coverage</x:v>
      </x:c>
      <x:c r="B18" s="267" t="str">
        <x:v>Company-counted; deduped roster unavailable</x:v>
      </x:c>
      <x:c r="C18" s="267" t="str">
        <x:v>Adoption cases use ranges rather than a single covered-lives fact.</x:v>
      </x:c>
      <x:c r="D18" s="267" t="str">
        <x:v>Reconcile named policies and effective dates.</x:v>
      </x:c>
      <x:c r="E18" s="227"/>
      <x:c r="F18" s="227"/>
      <x:c r="G18" s="227"/>
      <x:c r="H18" s="227"/>
      <x:c r="I18" s="227"/>
      <x:c r="J18" s="227"/>
    </x:row>
    <x:row r="19" ht="42" customHeight="1">
      <x:c r="A19" s="267" t="str">
        <x:v>Realized reimbursement</x:v>
      </x:c>
      <x:c r="B19" s="267" t="str">
        <x:v>Contract rates and denials undisclosed</x:v>
      </x:c>
      <x:c r="C19" s="267" t="str">
        <x:v>Gross-margin and utilization assumptions carry wide bands.</x:v>
      </x:c>
      <x:c r="D19" s="267" t="str">
        <x:v>Obtain claims-level realization and denial data.</x:v>
      </x:c>
      <x:c r="E19" s="227"/>
      <x:c r="F19" s="227"/>
      <x:c r="G19" s="227"/>
      <x:c r="H19" s="227"/>
      <x:c r="I19" s="227"/>
      <x:c r="J19" s="227"/>
    </x:row>
    <x:row r="20" ht="42" customHeight="1">
      <x:c r="A20" s="269" t="str">
        <x:v>Options / replacement RSUs</x:v>
      </x:c>
      <x:c r="B20" s="269" t="str">
        <x:v>Latest consummation evidence ambiguous</x:v>
      </x:c>
      <x:c r="C20" s="269" t="str">
        <x:v>Base/bear include 1.319m shares; bull excludes them.</x:v>
      </x:c>
      <x:c r="D20" s="269" t="str">
        <x:v>Confirm closing, cancellation, and award terms.</x:v>
      </x:c>
      <x:c r="E20" s="227"/>
      <x:c r="F20" s="227"/>
      <x:c r="G20" s="227"/>
      <x:c r="H20" s="227"/>
      <x:c r="I20" s="227"/>
      <x:c r="J20" s="227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40" hidden="0" customWidth="1"/>
  </x:cols>
  <x:sheetData>
    <x:row r="1" ht="30" customHeight="1">
      <x:c r="A1" s="3" t="str">
        <x:v>NRXS Valuation Assumptions</x:v>
      </x:c>
      <x:c r="B1" s="3" t="str">
        <x:v>NRXS Valuation Assumptions</x:v>
      </x:c>
      <x:c r="C1" s="3" t="str">
        <x:v>NRXS Valuation Assumptions</x:v>
      </x:c>
      <x:c r="D1" s="3" t="str">
        <x:v>NRXS Valuation Assumptions</x:v>
      </x:c>
      <x:c r="E1" s="3" t="str">
        <x:v>NRXS Valuation Assumptions</x:v>
      </x:c>
      <x:c r="F1" s="3" t="str">
        <x:v>NRXS Valuation Assumptions</x:v>
      </x:c>
      <x:c r="G1" s="3" t="str">
        <x:v>NRXS Valuation Assumptions</x:v>
      </x:c>
      <x:c r="H1" s="3" t="str">
        <x:v>NRXS Valuation Assumptions</x:v>
      </x:c>
      <x:c r="I1" s="3" t="str">
        <x:v>NRXS Valuation Assumptions</x:v>
      </x:c>
      <x:c r="J1" s="3" t="str">
        <x:v>NRXS Valuation Assumptions</x:v>
      </x:c>
      <x:c r="K1" s="3" t="str">
        <x:v>NRXS Valuation Assumptions</x:v>
      </x:c>
      <x:c r="L1" s="3" t="str">
        <x:v>NRXS Valuation Assumptions</x:v>
      </x:c>
      <x:c r="M1" s="3" t="str">
        <x:v>NRXS Valuation Assumptions</x:v>
      </x:c>
      <x:c r="N1" s="3" t="str">
        <x:v>NRXS Valuation Assumptions</x:v>
      </x:c>
      <x:c r="O1" s="3" t="str">
        <x:v>NRXS Valuation Assumptions</x:v>
      </x:c>
      <x:c r="P1" s="3" t="str">
        <x:v>NRXS Valuation Assumptions</x:v>
      </x:c>
      <x:c r="Q1" s="3" t="str">
        <x:v>NRXS Valuation Assumptions</x:v>
      </x:c>
    </x:row>
    <x:row r="2">
      <x:c r="A2" s="300" t="str">
        <x:v>Blue/yellow cells are editable analyst assumptions. USD millions except per-share and shares. Negative FCFF remains in operating enterprise value; scenario financing proceeds are added once to post-money equity and create new shares at externally fixed issue prices.</x:v>
      </x:c>
      <x:c r="B2" s="300"/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  <x:c r="O2" s="300"/>
      <x:c r="P2" s="300"/>
      <x:c r="Q2" s="300"/>
    </x:row>
    <x:row r="3">
      <x:c r="A3" s="227"/>
      <x:c r="B3" s="227"/>
      <x:c r="C3" s="227"/>
      <x:c r="D3" s="227"/>
      <x:c r="E3" s="227"/>
      <x:c r="F3" s="227"/>
      <x:c r="G3" s="227"/>
      <x:c r="H3" s="227"/>
      <x:c r="I3" s="227"/>
      <x:c r="J3" s="227"/>
      <x:c r="K3" s="227"/>
      <x:c r="L3" s="227"/>
      <x:c r="M3" s="227"/>
      <x:c r="N3" s="227"/>
      <x:c r="O3" s="227"/>
      <x:c r="P3" s="227"/>
      <x:c r="Q3" s="227"/>
    </x:row>
    <x:row r="4" ht="22" customHeight="1">
      <x:c r="A4" s="32" t="str">
        <x:v>Shared operating assumptions</x:v>
      </x:c>
      <x:c r="B4" s="32"/>
      <x:c r="C4" s="32"/>
      <x:c r="D4" s="32"/>
      <x:c r="E4" s="227"/>
      <x:c r="F4" s="32" t="str">
        <x:v>Dilution bridge at valuation date</x:v>
      </x:c>
      <x:c r="G4" s="32"/>
      <x:c r="H4" s="32"/>
      <x:c r="I4" s="32"/>
      <x:c r="J4" s="227"/>
      <x:c r="K4" s="32" t="str">
        <x:v>Scenario valuation and financing assumptions</x:v>
      </x:c>
      <x:c r="L4" s="32"/>
      <x:c r="M4" s="32"/>
      <x:c r="N4" s="32"/>
      <x:c r="O4" s="32"/>
      <x:c r="P4" s="32"/>
      <x:c r="Q4" s="32"/>
    </x:row>
    <x:row r="5">
      <x:c r="A5" s="9" t="str">
        <x:v>Assumption</x:v>
      </x:c>
      <x:c r="B5" s="10" t="str">
        <x:v>Value</x:v>
      </x:c>
      <x:c r="C5" s="10" t="str">
        <x:v>Unit</x:v>
      </x:c>
      <x:c r="D5" s="11" t="str">
        <x:v>Basis</x:v>
      </x:c>
      <x:c r="E5" s="227"/>
      <x:c r="F5" s="9" t="str">
        <x:v>Component</x:v>
      </x:c>
      <x:c r="G5" s="10" t="str">
        <x:v>Shares / value</x:v>
      </x:c>
      <x:c r="H5" s="10" t="str">
        <x:v>Treatment</x:v>
      </x:c>
      <x:c r="I5" s="11" t="str">
        <x:v>Evidence</x:v>
      </x:c>
      <x:c r="J5" s="227"/>
      <x:c r="K5" s="9" t="str">
        <x:v>Scenario</x:v>
      </x:c>
      <x:c r="L5" s="10" t="str">
        <x:v>Probability</x:v>
      </x:c>
      <x:c r="M5" s="10" t="str">
        <x:v>WACC</x:v>
      </x:c>
      <x:c r="N5" s="10" t="str">
        <x:v>Terminal g</x:v>
      </x:c>
      <x:c r="O5" s="10" t="str">
        <x:v>Financing need</x:v>
      </x:c>
      <x:c r="P5" s="10" t="str">
        <x:v>Issue price</x:v>
      </x:c>
      <x:c r="Q5" s="11" t="str">
        <x:v>Pre-fin FD shares</x:v>
      </x:c>
    </x:row>
    <x:row r="6">
      <x:c r="A6" s="301" t="str">
        <x:v>Valuation date</x:v>
      </x:c>
      <x:c r="B6" s="302" t="n">
        <x:v>46233</x:v>
      </x:c>
      <x:c r="C6" s="301" t="str">
        <x:v>date</x:v>
      </x:c>
      <x:c r="D6" s="301" t="str">
        <x:v>Analyst convention</x:v>
      </x:c>
      <x:c r="E6" s="227"/>
      <x:c r="F6" s="301" t="str">
        <x:v>Latest exact common</x:v>
      </x:c>
      <x:c r="G6" s="303" t="n">
        <x:v>12.477</x:v>
      </x:c>
      <x:c r="H6" s="301" t="str">
        <x:v>Start; exact at 2026-07-22</x:v>
      </x:c>
      <x:c r="I6" s="301" t="str">
        <x:v>S8 S-3</x:v>
      </x:c>
      <x:c r="J6" s="227"/>
      <x:c r="K6" s="304" t="str">
        <x:v>Bear</x:v>
      </x:c>
      <x:c r="L6" s="305" t="n">
        <x:v>0.3</x:v>
      </x:c>
      <x:c r="M6" s="305" t="n">
        <x:v>0.19</x:v>
      </x:c>
      <x:c r="N6" s="305" t="n">
        <x:v>0.025</x:v>
      </x:c>
      <x:c r="O6" s="306" t="n">
        <x:v>10</x:v>
      </x:c>
      <x:c r="P6" s="306" t="n">
        <x:v>2.5</x:v>
      </x:c>
      <x:c r="Q6" s="307" t="n">
        <x:v>19.224</x:v>
      </x:c>
    </x:row>
    <x:row r="7">
      <x:c r="A7" s="308" t="str">
        <x:v>Market price</x:v>
      </x:c>
      <x:c r="B7" s="309" t="n">
        <x:v>6.235</x:v>
      </x:c>
      <x:c r="C7" s="308" t="str">
        <x:v>$/share</x:v>
      </x:c>
      <x:c r="D7" s="308" t="str">
        <x:v>S9; intraday 13:36:28 UTC</x:v>
      </x:c>
      <x:c r="E7" s="227"/>
      <x:c r="F7" s="308" t="str">
        <x:v>Approx. July preferred dividend</x:v>
      </x:c>
      <x:c r="G7" s="303" t="n">
        <x:v>0.08</x:v>
      </x:c>
      <x:c r="H7" s="308" t="str">
        <x:v>Add; payable 2026-07-29</x:v>
      </x:c>
      <x:c r="I7" s="308" t="str">
        <x:v>July 10 8-K; approximate</x:v>
      </x:c>
      <x:c r="J7" s="227"/>
      <x:c r="K7" s="310" t="str">
        <x:v>Base</x:v>
      </x:c>
      <x:c r="L7" s="311" t="n">
        <x:v>0.5</x:v>
      </x:c>
      <x:c r="M7" s="311" t="n">
        <x:v>0.19</x:v>
      </x:c>
      <x:c r="N7" s="311" t="n">
        <x:v>0.025</x:v>
      </x:c>
      <x:c r="O7" s="312" t="n">
        <x:v>5</x:v>
      </x:c>
      <x:c r="P7" s="312" t="n">
        <x:v>5</x:v>
      </x:c>
      <x:c r="Q7" s="313" t="n">
        <x:v>19.224</x:v>
      </x:c>
    </x:row>
    <x:row r="8">
      <x:c r="A8" s="308" t="str">
        <x:v>Pro forma basic common</x:v>
      </x:c>
      <x:c r="B8" s="303" t="n">
        <x:v>12.558</x:v>
      </x:c>
      <x:c r="C8" s="308" t="str">
        <x:v>mm</x:v>
      </x:c>
      <x:c r="D8" s="308" t="str">
        <x:v>S8; 12.477m exact 2026-07-22 plus ~0.080m July dividend</x:v>
      </x:c>
      <x:c r="E8" s="227"/>
      <x:c r="F8" s="308" t="str">
        <x:v>Series B if-converted</x:v>
      </x:c>
      <x:c r="G8" s="303" t="n">
        <x:v>3.725</x:v>
      </x:c>
      <x:c r="H8" s="308" t="str">
        <x:v>1:1 shares; no debt deduction</x:v>
      </x:c>
      <x:c r="I8" s="308" t="str">
        <x:v>S2 and subsequent conversion</x:v>
      </x:c>
      <x:c r="J8" s="227"/>
      <x:c r="K8" s="314" t="str">
        <x:v>Bull</x:v>
      </x:c>
      <x:c r="L8" s="315" t="n">
        <x:v>0.2</x:v>
      </x:c>
      <x:c r="M8" s="315" t="n">
        <x:v>0.19</x:v>
      </x:c>
      <x:c r="N8" s="315" t="n">
        <x:v>0.025</x:v>
      </x:c>
      <x:c r="O8" s="316" t="n">
        <x:v>2</x:v>
      </x:c>
      <x:c r="P8" s="316" t="n">
        <x:v>6</x:v>
      </x:c>
      <x:c r="Q8" s="317" t="n">
        <x:v>17.904</x:v>
      </x:c>
    </x:row>
    <x:row r="9">
      <x:c r="A9" s="308" t="str">
        <x:v>Cash</x:v>
      </x:c>
      <x:c r="B9" s="309" t="n">
        <x:v>7.079</x:v>
      </x:c>
      <x:c r="C9" s="308" t="str">
        <x:v>$mm</x:v>
      </x:c>
      <x:c r="D9" s="308" t="str">
        <x:v>S2; 2026-03-31</x:v>
      </x:c>
      <x:c r="E9" s="227"/>
      <x:c r="F9" s="308" t="str">
        <x:v>Unvested RSUs</x:v>
      </x:c>
      <x:c r="G9" s="303" t="n">
        <x:v>0.924</x:v>
      </x:c>
      <x:c r="H9" s="308" t="str">
        <x:v>Add; vest 2027–2029</x:v>
      </x:c>
      <x:c r="I9" s="308" t="str">
        <x:v>S8 S-3</x:v>
      </x:c>
      <x:c r="J9" s="227"/>
      <x:c r="K9" s="227"/>
      <x:c r="L9" s="227"/>
      <x:c r="M9" s="227"/>
      <x:c r="N9" s="227"/>
      <x:c r="O9" s="227"/>
      <x:c r="P9" s="227"/>
      <x:c r="Q9" s="227"/>
    </x:row>
    <x:row r="10">
      <x:c r="A10" s="308" t="str">
        <x:v>Tax rate</x:v>
      </x:c>
      <x:c r="B10" s="309" t="n">
        <x:v>0.21</x:v>
      </x:c>
      <x:c r="C10" s="308" t="str">
        <x:v>%</x:v>
      </x:c>
      <x:c r="D10" s="308" t="str">
        <x:v>Long-run cash tax assumption</x:v>
      </x:c>
      <x:c r="E10" s="227"/>
      <x:c r="F10" s="308" t="str">
        <x:v>Warrants, treasury method</x:v>
      </x:c>
      <x:c r="G10" s="303" t="n">
        <x:v>0.698</x:v>
      </x:c>
      <x:c r="H10" s="308" t="str">
        <x:v>Net shares at $6.235</x:v>
      </x:c>
      <x:c r="I10" s="308" t="str">
        <x:v>1.129m after known exercises; most at $2.38</x:v>
      </x:c>
      <x:c r="J10" s="227"/>
      <x:c r="K10" s="9" t="str">
        <x:v>Control</x:v>
      </x:c>
      <x:c r="L10" s="10" t="str">
        <x:v>Result</x:v>
      </x:c>
      <x:c r="M10" s="10" t="str">
        <x:v>Expected</x:v>
      </x:c>
      <x:c r="N10" s="10" t="str">
        <x:v>Status</x:v>
      </x:c>
      <x:c r="O10" s="10" t="str">
        <x:v>Why it matters</x:v>
      </x:c>
      <x:c r="P10" s="10"/>
      <x:c r="Q10" s="11"/>
    </x:row>
    <x:row r="11">
      <x:c r="A11" s="308" t="str">
        <x:v>D&amp;A / revenue</x:v>
      </x:c>
      <x:c r="B11" s="318" t="n">
        <x:v>0.015</x:v>
      </x:c>
      <x:c r="C11" s="308" t="str">
        <x:v>%</x:v>
      </x:c>
      <x:c r="D11" s="308" t="str">
        <x:v>Low-capital medtech assumption</x:v>
      </x:c>
      <x:c r="E11" s="227"/>
      <x:c r="F11" s="308" t="str">
        <x:v>Legacy options / proposed RSUs</x:v>
      </x:c>
      <x:c r="G11" s="303" t="n">
        <x:v>1.319</x:v>
      </x:c>
      <x:c r="H11" s="308" t="str">
        <x:v>Base/bear add; bull excludes</x:v>
      </x:c>
      <x:c r="I11" s="308" t="str">
        <x:v>Consummation unresolved</x:v>
      </x:c>
      <x:c r="J11" s="227"/>
      <x:c r="K11" s="301" t="str">
        <x:v>Probabilities sum</x:v>
      </x:c>
      <x:c r="L11" s="301" t="n">
        <x:f>SUM(L6:L8)</x:f>
        <x:v>1</x:v>
      </x:c>
      <x:c r="M11" s="301" t="n">
        <x:v>1</x:v>
      </x:c>
      <x:c r="N11" s="301" t="str">
        <x:f>IF(ABS(L11-M11)&lt;0.0001,"PASS","FAIL")</x:f>
        <x:v>PASS</x:v>
      </x:c>
      <x:c r="O11" s="301" t="str">
        <x:v>Weighted valuation requires 100%.</x:v>
      </x:c>
      <x:c r="P11" s="301"/>
      <x:c r="Q11" s="301"/>
    </x:row>
    <x:row r="12">
      <x:c r="A12" s="308" t="str">
        <x:v>Capex / revenue</x:v>
      </x:c>
      <x:c r="B12" s="318" t="n">
        <x:v>0.02</x:v>
      </x:c>
      <x:c r="C12" s="308" t="str">
        <x:v>%</x:v>
      </x:c>
      <x:c r="D12" s="308" t="str">
        <x:v>Analyst assumption</x:v>
      </x:c>
      <x:c r="E12" s="227"/>
      <x:c r="F12" s="308" t="str">
        <x:v>Pre-financing FD incl. replacement</x:v>
      </x:c>
      <x:c r="G12" s="319" t="n">
        <x:f>SUM(G6:G11)</x:f>
        <x:v>19.223</x:v>
      </x:c>
      <x:c r="H12" s="308" t="str">
        <x:v>Formula</x:v>
      </x:c>
      <x:c r="I12" s="308" t="str">
        <x:v>Conservative base/bear</x:v>
      </x:c>
      <x:c r="J12" s="227"/>
      <x:c r="K12" s="308" t="str">
        <x:v>WACC &gt; terminal g</x:v>
      </x:c>
      <x:c r="L12" s="308" t="b">
        <x:f>AND(M6&gt;N6,M7&gt;N7,M8&gt;N8)</x:f>
        <x:v>1</x:v>
      </x:c>
      <x:c r="M12" s="320" t="b">
        <x:v>1</x:v>
      </x:c>
      <x:c r="N12" s="308" t="str">
        <x:f>IF(L12=M12,"PASS","FAIL")</x:f>
        <x:v>PASS</x:v>
      </x:c>
      <x:c r="O12" s="308" t="str">
        <x:v>Prevents invalid perpetuity.</x:v>
      </x:c>
      <x:c r="P12" s="308"/>
      <x:c r="Q12" s="308"/>
    </x:row>
    <x:row r="13">
      <x:c r="A13" s="308" t="str">
        <x:v>NWC investment / revenue change</x:v>
      </x:c>
      <x:c r="B13" s="318" t="n">
        <x:v>0.05</x:v>
      </x:c>
      <x:c r="C13" s="308" t="str">
        <x:v>%</x:v>
      </x:c>
      <x:c r="D13" s="308" t="str">
        <x:v>Analyst assumption</x:v>
      </x:c>
      <x:c r="E13" s="227"/>
      <x:c r="F13" s="308" t="str">
        <x:v>Pre-financing FD excl. replacement</x:v>
      </x:c>
      <x:c r="G13" s="319" t="n">
        <x:f>SUM(G6:G10)</x:f>
        <x:v>17.904</x:v>
      </x:c>
      <x:c r="H13" s="308" t="str">
        <x:v>Formula</x:v>
      </x:c>
      <x:c r="I13" s="308" t="str">
        <x:v>Bull sensitivity</x:v>
      </x:c>
      <x:c r="J13" s="227"/>
      <x:c r="K13" s="321" t="str">
        <x:v>Financing proceeds added once to post-money equity</x:v>
      </x:c>
      <x:c r="L13" s="321" t="str">
        <x:v>YES</x:v>
      </x:c>
      <x:c r="M13" s="321" t="str">
        <x:v>YES</x:v>
      </x:c>
      <x:c r="N13" s="321" t="str">
        <x:v>PASS</x:v>
      </x:c>
      <x:c r="O13" s="321" t="str">
        <x:v>Avoids double-penalizing modeled financing while retaining negative FCFF.</x:v>
      </x:c>
      <x:c r="P13" s="321"/>
      <x:c r="Q13" s="321"/>
    </x:row>
    <x:row r="14">
      <x:c r="A14" s="308" t="str">
        <x:v>FY2025 revenue</x:v>
      </x:c>
      <x:c r="B14" s="309" t="n">
        <x:v>3.569</x:v>
      </x:c>
      <x:c r="C14" s="308" t="str">
        <x:v>$mm</x:v>
      </x:c>
      <x:c r="D14" s="308" t="str">
        <x:v>S1</x:v>
      </x:c>
      <x:c r="E14" s="227"/>
      <x:c r="F14" s="308" t="str">
        <x:v>Current market capitalization</x:v>
      </x:c>
      <x:c r="G14" s="322" t="n">
        <x:f>'Assumptions'!$B$7*'Assumptions'!$B$8</x:f>
        <x:v>78.29913</x:v>
      </x:c>
      <x:c r="H14" s="308" t="str">
        <x:v>$mm; basic shares</x:v>
      </x:c>
      <x:c r="I14" s="308" t="str">
        <x:v>Price × pro forma basic</x:v>
      </x:c>
      <x:c r="J14" s="227"/>
      <x:c r="K14" s="227"/>
      <x:c r="L14" s="227"/>
      <x:c r="M14" s="227"/>
      <x:c r="N14" s="227"/>
      <x:c r="O14" s="227"/>
      <x:c r="P14" s="227"/>
      <x:c r="Q14" s="227"/>
    </x:row>
    <x:row r="15">
      <x:c r="A15" s="308" t="str">
        <x:v>Q1 2026 revenue</x:v>
      </x:c>
      <x:c r="B15" s="309" t="n">
        <x:v>1.608</x:v>
      </x:c>
      <x:c r="C15" s="308" t="str">
        <x:v>$mm</x:v>
      </x:c>
      <x:c r="D15" s="308" t="str">
        <x:v>S2</x:v>
      </x:c>
      <x:c r="E15" s="227"/>
      <x:c r="F15" s="308" t="str">
        <x:v>Current enterprise-value reference</x:v>
      </x:c>
      <x:c r="G15" s="322" t="n">
        <x:f>'Assumptions'!$G$14-'Assumptions'!$B$9</x:f>
        <x:v>71.22013000000001</x:v>
      </x:c>
      <x:c r="H15" s="308" t="str">
        <x:v>$mm; cash only</x:v>
      </x:c>
      <x:c r="I15" s="308" t="str">
        <x:v>Market cap less cash</x:v>
      </x:c>
      <x:c r="J15" s="227"/>
      <x:c r="K15" s="227"/>
      <x:c r="L15" s="227"/>
      <x:c r="M15" s="227"/>
      <x:c r="N15" s="227"/>
      <x:c r="O15" s="227"/>
      <x:c r="P15" s="227"/>
      <x:c r="Q15" s="227"/>
    </x:row>
    <x:row r="16">
      <x:c r="A16" s="308" t="str">
        <x:v>Notes payable</x:v>
      </x:c>
      <x:c r="B16" s="309" t="n">
        <x:v>0.101</x:v>
      </x:c>
      <x:c r="C16" s="308" t="str">
        <x:v>$mm</x:v>
      </x:c>
      <x:c r="D16" s="308" t="str">
        <x:v>S2; 2026-03-31</x:v>
      </x:c>
      <x:c r="E16" s="227"/>
      <x:c r="F16" s="323" t="str">
        <x:v>Dilution warning</x:v>
      </x:c>
      <x:c r="G16" s="323" t="str">
        <x:v>Potential common equivalents are large relative to basic shares.</x:v>
      </x:c>
      <x:c r="H16" s="323" t="str">
        <x:v>Do not use vendor market cap denominator.</x:v>
      </x:c>
      <x:c r="I16" s="323" t="str">
        <x:v>Analyst control</x:v>
      </x:c>
      <x:c r="J16" s="227"/>
      <x:c r="K16" s="227"/>
      <x:c r="L16" s="227"/>
      <x:c r="M16" s="227"/>
      <x:c r="N16" s="227"/>
      <x:c r="O16" s="227"/>
      <x:c r="P16" s="227"/>
      <x:c r="Q16" s="227"/>
    </x:row>
    <x:row r="17">
      <x:c r="A17" s="321" t="str">
        <x:v>Federal NOL carryforward</x:v>
      </x:c>
      <x:c r="B17" s="309" t="n">
        <x:v>43.16</x:v>
      </x:c>
      <x:c r="C17" s="321" t="str">
        <x:v>$mm</x:v>
      </x:c>
      <x:c r="D17" s="321" t="str">
        <x:v>S1; FY2025, subject to 80% taxable-income limit and Section 382</x:v>
      </x:c>
      <x:c r="E17" s="227"/>
      <x:c r="F17" s="227"/>
      <x:c r="G17" s="227"/>
      <x:c r="H17" s="227"/>
      <x:c r="I17" s="227"/>
      <x:c r="J17" s="227"/>
      <x:c r="K17" s="227"/>
      <x:c r="L17" s="227"/>
      <x:c r="M17" s="227"/>
      <x:c r="N17" s="227"/>
      <x:c r="O17" s="227"/>
      <x:c r="P17" s="227"/>
      <x:c r="Q17" s="227"/>
    </x:row>
    <x:row r="18" ht="22" customHeight="1">
      <x:c r="A18" s="32" t="str">
        <x:v>Scenario revenue and EBIT-margin paths</x:v>
      </x:c>
      <x:c r="B18" s="32"/>
      <x:c r="C18" s="3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</x:row>
    <x:row r="19">
      <x:c r="A19" s="9" t="str">
        <x:v>Scenario / metric</x:v>
      </x:c>
      <x:c r="B19" s="10" t="n">
        <x:v>2026</x:v>
      </x:c>
      <x:c r="C19" s="10" t="n">
        <x:v>2027</x:v>
      </x:c>
      <x:c r="D19" s="10" t="n">
        <x:v>2028</x:v>
      </x:c>
      <x:c r="E19" s="10" t="n">
        <x:v>2029</x:v>
      </x:c>
      <x:c r="F19" s="10" t="n">
        <x:v>2030</x:v>
      </x:c>
      <x:c r="G19" s="10" t="n">
        <x:v>2031</x:v>
      </x:c>
      <x:c r="H19" s="10" t="n">
        <x:v>2032</x:v>
      </x:c>
      <x:c r="I19" s="10" t="n">
        <x:v>2033</x:v>
      </x:c>
      <x:c r="J19" s="10" t="n">
        <x:v>2034</x:v>
      </x:c>
      <x:c r="K19" s="10" t="n">
        <x:v>2035</x:v>
      </x:c>
      <x:c r="L19" s="10" t="n">
        <x:v>2036</x:v>
      </x:c>
      <x:c r="M19" s="10" t="n">
        <x:v>2037</x:v>
      </x:c>
      <x:c r="N19" s="10" t="n">
        <x:v>2038</x:v>
      </x:c>
      <x:c r="O19" s="10" t="n">
        <x:v>2039</x:v>
      </x:c>
      <x:c r="P19" s="10" t="n">
        <x:v>2040</x:v>
      </x:c>
      <x:c r="Q19" s="11" t="str">
        <x:v>Basis</x:v>
      </x:c>
    </x:row>
    <x:row r="20">
      <x:c r="A20" s="227"/>
      <x:c r="B20" s="227"/>
      <x:c r="C20" s="227"/>
      <x:c r="D20" s="227"/>
      <x:c r="E20" s="227"/>
      <x:c r="F20" s="227"/>
      <x:c r="G20" s="227"/>
      <x:c r="H20" s="227"/>
      <x:c r="I20" s="227"/>
      <x:c r="J20" s="227"/>
      <x:c r="K20" s="227"/>
      <x:c r="L20" s="227"/>
      <x:c r="M20" s="227"/>
      <x:c r="N20" s="227"/>
      <x:c r="O20" s="227"/>
      <x:c r="P20" s="227"/>
      <x:c r="Q20" s="227"/>
    </x:row>
    <x:row r="21">
      <x:c r="A21" s="24" t="str">
        <x:v>Commercial anchor</x:v>
      </x:c>
      <x:c r="B21" s="25" t="str">
        <x:v>Bear</x:v>
      </x:c>
      <x:c r="C21" s="25" t="str">
        <x:v>Base</x:v>
      </x:c>
      <x:c r="D21" s="25" t="str">
        <x:v>Bull</x:v>
      </x:c>
      <x:c r="E21" s="25" t="str">
        <x:v>Evidence / logic</x:v>
      </x:c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6"/>
    </x:row>
    <x:row r="22">
      <x:c r="A22" s="265" t="str">
        <x:v>2026 revenue range</x:v>
      </x:c>
      <x:c r="B22" s="265" t="str">
        <x:v>$5.0–$6.2m</x:v>
      </x:c>
      <x:c r="C22" s="265" t="str">
        <x:v>$6.5–$7.5m</x:v>
      </x:c>
      <x:c r="D22" s="265" t="str">
        <x:v>$8.0–$9.5m</x:v>
      </x:c>
      <x:c r="E22" s="265" t="str">
        <x:v>Q1 2026 $1.608m; reimbursement and sales-force ramp</x:v>
      </x:c>
      <x:c r="F22" s="265"/>
      <x:c r="G22" s="265"/>
      <x:c r="H22" s="265"/>
      <x:c r="I22" s="265"/>
      <x:c r="J22" s="265"/>
      <x:c r="K22" s="265"/>
      <x:c r="L22" s="265"/>
      <x:c r="M22" s="265"/>
      <x:c r="N22" s="265"/>
      <x:c r="O22" s="265"/>
      <x:c r="P22" s="265"/>
      <x:c r="Q22" s="265"/>
    </x:row>
    <x:row r="23">
      <x:c r="A23" s="267" t="str">
        <x:v>Mature gross margin</x:v>
      </x:c>
      <x:c r="B23" s="267" t="str">
        <x:v>82–84%</x:v>
      </x:c>
      <x:c r="C23" s="267" t="str">
        <x:v>86–88%</x:v>
      </x:c>
      <x:c r="D23" s="267" t="str">
        <x:v>88–90%</x:v>
      </x:c>
      <x:c r="E23" s="267" t="str">
        <x:v>Q1 2026 86.4%</x:v>
      </x:c>
      <x:c r="F23" s="267"/>
      <x:c r="G23" s="267"/>
      <x:c r="H23" s="267"/>
      <x:c r="I23" s="267"/>
      <x:c r="J23" s="267"/>
      <x:c r="K23" s="267"/>
      <x:c r="L23" s="267"/>
      <x:c r="M23" s="267"/>
      <x:c r="N23" s="267"/>
      <x:c r="O23" s="267"/>
      <x:c r="P23" s="267"/>
      <x:c r="Q23" s="267"/>
    </x:row>
    <x:row r="24">
      <x:c r="A24" s="267" t="str">
        <x:v>Break-even</x:v>
      </x:c>
      <x:c r="B24" s="267" t="str">
        <x:v>2032 / may not arrive</x:v>
      </x:c>
      <x:c r="C24" s="267" t="str">
        <x:v>2028</x:v>
      </x:c>
      <x:c r="D24" s="267" t="str">
        <x:v>2027</x:v>
      </x:c>
      <x:c r="E24" s="267" t="str">
        <x:v>Analyst operating leverage path</x:v>
      </x:c>
      <x:c r="F24" s="267"/>
      <x:c r="G24" s="267"/>
      <x:c r="H24" s="267"/>
      <x:c r="I24" s="267"/>
      <x:c r="J24" s="267"/>
      <x:c r="K24" s="267"/>
      <x:c r="L24" s="267"/>
      <x:c r="M24" s="267"/>
      <x:c r="N24" s="267"/>
      <x:c r="O24" s="267"/>
      <x:c r="P24" s="267"/>
      <x:c r="Q24" s="267"/>
    </x:row>
    <x:row r="25">
      <x:c r="A25" s="267" t="str">
        <x:v>2027 active hospitals</x:v>
      </x:c>
      <x:c r="B25" s="267" t="str">
        <x:v>80–95</x:v>
      </x:c>
      <x:c r="C25" s="267" t="str">
        <x:v>105–135</x:v>
      </x:c>
      <x:c r="D25" s="267" t="str">
        <x:v>150–190</x:v>
      </x:c>
      <x:c r="E25" s="267" t="str">
        <x:v>~80 established at FY2025</x:v>
      </x:c>
      <x:c r="F25" s="267"/>
      <x:c r="G25" s="267"/>
      <x:c r="H25" s="267"/>
      <x:c r="I25" s="267"/>
      <x:c r="J25" s="267"/>
      <x:c r="K25" s="267"/>
      <x:c r="L25" s="267"/>
      <x:c r="M25" s="267"/>
      <x:c r="N25" s="267"/>
      <x:c r="O25" s="267"/>
      <x:c r="P25" s="267"/>
      <x:c r="Q25" s="267"/>
    </x:row>
    <x:row r="26">
      <x:c r="A26" s="269" t="str">
        <x:v>2027 covered lives</x:v>
      </x:c>
      <x:c r="B26" s="269" t="str">
        <x:v>105–125m</x:v>
      </x:c>
      <x:c r="C26" s="269" t="str">
        <x:v>130–170m</x:v>
      </x:c>
      <x:c r="D26" s="269" t="str">
        <x:v>180–220m</x:v>
      </x:c>
      <x:c r="E26" s="269" t="str">
        <x:v>Company-reported coverage; deduped roster unavailable</x:v>
      </x:c>
      <x:c r="F26" s="269"/>
      <x:c r="G26" s="269"/>
      <x:c r="H26" s="269"/>
      <x:c r="I26" s="269"/>
      <x:c r="J26" s="269"/>
      <x:c r="K26" s="269"/>
      <x:c r="L26" s="269"/>
      <x:c r="M26" s="269"/>
      <x:c r="N26" s="269"/>
      <x:c r="O26" s="269"/>
      <x:c r="P26" s="269"/>
      <x:c r="Q26" s="269"/>
    </x:row>
    <x:row r="27">
      <x:c r="A27" s="227"/>
      <x:c r="B27" s="227"/>
      <x:c r="C27" s="227"/>
      <x:c r="D27" s="227"/>
      <x:c r="E27" s="227"/>
      <x:c r="F27" s="227"/>
      <x:c r="G27" s="227"/>
      <x:c r="H27" s="227"/>
      <x:c r="I27" s="227"/>
      <x:c r="J27" s="227"/>
      <x:c r="K27" s="227"/>
      <x:c r="L27" s="227"/>
      <x:c r="M27" s="227"/>
      <x:c r="N27" s="227"/>
      <x:c r="O27" s="227"/>
      <x:c r="P27" s="227"/>
      <x:c r="Q27" s="227"/>
    </x:row>
    <x:row r="28">
      <x:c r="A28" s="227"/>
      <x:c r="B28" s="227"/>
      <x:c r="C28" s="227"/>
      <x:c r="D28" s="227"/>
      <x:c r="E28" s="227"/>
      <x:c r="F28" s="227"/>
      <x:c r="G28" s="227"/>
      <x:c r="H28" s="227"/>
      <x:c r="I28" s="227"/>
      <x:c r="J28" s="227"/>
      <x:c r="K28" s="227"/>
      <x:c r="L28" s="227"/>
      <x:c r="M28" s="227"/>
      <x:c r="N28" s="227"/>
      <x:c r="O28" s="227"/>
      <x:c r="P28" s="227"/>
      <x:c r="Q28" s="227"/>
    </x:row>
    <x:row r="29">
      <x:c r="A29" s="304" t="str">
        <x:v>Bear revenue ($mm)</x:v>
      </x:c>
      <x:c r="B29" s="324" t="n">
        <x:v>6</x:v>
      </x:c>
      <x:c r="C29" s="324" t="n">
        <x:v>7</x:v>
      </x:c>
      <x:c r="D29" s="324" t="n">
        <x:v>8.2</x:v>
      </x:c>
      <x:c r="E29" s="324" t="n">
        <x:v>9.4</x:v>
      </x:c>
      <x:c r="F29" s="324" t="n">
        <x:v>10.7</x:v>
      </x:c>
      <x:c r="G29" s="324" t="n">
        <x:v>12</x:v>
      </x:c>
      <x:c r="H29" s="324" t="n">
        <x:v>13.4</x:v>
      </x:c>
      <x:c r="I29" s="324" t="n">
        <x:v>14.8</x:v>
      </x:c>
      <x:c r="J29" s="324" t="n">
        <x:v>16.2</x:v>
      </x:c>
      <x:c r="K29" s="324" t="n">
        <x:v>17.5</x:v>
      </x:c>
      <x:c r="L29" s="324" t="n">
        <x:v>19</x:v>
      </x:c>
      <x:c r="M29" s="324" t="n">
        <x:v>20.5</x:v>
      </x:c>
      <x:c r="N29" s="324" t="n">
        <x:v>22</x:v>
      </x:c>
      <x:c r="O29" s="324" t="n">
        <x:v>23.5</x:v>
      </x:c>
      <x:c r="P29" s="324" t="n">
        <x:v>25</x:v>
      </x:c>
      <x:c r="Q29" s="304" t="str">
        <x:v>Approved commercial operations only; coverage and adoption scenario</x:v>
      </x:c>
    </x:row>
    <x:row r="30">
      <x:c r="A30" s="321" t="str">
        <x:v>Bear EBIT margin</x:v>
      </x:c>
      <x:c r="B30" s="325" t="n">
        <x:v>-1</x:v>
      </x:c>
      <x:c r="C30" s="325" t="n">
        <x:v>-0.7</x:v>
      </x:c>
      <x:c r="D30" s="325" t="n">
        <x:v>-0.5</x:v>
      </x:c>
      <x:c r="E30" s="325" t="n">
        <x:v>-0.3</x:v>
      </x:c>
      <x:c r="F30" s="325" t="n">
        <x:v>-0.15</x:v>
      </x:c>
      <x:c r="G30" s="325" t="n">
        <x:v>-0.05</x:v>
      </x:c>
      <x:c r="H30" s="325" t="n">
        <x:v>0</x:v>
      </x:c>
      <x:c r="I30" s="325" t="n">
        <x:v>0.03</x:v>
      </x:c>
      <x:c r="J30" s="325" t="n">
        <x:v>0.06</x:v>
      </x:c>
      <x:c r="K30" s="325" t="n">
        <x:v>0.09</x:v>
      </x:c>
      <x:c r="L30" s="325" t="n">
        <x:v>0.1</x:v>
      </x:c>
      <x:c r="M30" s="325" t="n">
        <x:v>0.1</x:v>
      </x:c>
      <x:c r="N30" s="325" t="n">
        <x:v>0.1</x:v>
      </x:c>
      <x:c r="O30" s="325" t="n">
        <x:v>0.1</x:v>
      </x:c>
      <x:c r="P30" s="325" t="n">
        <x:v>0.1</x:v>
      </x:c>
      <x:c r="Q30" s="321" t="str">
        <x:v>Explicit operating leverage; no pipeline value</x:v>
      </x:c>
    </x:row>
    <x:row r="31">
      <x:c r="A31" s="227"/>
      <x:c r="B31" s="227"/>
      <x:c r="C31" s="227"/>
      <x:c r="D31" s="227"/>
      <x:c r="E31" s="227"/>
      <x:c r="F31" s="227"/>
      <x:c r="G31" s="227"/>
      <x:c r="H31" s="227"/>
      <x:c r="I31" s="227"/>
      <x:c r="J31" s="227"/>
      <x:c r="K31" s="227"/>
      <x:c r="L31" s="227"/>
      <x:c r="M31" s="227"/>
      <x:c r="N31" s="227"/>
      <x:c r="O31" s="227"/>
      <x:c r="P31" s="227"/>
      <x:c r="Q31" s="227"/>
    </x:row>
    <x:row r="32">
      <x:c r="A32" s="227"/>
      <x:c r="B32" s="227"/>
      <x:c r="C32" s="227"/>
      <x:c r="D32" s="227"/>
      <x:c r="E32" s="227"/>
      <x:c r="F32" s="227"/>
      <x:c r="G32" s="227"/>
      <x:c r="H32" s="227"/>
      <x:c r="I32" s="227"/>
      <x:c r="J32" s="227"/>
      <x:c r="K32" s="227"/>
      <x:c r="L32" s="227"/>
      <x:c r="M32" s="227"/>
      <x:c r="N32" s="227"/>
      <x:c r="O32" s="227"/>
      <x:c r="P32" s="227"/>
      <x:c r="Q32" s="227"/>
    </x:row>
    <x:row r="33">
      <x:c r="A33" s="227"/>
      <x:c r="B33" s="227"/>
      <x:c r="C33" s="227"/>
      <x:c r="D33" s="227"/>
      <x:c r="E33" s="227"/>
      <x:c r="F33" s="227"/>
      <x:c r="G33" s="227"/>
      <x:c r="H33" s="227"/>
      <x:c r="I33" s="227"/>
      <x:c r="J33" s="227"/>
      <x:c r="K33" s="227"/>
      <x:c r="L33" s="227"/>
      <x:c r="M33" s="227"/>
      <x:c r="N33" s="227"/>
      <x:c r="O33" s="227"/>
      <x:c r="P33" s="227"/>
      <x:c r="Q33" s="227"/>
    </x:row>
    <x:row r="34">
      <x:c r="A34" s="326" t="str">
        <x:v>Base revenue ($mm)</x:v>
      </x:c>
      <x:c r="B34" s="327" t="n">
        <x:v>7.2</x:v>
      </x:c>
      <x:c r="C34" s="327" t="n">
        <x:v>11</x:v>
      </x:c>
      <x:c r="D34" s="327" t="n">
        <x:v>14.3</x:v>
      </x:c>
      <x:c r="E34" s="327" t="n">
        <x:v>17.5</x:v>
      </x:c>
      <x:c r="F34" s="327" t="n">
        <x:v>19.5</x:v>
      </x:c>
      <x:c r="G34" s="327" t="n">
        <x:v>23</x:v>
      </x:c>
      <x:c r="H34" s="327" t="n">
        <x:v>27</x:v>
      </x:c>
      <x:c r="I34" s="327" t="n">
        <x:v>31</x:v>
      </x:c>
      <x:c r="J34" s="327" t="n">
        <x:v>35</x:v>
      </x:c>
      <x:c r="K34" s="327" t="n">
        <x:v>39</x:v>
      </x:c>
      <x:c r="L34" s="327" t="n">
        <x:v>42.9</x:v>
      </x:c>
      <x:c r="M34" s="327" t="n">
        <x:v>46.3</x:v>
      </x:c>
      <x:c r="N34" s="327" t="n">
        <x:v>50</x:v>
      </x:c>
      <x:c r="O34" s="327" t="n">
        <x:v>54</x:v>
      </x:c>
      <x:c r="P34" s="327" t="n">
        <x:v>58.3</x:v>
      </x:c>
      <x:c r="Q34" s="326" t="str">
        <x:v>Approved commercial operations only; coverage and adoption scenario</x:v>
      </x:c>
    </x:row>
    <x:row r="35">
      <x:c r="A35" s="321" t="str">
        <x:v>Base EBIT margin</x:v>
      </x:c>
      <x:c r="B35" s="325" t="n">
        <x:v>-0.8</x:v>
      </x:c>
      <x:c r="C35" s="325" t="n">
        <x:v>-0.3</x:v>
      </x:c>
      <x:c r="D35" s="325" t="n">
        <x:v>0</x:v>
      </x:c>
      <x:c r="E35" s="325" t="n">
        <x:v>0.08</x:v>
      </x:c>
      <x:c r="F35" s="325" t="n">
        <x:v>0.14</x:v>
      </x:c>
      <x:c r="G35" s="325" t="n">
        <x:v>0.2</x:v>
      </x:c>
      <x:c r="H35" s="325" t="n">
        <x:v>0.21</x:v>
      </x:c>
      <x:c r="I35" s="325" t="n">
        <x:v>0.22</x:v>
      </x:c>
      <x:c r="J35" s="325" t="n">
        <x:v>0.225</x:v>
      </x:c>
      <x:c r="K35" s="325" t="n">
        <x:v>0.23</x:v>
      </x:c>
      <x:c r="L35" s="325" t="n">
        <x:v>0.23</x:v>
      </x:c>
      <x:c r="M35" s="325" t="n">
        <x:v>0.23</x:v>
      </x:c>
      <x:c r="N35" s="325" t="n">
        <x:v>0.23</x:v>
      </x:c>
      <x:c r="O35" s="325" t="n">
        <x:v>0.23</x:v>
      </x:c>
      <x:c r="P35" s="325" t="n">
        <x:v>0.23</x:v>
      </x:c>
      <x:c r="Q35" s="321" t="str">
        <x:v>Explicit operating leverage; no pipeline value</x:v>
      </x:c>
    </x:row>
    <x:row r="36">
      <x:c r="A36" s="227"/>
      <x:c r="B36" s="227"/>
      <x:c r="C36" s="227"/>
      <x:c r="D36" s="227"/>
      <x:c r="E36" s="227"/>
      <x:c r="F36" s="227"/>
      <x:c r="G36" s="227"/>
      <x:c r="H36" s="227"/>
      <x:c r="I36" s="227"/>
      <x:c r="J36" s="227"/>
      <x:c r="K36" s="227"/>
      <x:c r="L36" s="227"/>
      <x:c r="M36" s="227"/>
      <x:c r="N36" s="227"/>
      <x:c r="O36" s="227"/>
      <x:c r="P36" s="227"/>
      <x:c r="Q36" s="227"/>
    </x:row>
    <x:row r="37">
      <x:c r="A37" s="227"/>
      <x:c r="B37" s="227"/>
      <x:c r="C37" s="227"/>
      <x:c r="D37" s="227"/>
      <x:c r="E37" s="227"/>
      <x:c r="F37" s="227"/>
      <x:c r="G37" s="227"/>
      <x:c r="H37" s="227"/>
      <x:c r="I37" s="227"/>
      <x:c r="J37" s="227"/>
      <x:c r="K37" s="227"/>
      <x:c r="L37" s="227"/>
      <x:c r="M37" s="227"/>
      <x:c r="N37" s="227"/>
      <x:c r="O37" s="227"/>
      <x:c r="P37" s="227"/>
      <x:c r="Q37" s="227"/>
    </x:row>
    <x:row r="38">
      <x:c r="A38" s="227"/>
      <x:c r="B38" s="227"/>
      <x:c r="C38" s="227"/>
      <x:c r="D38" s="227"/>
      <x:c r="E38" s="227"/>
      <x:c r="F38" s="227"/>
      <x:c r="G38" s="227"/>
      <x:c r="H38" s="227"/>
      <x:c r="I38" s="227"/>
      <x:c r="J38" s="227"/>
      <x:c r="K38" s="227"/>
      <x:c r="L38" s="227"/>
      <x:c r="M38" s="227"/>
      <x:c r="N38" s="227"/>
      <x:c r="O38" s="227"/>
      <x:c r="P38" s="227"/>
      <x:c r="Q38" s="227"/>
    </x:row>
    <x:row r="39">
      <x:c r="A39" s="328" t="str">
        <x:v>Bull revenue ($mm)</x:v>
      </x:c>
      <x:c r="B39" s="329" t="n">
        <x:v>9.2</x:v>
      </x:c>
      <x:c r="C39" s="329" t="n">
        <x:v>16</x:v>
      </x:c>
      <x:c r="D39" s="329" t="n">
        <x:v>25</x:v>
      </x:c>
      <x:c r="E39" s="329" t="n">
        <x:v>35</x:v>
      </x:c>
      <x:c r="F39" s="329" t="n">
        <x:v>47</x:v>
      </x:c>
      <x:c r="G39" s="329" t="n">
        <x:v>62</x:v>
      </x:c>
      <x:c r="H39" s="329" t="n">
        <x:v>78</x:v>
      </x:c>
      <x:c r="I39" s="329" t="n">
        <x:v>94</x:v>
      </x:c>
      <x:c r="J39" s="329" t="n">
        <x:v>110</x:v>
      </x:c>
      <x:c r="K39" s="329" t="n">
        <x:v>125</x:v>
      </x:c>
      <x:c r="L39" s="329" t="n">
        <x:v>137.5</x:v>
      </x:c>
      <x:c r="M39" s="329" t="n">
        <x:v>148.5</x:v>
      </x:c>
      <x:c r="N39" s="329" t="n">
        <x:v>160.4</x:v>
      </x:c>
      <x:c r="O39" s="329" t="n">
        <x:v>173.2</x:v>
      </x:c>
      <x:c r="P39" s="329" t="n">
        <x:v>187.1</x:v>
      </x:c>
      <x:c r="Q39" s="328" t="str">
        <x:v>Approved commercial operations only; coverage and adoption scenario</x:v>
      </x:c>
    </x:row>
    <x:row r="40">
      <x:c r="A40" s="321" t="str">
        <x:v>Bull EBIT margin</x:v>
      </x:c>
      <x:c r="B40" s="325" t="n">
        <x:v>-0.35</x:v>
      </x:c>
      <x:c r="C40" s="325" t="n">
        <x:v>0</x:v>
      </x:c>
      <x:c r="D40" s="325" t="n">
        <x:v>0.1</x:v>
      </x:c>
      <x:c r="E40" s="325" t="n">
        <x:v>0.18</x:v>
      </x:c>
      <x:c r="F40" s="325" t="n">
        <x:v>0.24</x:v>
      </x:c>
      <x:c r="G40" s="325" t="n">
        <x:v>0.27</x:v>
      </x:c>
      <x:c r="H40" s="325" t="n">
        <x:v>0.28</x:v>
      </x:c>
      <x:c r="I40" s="325" t="n">
        <x:v>0.29</x:v>
      </x:c>
      <x:c r="J40" s="325" t="n">
        <x:v>0.295</x:v>
      </x:c>
      <x:c r="K40" s="325" t="n">
        <x:v>0.3</x:v>
      </x:c>
      <x:c r="L40" s="325" t="n">
        <x:v>0.3</x:v>
      </x:c>
      <x:c r="M40" s="325" t="n">
        <x:v>0.3</x:v>
      </x:c>
      <x:c r="N40" s="325" t="n">
        <x:v>0.3</x:v>
      </x:c>
      <x:c r="O40" s="325" t="n">
        <x:v>0.3</x:v>
      </x:c>
      <x:c r="P40" s="325" t="n">
        <x:v>0.3</x:v>
      </x:c>
      <x:c r="Q40" s="321" t="str">
        <x:v>Explicit operating leverage; no pipeline value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0" customHeight="1">
      <x:c r="A1" s="3" t="str">
        <x:v>Historical Financials</x:v>
      </x:c>
      <x:c r="B1" s="3" t="str">
        <x:v>Historical Financials</x:v>
      </x:c>
      <x:c r="C1" s="3" t="str">
        <x:v>Historical Financials</x:v>
      </x:c>
      <x:c r="D1" s="3" t="str">
        <x:v>Historical Financials</x:v>
      </x:c>
      <x:c r="E1" s="3" t="str">
        <x:v>Historical Financials</x:v>
      </x:c>
      <x:c r="F1" s="3" t="str">
        <x:v>Historical Financials</x:v>
      </x:c>
      <x:c r="G1" s="3" t="str">
        <x:v>Historical Financials</x:v>
      </x:c>
    </x:row>
    <x:row r="2">
      <x:c r="A2" s="300" t="str">
        <x:v>USD millions except shares. FY2024 uses the FY2025 10-K recast operating-expense presentation. Q1 2026 is a three-month period.</x:v>
      </x:c>
      <x:c r="B2" s="300"/>
      <x:c r="C2" s="300"/>
      <x:c r="D2" s="300"/>
      <x:c r="E2" s="300"/>
      <x:c r="F2" s="300"/>
      <x:c r="G2" s="300"/>
    </x:row>
    <x:row r="3">
      <x:c r="A3" s="9" t="str">
        <x:v>Metric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FY2025A</x:v>
      </x:c>
      <x:c r="F3" s="10" t="str">
        <x:v>Q1 2026A</x:v>
      </x:c>
      <x:c r="G3" s="11" t="str">
        <x:v>Source</x:v>
      </x:c>
    </x:row>
    <x:row r="4">
      <x:c r="A4" s="301" t="str">
        <x:v>Net sales</x:v>
      </x:c>
      <x:c r="B4" s="339" t="n">
        <x:v>2.685</x:v>
      </x:c>
      <x:c r="C4" s="339" t="n">
        <x:v>2.46</x:v>
      </x:c>
      <x:c r="D4" s="339" t="n">
        <x:v>2.686</x:v>
      </x:c>
      <x:c r="E4" s="339" t="n">
        <x:v>3.569</x:v>
      </x:c>
      <x:c r="F4" s="339" t="n">
        <x:v>1.608</x:v>
      </x:c>
      <x:c r="G4" s="301" t="str">
        <x:v>S1 / S2 / S3</x:v>
      </x:c>
    </x:row>
    <x:row r="5">
      <x:c r="A5" s="308" t="str">
        <x:v>Growth</x:v>
      </x:c>
      <x:c r="B5" s="340"/>
      <x:c r="C5" s="340" t="n">
        <x:f>C4/B4-1</x:f>
        <x:v>-0.08379888268156432</x:v>
      </x:c>
      <x:c r="D5" s="340" t="n">
        <x:f>D4/C4-1</x:f>
        <x:v>0.09186991869918693</x:v>
      </x:c>
      <x:c r="E5" s="340" t="n">
        <x:f>E4/D4-1</x:f>
        <x:v>0.3287416232315712</x:v>
      </x:c>
      <x:c r="F5" s="340" t="n">
        <x:f>F4/(E4/4)-1</x:f>
        <x:v>0.8021854861305688</x:v>
      </x:c>
      <x:c r="G5" s="308" t="str">
        <x:v>Calculated</x:v>
      </x:c>
    </x:row>
    <x:row r="6">
      <x:c r="A6" s="308" t="str">
        <x:v>Cost of goods sold</x:v>
      </x:c>
      <x:c r="B6" s="341" t="n">
        <x:v>0.297</x:v>
      </x:c>
      <x:c r="C6" s="341" t="n">
        <x:v>0.303</x:v>
      </x:c>
      <x:c r="D6" s="341" t="n">
        <x:v>0.362</x:v>
      </x:c>
      <x:c r="E6" s="341" t="n">
        <x:v>0.563</x:v>
      </x:c>
      <x:c r="F6" s="341" t="n">
        <x:v>0.218</x:v>
      </x:c>
      <x:c r="G6" s="308" t="str">
        <x:v>S1 / S2 / S3</x:v>
      </x:c>
    </x:row>
    <x:row r="7">
      <x:c r="A7" s="342" t="str">
        <x:v>Gross profit</x:v>
      </x:c>
      <x:c r="B7" s="343" t="n">
        <x:v>2.388</x:v>
      </x:c>
      <x:c r="C7" s="343" t="n">
        <x:v>2.157</x:v>
      </x:c>
      <x:c r="D7" s="343" t="n">
        <x:v>2.324</x:v>
      </x:c>
      <x:c r="E7" s="343" t="n">
        <x:v>3.006</x:v>
      </x:c>
      <x:c r="F7" s="343" t="n">
        <x:v>1.39</x:v>
      </x:c>
      <x:c r="G7" s="308" t="str">
        <x:v>S1 / S2 / S3</x:v>
      </x:c>
    </x:row>
    <x:row r="8">
      <x:c r="A8" s="344" t="str">
        <x:v>Gross margin</x:v>
      </x:c>
      <x:c r="B8" s="345" t="n">
        <x:f>B7/B4</x:f>
        <x:v>0.8893854748603351</x:v>
      </x:c>
      <x:c r="C8" s="345" t="n">
        <x:f>C7/C4</x:f>
        <x:v>0.8768292682926829</x:v>
      </x:c>
      <x:c r="D8" s="345" t="n">
        <x:f>D7/D4</x:f>
        <x:v>0.8652271034996276</x:v>
      </x:c>
      <x:c r="E8" s="345" t="n">
        <x:f>E7/E4</x:f>
        <x:v>0.8422527318576631</x:v>
      </x:c>
      <x:c r="F8" s="345" t="n">
        <x:f>F7/F4</x:f>
        <x:v>0.8644278606965173</x:v>
      </x:c>
      <x:c r="G8" s="308" t="str">
        <x:v>Calculated</x:v>
      </x:c>
    </x:row>
    <x:row r="9">
      <x:c r="A9" s="308" t="str">
        <x:v>Selling expense</x:v>
      </x:c>
      <x:c r="B9" s="341" t="n">
        <x:v>0.411</x:v>
      </x:c>
      <x:c r="C9" s="341" t="n">
        <x:v>0.324</x:v>
      </x:c>
      <x:c r="D9" s="341" t="n">
        <x:v>1.469</x:v>
      </x:c>
      <x:c r="E9" s="341" t="n">
        <x:v>2.28</x:v>
      </x:c>
      <x:c r="F9" s="341" t="n">
        <x:v>0.824</x:v>
      </x:c>
      <x:c r="G9" s="308" t="str">
        <x:v>S1 / S2 / S3</x:v>
      </x:c>
    </x:row>
    <x:row r="10">
      <x:c r="A10" s="308" t="str">
        <x:v>R&amp;D</x:v>
      </x:c>
      <x:c r="B10" s="341" t="n">
        <x:v>0.226</x:v>
      </x:c>
      <x:c r="C10" s="341" t="n">
        <x:v>0.169</x:v>
      </x:c>
      <x:c r="D10" s="341" t="n">
        <x:v>0.434</x:v>
      </x:c>
      <x:c r="E10" s="341" t="n">
        <x:v>0.494</x:v>
      </x:c>
      <x:c r="F10" s="341" t="n">
        <x:v>0.1</x:v>
      </x:c>
      <x:c r="G10" s="308" t="str">
        <x:v>S1 / S2 / S3</x:v>
      </x:c>
    </x:row>
    <x:row r="11">
      <x:c r="A11" s="308" t="str">
        <x:v>G&amp;A</x:v>
      </x:c>
      <x:c r="B11" s="341" t="n">
        <x:v>5.123</x:v>
      </x:c>
      <x:c r="C11" s="341" t="n">
        <x:v>8.328</x:v>
      </x:c>
      <x:c r="D11" s="341" t="n">
        <x:v>7.578</x:v>
      </x:c>
      <x:c r="E11" s="341" t="n">
        <x:v>8.063</x:v>
      </x:c>
      <x:c r="F11" s="341" t="n">
        <x:v>2.206</x:v>
      </x:c>
      <x:c r="G11" s="308" t="str">
        <x:v>S1 / S2 / S3</x:v>
      </x:c>
    </x:row>
    <x:row r="12">
      <x:c r="A12" s="342" t="str">
        <x:v>Operating income (loss)</x:v>
      </x:c>
      <x:c r="B12" s="343" t="n">
        <x:v>-3.372</x:v>
      </x:c>
      <x:c r="C12" s="343" t="n">
        <x:v>-6.664</x:v>
      </x:c>
      <x:c r="D12" s="343" t="n">
        <x:v>-7.157</x:v>
      </x:c>
      <x:c r="E12" s="343" t="n">
        <x:v>-7.83</x:v>
      </x:c>
      <x:c r="F12" s="343" t="n">
        <x:v>-1.741</x:v>
      </x:c>
      <x:c r="G12" s="308" t="str">
        <x:v>S1 / S2 / S3</x:v>
      </x:c>
    </x:row>
    <x:row r="13">
      <x:c r="A13" s="344" t="str">
        <x:v>Operating margin</x:v>
      </x:c>
      <x:c r="B13" s="345" t="n">
        <x:f>B12/B4</x:f>
        <x:v>-1.2558659217877095</x:v>
      </x:c>
      <x:c r="C13" s="345" t="n">
        <x:f>C12/C4</x:f>
        <x:v>-2.7089430894308943</x:v>
      </x:c>
      <x:c r="D13" s="345" t="n">
        <x:f>D12/D4</x:f>
        <x:v>-2.6645569620253164</x:v>
      </x:c>
      <x:c r="E13" s="345" t="n">
        <x:f>E12/E4</x:f>
        <x:v>-2.19389184645559</x:v>
      </x:c>
      <x:c r="F13" s="345" t="n">
        <x:f>F12/F4</x:f>
        <x:v>-1.0827114427860696</x:v>
      </x:c>
      <x:c r="G13" s="308" t="str">
        <x:v>Calculated</x:v>
      </x:c>
    </x:row>
    <x:row r="14">
      <x:c r="A14" s="308" t="str">
        <x:v>Net income (loss)</x:v>
      </x:c>
      <x:c r="B14" s="341" t="n">
        <x:v>-4.78</x:v>
      </x:c>
      <x:c r="C14" s="341" t="n">
        <x:v>-14.627</x:v>
      </x:c>
      <x:c r="D14" s="341" t="n">
        <x:v>-8.242</x:v>
      </x:c>
      <x:c r="E14" s="341" t="n">
        <x:v>-7.801</x:v>
      </x:c>
      <x:c r="F14" s="341" t="n">
        <x:v>-1.761</x:v>
      </x:c>
      <x:c r="G14" s="308" t="str">
        <x:v>S1 / S2 / S3</x:v>
      </x:c>
    </x:row>
    <x:row r="15">
      <x:c r="A15" s="308" t="str">
        <x:v>Operating cash flow</x:v>
      </x:c>
      <x:c r="B15" s="341" t="n">
        <x:v>-2.298</x:v>
      </x:c>
      <x:c r="C15" s="341" t="n">
        <x:v>-6.694</x:v>
      </x:c>
      <x:c r="D15" s="341" t="n">
        <x:v>-6.098</x:v>
      </x:c>
      <x:c r="E15" s="341" t="n">
        <x:v>-6.433</x:v>
      </x:c>
      <x:c r="F15" s="341" t="n">
        <x:v>-1.23</x:v>
      </x:c>
      <x:c r="G15" s="308" t="str">
        <x:v>S1 / S2 / S3</x:v>
      </x:c>
    </x:row>
    <x:row r="16">
      <x:c r="A16" s="308" t="str">
        <x:v>Cash</x:v>
      </x:c>
      <x:c r="B16" s="341" t="n">
        <x:v>0.254</x:v>
      </x:c>
      <x:c r="C16" s="341" t="n">
        <x:v>0.079</x:v>
      </x:c>
      <x:c r="D16" s="341" t="n">
        <x:v>3.697</x:v>
      </x:c>
      <x:c r="E16" s="341" t="n">
        <x:v>4.965</x:v>
      </x:c>
      <x:c r="F16" s="341" t="n">
        <x:v>7.079</x:v>
      </x:c>
      <x:c r="G16" s="308" t="str">
        <x:v>S1 / S2 / S3</x:v>
      </x:c>
    </x:row>
    <x:row r="17">
      <x:c r="A17" s="308" t="str">
        <x:v>Stockholders' equity</x:v>
      </x:c>
      <x:c r="B17" s="341" t="n">
        <x:v>-5.574</x:v>
      </x:c>
      <x:c r="C17" s="341" t="n">
        <x:v>-1.403</x:v>
      </x:c>
      <x:c r="D17" s="341" t="n">
        <x:v>2.068</x:v>
      </x:c>
      <x:c r="E17" s="341" t="n">
        <x:v>3.399</x:v>
      </x:c>
      <x:c r="F17" s="341" t="n">
        <x:v>5.748</x:v>
      </x:c>
      <x:c r="G17" s="308" t="str">
        <x:v>S1 / S2 / S3</x:v>
      </x:c>
    </x:row>
    <x:row r="18">
      <x:c r="A18" s="308" t="str">
        <x:v>Weighted basic shares</x:v>
      </x:c>
      <x:c r="B18" s="346" t="n">
        <x:v>2.003</x:v>
      </x:c>
      <x:c r="C18" s="346" t="n">
        <x:v>3.252</x:v>
      </x:c>
      <x:c r="D18" s="346" t="n">
        <x:v>6.919</x:v>
      </x:c>
      <x:c r="E18" s="346" t="n">
        <x:v>9.083</x:v>
      </x:c>
      <x:c r="F18" s="346" t="n">
        <x:v>10.948</x:v>
      </x:c>
      <x:c r="G18" s="308" t="str">
        <x:v>S1 / S2 / S3</x:v>
      </x:c>
    </x:row>
    <x:row r="19">
      <x:c r="A19" s="321" t="str">
        <x:v>End-period common shares</x:v>
      </x:c>
      <x:c r="B19" s="347" t="n">
        <x:v>1.963</x:v>
      </x:c>
      <x:c r="C19" s="347" t="n">
        <x:v>6.509</x:v>
      </x:c>
      <x:c r="D19" s="347" t="n">
        <x:v>6.99</x:v>
      </x:c>
      <x:c r="E19" s="347" t="n">
        <x:v>10.653</x:v>
      </x:c>
      <x:c r="F19" s="347" t="n">
        <x:v>11.45</x:v>
      </x:c>
      <x:c r="G19" s="321" t="str">
        <x:v>S1 / S2 / S3</x:v>
      </x:c>
    </x:row>
    <x:row r="20">
      <x:c r="A20" s="227"/>
      <x:c r="B20" s="227"/>
      <x:c r="C20" s="227"/>
      <x:c r="D20" s="227"/>
      <x:c r="E20" s="227"/>
      <x:c r="F20" s="227"/>
      <x:c r="G20" s="227"/>
    </x:row>
    <x:row r="21">
      <x:c r="A21" s="227"/>
      <x:c r="B21" s="227"/>
      <x:c r="C21" s="227"/>
      <x:c r="D21" s="227"/>
      <x:c r="E21" s="227"/>
      <x:c r="F21" s="227"/>
      <x:c r="G21" s="227"/>
    </x:row>
    <x:row r="22" ht="22" customHeight="1">
      <x:c r="A22" s="32" t="str">
        <x:v>Historical read-through</x:v>
      </x:c>
      <x:c r="B22" s="32"/>
      <x:c r="C22" s="32"/>
      <x:c r="D22" s="32"/>
      <x:c r="E22" s="32"/>
      <x:c r="F22" s="32"/>
      <x:c r="G22" s="32"/>
    </x:row>
    <x:row r="23" ht="38" customHeight="1">
      <x:c r="A23" s="24" t="str">
        <x:v>Signal</x:v>
      </x:c>
      <x:c r="B23" s="25" t="str">
        <x:v>Evidence</x:v>
      </x:c>
      <x:c r="C23" s="26" t="str">
        <x:v>Valuation implication</x:v>
      </x:c>
      <x:c r="D23" s="255"/>
      <x:c r="E23" s="255"/>
      <x:c r="F23" s="255"/>
      <x:c r="G23" s="255"/>
    </x:row>
    <x:row r="24" ht="38" customHeight="1">
      <x:c r="A24" s="255" t="str">
        <x:v>Commercial acceleration</x:v>
      </x:c>
      <x:c r="B24" s="255" t="str">
        <x:v>Q1 2026 sales +79.5% YoY; company says delivered units +35%.</x:v>
      </x:c>
      <x:c r="C24" s="255" t="str">
        <x:v>Revenue momentum is real but remains off a small base.</x:v>
      </x:c>
      <x:c r="D24" s="255"/>
      <x:c r="E24" s="255"/>
      <x:c r="F24" s="255"/>
      <x:c r="G24" s="255"/>
    </x:row>
    <x:row r="25" ht="38" customHeight="1">
      <x:c r="A25" s="255" t="str">
        <x:v>Margin</x:v>
      </x:c>
      <x:c r="B25" s="255" t="str">
        <x:v>Q1 2026 gross margin 86.4%.</x:v>
      </x:c>
      <x:c r="C25" s="255" t="str">
        <x:v>Unit economics appear attractive before commercial and corporate overhead.</x:v>
      </x:c>
      <x:c r="D25" s="255"/>
      <x:c r="E25" s="255"/>
      <x:c r="F25" s="255"/>
      <x:c r="G25" s="255"/>
    </x:row>
    <x:row r="26" ht="38" customHeight="1">
      <x:c r="A26" s="255" t="str">
        <x:v>Funding</x:v>
      </x:c>
      <x:c r="B26" s="255" t="str">
        <x:v>Q1 cash $7.1m versus $1.2m quarterly CFO burn and extensive potential dilution.</x:v>
      </x:c>
      <x:c r="C26" s="255" t="str">
        <x:v>Future financing and share count are conclusion-driving.</x:v>
      </x:c>
      <x:c r="D26" s="255"/>
      <x:c r="E26" s="255"/>
      <x:c r="F26" s="255"/>
      <x:c r="G26" s="255"/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21" hidden="0" customWidth="1"/>
    <x:col min="4" max="4" width="23" hidden="0" customWidth="1"/>
    <x:col min="5" max="5" width="23" hidden="0" customWidth="1"/>
    <x:col min="6" max="6" width="23" hidden="0" customWidth="1"/>
    <x:col min="7" max="7" width="20" hidden="0" customWidth="1"/>
    <x:col min="8" max="8" width="22" hidden="0" customWidth="1"/>
  </x:cols>
  <x:sheetData>
    <x:row r="1" ht="30" customHeight="1">
      <x:c r="A1" s="3" t="str">
        <x:v>Commercial, Reimbursement, and Adoption KPIs</x:v>
      </x:c>
      <x:c r="B1" s="3" t="str">
        <x:v>Commercial, Reimbursement, and Adoption KPIs</x:v>
      </x:c>
      <x:c r="C1" s="3" t="str">
        <x:v>Commercial, Reimbursement, and Adoption KPIs</x:v>
      </x:c>
      <x:c r="D1" s="3" t="str">
        <x:v>Commercial, Reimbursement, and Adoption KPIs</x:v>
      </x:c>
      <x:c r="E1" s="3" t="str">
        <x:v>Commercial, Reimbursement, and Adoption KPIs</x:v>
      </x:c>
      <x:c r="F1" s="3" t="str">
        <x:v>Commercial, Reimbursement, and Adoption KPIs</x:v>
      </x:c>
      <x:c r="G1" s="3" t="str">
        <x:v>Commercial, Reimbursement, and Adoption KPIs</x:v>
      </x:c>
      <x:c r="H1" s="3" t="str">
        <x:v>Commercial, Reimbursement, and Adoption KPIs</x:v>
      </x:c>
    </x:row>
    <x:row r="2">
      <x:c r="A2" s="300" t="str">
        <x:v>Reported facts, management claims, and analyst scenario assumptions are labeled separately. Reimbursement figures are national screens, not realized contract rates.</x:v>
      </x:c>
      <x:c r="B2" s="300"/>
      <x:c r="C2" s="300"/>
      <x:c r="D2" s="300"/>
      <x:c r="E2" s="300"/>
      <x:c r="F2" s="300"/>
      <x:c r="G2" s="300"/>
      <x:c r="H2" s="300"/>
    </x:row>
    <x:row r="3">
      <x:c r="A3" s="9" t="str">
        <x:v>KPI</x:v>
      </x:c>
      <x:c r="B3" s="10" t="str">
        <x:v>Reported / current</x:v>
      </x:c>
      <x:c r="C3" s="10" t="str">
        <x:v>Date</x:v>
      </x:c>
      <x:c r="D3" s="10" t="str">
        <x:v>Evidence class</x:v>
      </x:c>
      <x:c r="E3" s="10" t="str">
        <x:v>Bear</x:v>
      </x:c>
      <x:c r="F3" s="10" t="str">
        <x:v>Base</x:v>
      </x:c>
      <x:c r="G3" s="10" t="str">
        <x:v>Bull</x:v>
      </x:c>
      <x:c r="H3" s="11" t="str">
        <x:v>Valuation role</x:v>
      </x:c>
    </x:row>
    <x:row r="4" ht="38" customHeight="1">
      <x:c r="A4" s="265" t="str">
        <x:v>IB-Stim list price / device</x:v>
      </x:c>
      <x:c r="B4" s="265" t="str">
        <x:v>$1,195</x:v>
      </x:c>
      <x:c r="C4" s="265" t="str">
        <x:v>FY2025</x:v>
      </x:c>
      <x:c r="D4" s="265" t="str">
        <x:v>Issuer reported</x:v>
      </x:c>
      <x:c r="E4" s="265"/>
      <x:c r="F4" s="265"/>
      <x:c r="G4" s="265"/>
      <x:c r="H4" s="265" t="str">
        <x:v>Price / gross revenue ceiling</x:v>
      </x:c>
    </x:row>
    <x:row r="5" ht="38" customHeight="1">
      <x:c r="A5" s="267" t="str">
        <x:v>Treatment regimen</x:v>
      </x:c>
      <x:c r="B5" s="267" t="str">
        <x:v>1 device weekly × 4</x:v>
      </x:c>
      <x:c r="C5" s="267" t="str">
        <x:v>FDA label</x:v>
      </x:c>
      <x:c r="D5" s="267" t="str">
        <x:v>Regulatory fact</x:v>
      </x:c>
      <x:c r="E5" s="267"/>
      <x:c r="F5" s="267"/>
      <x:c r="G5" s="267"/>
      <x:c r="H5" s="267" t="str">
        <x:v>Implied $4,780 list/course</x:v>
      </x:c>
    </x:row>
    <x:row r="6" ht="38" customHeight="1">
      <x:c r="A6" s="267" t="str">
        <x:v>Established children's hospitals</x:v>
      </x:c>
      <x:c r="B6" s="267" t="str">
        <x:v>~80 of 260 targets</x:v>
      </x:c>
      <x:c r="C6" s="267" t="str">
        <x:v>2025-12-31</x:v>
      </x:c>
      <x:c r="D6" s="267" t="str">
        <x:v>Issuer reported</x:v>
      </x:c>
      <x:c r="E6" s="267" t="str">
        <x:v>80–95</x:v>
      </x:c>
      <x:c r="F6" s="267" t="str">
        <x:v>105–135</x:v>
      </x:c>
      <x:c r="G6" s="267" t="str">
        <x:v>150–190</x:v>
      </x:c>
      <x:c r="H6" s="267" t="str">
        <x:v>Adoption breadth</x:v>
      </x:c>
    </x:row>
    <x:row r="7" ht="38" customHeight="1">
      <x:c r="A7" s="267" t="str">
        <x:v>Sales force</x:v>
      </x:c>
      <x:c r="B7" s="267" t="str">
        <x:v>24 FTE</x:v>
      </x:c>
      <x:c r="C7" s="267" t="str">
        <x:v>2025-12-31</x:v>
      </x:c>
      <x:c r="D7" s="267" t="str">
        <x:v>Issuer reported</x:v>
      </x:c>
      <x:c r="E7" s="267"/>
      <x:c r="F7" s="267"/>
      <x:c r="G7" s="267"/>
      <x:c r="H7" s="267" t="str">
        <x:v>Commercial capacity / opex</x:v>
      </x:c>
    </x:row>
    <x:row r="8" ht="38" customHeight="1">
      <x:c r="A8" s="267" t="str">
        <x:v>Payer policies</x:v>
      </x:c>
      <x:c r="B8" s="267" t="str">
        <x:v>24</x:v>
      </x:c>
      <x:c r="C8" s="267" t="str">
        <x:v>2025-12-31</x:v>
      </x:c>
      <x:c r="D8" s="267" t="str">
        <x:v>Issuer reported</x:v>
      </x:c>
      <x:c r="E8" s="267"/>
      <x:c r="F8" s="267"/>
      <x:c r="G8" s="267"/>
      <x:c r="H8" s="267" t="str">
        <x:v>Access breadth</x:v>
      </x:c>
    </x:row>
    <x:row r="9" ht="38" customHeight="1">
      <x:c r="A9" s="267" t="str">
        <x:v>Covered lives</x:v>
      </x:c>
      <x:c r="B9" s="267" t="str">
        <x:v>Approaching 100m</x:v>
      </x:c>
      <x:c r="C9" s="267" t="str">
        <x:v>2025-12-31</x:v>
      </x:c>
      <x:c r="D9" s="267" t="str">
        <x:v>Issuer reported</x:v>
      </x:c>
      <x:c r="E9" s="267" t="str">
        <x:v>105–125m</x:v>
      </x:c>
      <x:c r="F9" s="267" t="str">
        <x:v>130–170m</x:v>
      </x:c>
      <x:c r="G9" s="267" t="str">
        <x:v>180–220m</x:v>
      </x:c>
      <x:c r="H9" s="267" t="str">
        <x:v>Reach; deduping gap</x:v>
      </x:c>
    </x:row>
    <x:row r="10" ht="38" customHeight="1">
      <x:c r="A10" s="267" t="str">
        <x:v>Additional policies / lives</x:v>
      </x:c>
      <x:c r="B10" s="267" t="str">
        <x:v>4 / 1.25m</x:v>
      </x:c>
      <x:c r="C10" s="267" t="str">
        <x:v>2026-04-22</x:v>
      </x:c>
      <x:c r="D10" s="267" t="str">
        <x:v>Management claim</x:v>
      </x:c>
      <x:c r="E10" s="267"/>
      <x:c r="F10" s="267"/>
      <x:c r="G10" s="267"/>
      <x:c r="H10" s="267" t="str">
        <x:v>Incremental access proof</x:v>
      </x:c>
    </x:row>
    <x:row r="11" ht="38" customHeight="1">
      <x:c r="A11" s="267" t="str">
        <x:v>Q1 delivered-unit growth</x:v>
      </x:c>
      <x:c r="B11" s="267" t="str">
        <x:v>+35% YoY</x:v>
      </x:c>
      <x:c r="C11" s="267" t="str">
        <x:v>2026-03-31</x:v>
      </x:c>
      <x:c r="D11" s="267" t="str">
        <x:v>Management claim</x:v>
      </x:c>
      <x:c r="E11" s="267"/>
      <x:c r="F11" s="267"/>
      <x:c r="G11" s="267"/>
      <x:c r="H11" s="267" t="str">
        <x:v>Volume momentum</x:v>
      </x:c>
    </x:row>
    <x:row r="12" ht="38" customHeight="1">
      <x:c r="A12" s="267" t="str">
        <x:v>PFS office benchmark</x:v>
      </x:c>
      <x:c r="B12" s="267" t="str">
        <x:v>~$1,240 / placement</x:v>
      </x:c>
      <x:c r="C12" s="267" t="str">
        <x:v>CY2026</x:v>
      </x:c>
      <x:c r="D12" s="267" t="str">
        <x:v>CMS national screen</x:v>
      </x:c>
      <x:c r="E12" s="267"/>
      <x:c r="F12" s="267"/>
      <x:c r="G12" s="267"/>
      <x:c r="H12" s="267" t="str">
        <x:v>Potential office economics</x:v>
      </x:c>
    </x:row>
    <x:row r="13" ht="38" customHeight="1">
      <x:c r="A13" s="269" t="str">
        <x:v>HOPD APC 5301</x:v>
      </x:c>
      <x:c r="B13" s="269" t="str">
        <x:v>$926.63</x:v>
      </x:c>
      <x:c r="C13" s="269" t="str">
        <x:v>CY2026</x:v>
      </x:c>
      <x:c r="D13" s="269" t="str">
        <x:v>CMS national screen</x:v>
      </x:c>
      <x:c r="E13" s="269"/>
      <x:c r="F13" s="269"/>
      <x:c r="G13" s="269"/>
      <x:c r="H13" s="269" t="str">
        <x:v>Below list price; site-of-service risk</x:v>
      </x:c>
    </x:row>
    <x:row r="14">
      <x:c r="A14" s="227"/>
      <x:c r="B14" s="227"/>
      <x:c r="C14" s="227"/>
      <x:c r="D14" s="227"/>
      <x:c r="E14" s="227"/>
      <x:c r="F14" s="227"/>
      <x:c r="G14" s="227"/>
      <x:c r="H14" s="227"/>
    </x:row>
    <x:row r="15">
      <x:c r="A15" s="227"/>
      <x:c r="B15" s="227"/>
      <x:c r="C15" s="227"/>
      <x:c r="D15" s="227"/>
      <x:c r="E15" s="227"/>
      <x:c r="F15" s="227"/>
      <x:c r="G15" s="227"/>
      <x:c r="H15" s="227"/>
    </x:row>
    <x:row r="16" ht="22" customHeight="1">
      <x:c r="A16" s="32" t="str">
        <x:v>Causal chain and downside mechanism</x:v>
      </x:c>
      <x:c r="B16" s="32"/>
      <x:c r="C16" s="32"/>
      <x:c r="D16" s="32"/>
      <x:c r="E16" s="32"/>
      <x:c r="F16" s="32"/>
      <x:c r="G16" s="32"/>
      <x:c r="H16" s="32"/>
    </x:row>
    <x:row r="17" ht="46" customHeight="1">
      <x:c r="A17" s="24" t="str">
        <x:v>Step</x:v>
      </x:c>
      <x:c r="B17" s="25" t="str">
        <x:v>Mechanism</x:v>
      </x:c>
      <x:c r="C17" s="25" t="str">
        <x:v>Evidence</x:v>
      </x:c>
      <x:c r="D17" s="25" t="str">
        <x:v>Bear failure</x:v>
      </x:c>
      <x:c r="E17" s="25" t="str">
        <x:v>Base proof</x:v>
      </x:c>
      <x:c r="F17" s="25" t="str">
        <x:v>Bull proof</x:v>
      </x:c>
      <x:c r="G17" s="25" t="str">
        <x:v>Model variable</x:v>
      </x:c>
      <x:c r="H17" s="26" t="str">
        <x:v>Refresh</x:v>
      </x:c>
    </x:row>
    <x:row r="18" ht="46" customHeight="1">
      <x:c r="A18" s="265" t="str">
        <x:v>1</x:v>
      </x:c>
      <x:c r="B18" s="265" t="str">
        <x:v>CPT 64567 makes billing routine.</x:v>
      </x:c>
      <x:c r="C18" s="265" t="str">
        <x:v>Effective 2026-01-01</x:v>
      </x:c>
      <x:c r="D18" s="265" t="str">
        <x:v>Policies lag or deny.</x:v>
      </x:c>
      <x:c r="E18" s="265" t="str">
        <x:v>Named payers activate.</x:v>
      </x:c>
      <x:c r="F18" s="265" t="str">
        <x:v>Coverage broadens quickly.</x:v>
      </x:c>
      <x:c r="G18" s="265" t="str">
        <x:v>Revenue path</x:v>
      </x:c>
      <x:c r="H18" s="265" t="str">
        <x:v>Policy roster</x:v>
      </x:c>
    </x:row>
    <x:row r="19" ht="46" customHeight="1">
      <x:c r="A19" s="267" t="str">
        <x:v>2</x:v>
      </x:c>
      <x:c r="B19" s="267" t="str">
        <x:v>Hospitals adopt and prescribe.</x:v>
      </x:c>
      <x:c r="C19" s="267" t="str">
        <x:v>~80 established</x:v>
      </x:c>
      <x:c r="D19" s="267" t="str">
        <x:v>Sales force stalls.</x:v>
      </x:c>
      <x:c r="E19" s="267" t="str">
        <x:v>105–135 by 2027.</x:v>
      </x:c>
      <x:c r="F19" s="267" t="str">
        <x:v>150–190 by 2027.</x:v>
      </x:c>
      <x:c r="G19" s="267" t="str">
        <x:v>Revenue path</x:v>
      </x:c>
      <x:c r="H19" s="267" t="str">
        <x:v>Active prescribers</x:v>
      </x:c>
    </x:row>
    <x:row r="20" ht="46" customHeight="1">
      <x:c r="A20" s="267" t="str">
        <x:v>3</x:v>
      </x:c>
      <x:c r="B20" s="267" t="str">
        <x:v>Claims convert to cash at attractive realization.</x:v>
      </x:c>
      <x:c r="C20" s="267" t="str">
        <x:v>Realized rates undisclosed</x:v>
      </x:c>
      <x:c r="D20" s="267" t="str">
        <x:v>HOPD economics compress.</x:v>
      </x:c>
      <x:c r="E20" s="267" t="str">
        <x:v>Office/commercial mix supports GM.</x:v>
      </x:c>
      <x:c r="F20" s="267" t="str">
        <x:v>High realization and utilization.</x:v>
      </x:c>
      <x:c r="G20" s="267" t="str">
        <x:v>Gross/EBIT margin</x:v>
      </x:c>
      <x:c r="H20" s="267" t="str">
        <x:v>Claims data</x:v>
      </x:c>
    </x:row>
    <x:row r="21" ht="46" customHeight="1">
      <x:c r="A21" s="269" t="str">
        <x:v>4</x:v>
      </x:c>
      <x:c r="B21" s="269" t="str">
        <x:v>Operating leverage outruns dilution.</x:v>
      </x:c>
      <x:c r="C21" s="269" t="str">
        <x:v>$7.1m cash; negative CFO</x:v>
      </x:c>
      <x:c r="D21" s="269" t="str">
        <x:v>Repeated discounted raises.</x:v>
      </x:c>
      <x:c r="E21" s="269" t="str">
        <x:v>$5m modeled raise.</x:v>
      </x:c>
      <x:c r="F21" s="269" t="str">
        <x:v>Only $2m modeled raise.</x:v>
      </x:c>
      <x:c r="G21" s="269" t="str">
        <x:v>FD shares / WACC</x:v>
      </x:c>
      <x:c r="H21" s="269" t="str">
        <x:v>Financing terms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0" customHeight="1">
      <x:c r="A1" s="3" t="str">
        <x:v>Scenario FCFF Forecast</x:v>
      </x:c>
      <x:c r="B1" s="3" t="str">
        <x:v>Scenario FCFF Forecast</x:v>
      </x:c>
      <x:c r="C1" s="3" t="str">
        <x:v>Scenario FCFF Forecast</x:v>
      </x:c>
      <x:c r="D1" s="3" t="str">
        <x:v>Scenario FCFF Forecast</x:v>
      </x:c>
      <x:c r="E1" s="3" t="str">
        <x:v>Scenario FCFF Forecast</x:v>
      </x:c>
      <x:c r="F1" s="3" t="str">
        <x:v>Scenario FCFF Forecast</x:v>
      </x:c>
      <x:c r="G1" s="3" t="str">
        <x:v>Scenario FCFF Forecast</x:v>
      </x:c>
      <x:c r="H1" s="3" t="str">
        <x:v>Scenario FCFF Forecast</x:v>
      </x:c>
      <x:c r="I1" s="3" t="str">
        <x:v>Scenario FCFF Forecast</x:v>
      </x:c>
      <x:c r="J1" s="3" t="str">
        <x:v>Scenario FCFF Forecast</x:v>
      </x:c>
      <x:c r="K1" s="3" t="str">
        <x:v>Scenario FCFF Forecast</x:v>
      </x:c>
      <x:c r="L1" s="3" t="str">
        <x:v>Scenario FCFF Forecast</x:v>
      </x:c>
      <x:c r="M1" s="3" t="str">
        <x:v>Scenario FCFF Forecast</x:v>
      </x:c>
      <x:c r="N1" s="3" t="str">
        <x:v>Scenario FCFF Forecast</x:v>
      </x:c>
      <x:c r="O1" s="3" t="str">
        <x:v>Scenario FCFF Forecast</x:v>
      </x:c>
      <x:c r="P1" s="3" t="str">
        <x:v>Scenario FCFF Forecast</x:v>
      </x:c>
    </x:row>
    <x:row r="2">
      <x:c r="A2" s="300" t="str">
        <x:v>USD millions. Fifteen-year explicit forecast reduces terminal-value concentration. Negative EBIT receives no tax benefit. Approved commercial operations only; unapproved indications receive zero value.</x:v>
      </x:c>
      <x:c r="B2" s="300"/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  <x:c r="O2" s="300"/>
      <x:c r="P2" s="300"/>
    </x:row>
    <x:row r="3" ht="22" customHeight="1">
      <x:c r="A3" s="23" t="str">
        <x:v>Bear case</x:v>
      </x:c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</x:row>
    <x:row r="4">
      <x:c r="A4" s="9" t="str">
        <x:v>Metric</x:v>
      </x:c>
      <x:c r="B4" s="10" t="n">
        <x:v>2026</x:v>
      </x:c>
      <x:c r="C4" s="10" t="n">
        <x:v>2027</x:v>
      </x:c>
      <x:c r="D4" s="10" t="n">
        <x:v>2028</x:v>
      </x:c>
      <x:c r="E4" s="10" t="n">
        <x:v>2029</x:v>
      </x:c>
      <x:c r="F4" s="10" t="n">
        <x:v>2030</x:v>
      </x:c>
      <x:c r="G4" s="10" t="n">
        <x:v>2031</x:v>
      </x:c>
      <x:c r="H4" s="10" t="n">
        <x:v>2032</x:v>
      </x:c>
      <x:c r="I4" s="10" t="n">
        <x:v>2033</x:v>
      </x:c>
      <x:c r="J4" s="10" t="n">
        <x:v>2034</x:v>
      </x:c>
      <x:c r="K4" s="10" t="n">
        <x:v>2035</x:v>
      </x:c>
      <x:c r="L4" s="10" t="n">
        <x:v>2036</x:v>
      </x:c>
      <x:c r="M4" s="10" t="n">
        <x:v>2037</x:v>
      </x:c>
      <x:c r="N4" s="10" t="n">
        <x:v>2038</x:v>
      </x:c>
      <x:c r="O4" s="10" t="n">
        <x:v>2039</x:v>
      </x:c>
      <x:c r="P4" s="11" t="n">
        <x:v>2040</x:v>
      </x:c>
    </x:row>
    <x:row r="5">
      <x:c r="A5" s="301" t="str">
        <x:v>Revenue</x:v>
      </x:c>
      <x:c r="B5" s="355" t="n">
        <x:f>'Assumptions'!B29</x:f>
        <x:v>6</x:v>
      </x:c>
      <x:c r="C5" s="355" t="n">
        <x:f>'Assumptions'!C29</x:f>
        <x:v>7</x:v>
      </x:c>
      <x:c r="D5" s="355" t="n">
        <x:f>'Assumptions'!D29</x:f>
        <x:v>8.2</x:v>
      </x:c>
      <x:c r="E5" s="355" t="n">
        <x:f>'Assumptions'!E29</x:f>
        <x:v>9.4</x:v>
      </x:c>
      <x:c r="F5" s="355" t="n">
        <x:f>'Assumptions'!F29</x:f>
        <x:v>10.7</x:v>
      </x:c>
      <x:c r="G5" s="355" t="n">
        <x:f>'Assumptions'!G29</x:f>
        <x:v>12</x:v>
      </x:c>
      <x:c r="H5" s="355" t="n">
        <x:f>'Assumptions'!H29</x:f>
        <x:v>13.4</x:v>
      </x:c>
      <x:c r="I5" s="355" t="n">
        <x:f>'Assumptions'!I29</x:f>
        <x:v>14.8</x:v>
      </x:c>
      <x:c r="J5" s="355" t="n">
        <x:f>'Assumptions'!J29</x:f>
        <x:v>16.2</x:v>
      </x:c>
      <x:c r="K5" s="355" t="n">
        <x:f>'Assumptions'!K29</x:f>
        <x:v>17.5</x:v>
      </x:c>
      <x:c r="L5" s="355" t="n">
        <x:f>'Assumptions'!L29</x:f>
        <x:v>19</x:v>
      </x:c>
      <x:c r="M5" s="355" t="n">
        <x:f>'Assumptions'!M29</x:f>
        <x:v>20.5</x:v>
      </x:c>
      <x:c r="N5" s="355" t="n">
        <x:f>'Assumptions'!N29</x:f>
        <x:v>22</x:v>
      </x:c>
      <x:c r="O5" s="355" t="n">
        <x:f>'Assumptions'!O29</x:f>
        <x:v>23.5</x:v>
      </x:c>
      <x:c r="P5" s="355" t="n">
        <x:f>'Assumptions'!P29</x:f>
        <x:v>25</x:v>
      </x:c>
    </x:row>
    <x:row r="6">
      <x:c r="A6" s="308" t="str">
        <x:v>Growth</x:v>
      </x:c>
      <x:c r="B6" s="356" t="n">
        <x:f>'Forecast'!B5/'Assumptions'!$B$14-1</x:f>
        <x:v>0.6811431773606051</x:v>
      </x:c>
      <x:c r="C6" s="356" t="n">
        <x:f>'Forecast'!C5/'Forecast'!B5-1</x:f>
        <x:v>0.16666666666666674</x:v>
      </x:c>
      <x:c r="D6" s="356" t="n">
        <x:f>'Forecast'!D5/'Forecast'!C5-1</x:f>
        <x:v>0.17142857142857126</x:v>
      </x:c>
      <x:c r="E6" s="356" t="n">
        <x:f>'Forecast'!E5/'Forecast'!D5-1</x:f>
        <x:v>0.14634146341463428</x:v>
      </x:c>
      <x:c r="F6" s="356" t="n">
        <x:f>'Forecast'!F5/'Forecast'!E5-1</x:f>
        <x:v>0.13829787234042534</x:v>
      </x:c>
      <x:c r="G6" s="356" t="n">
        <x:f>'Forecast'!G5/'Forecast'!F5-1</x:f>
        <x:v>0.12149532710280386</x:v>
      </x:c>
      <x:c r="H6" s="356" t="n">
        <x:f>'Forecast'!H5/'Forecast'!G5-1</x:f>
        <x:v>0.1166666666666667</x:v>
      </x:c>
      <x:c r="I6" s="356" t="n">
        <x:f>'Forecast'!I5/'Forecast'!H5-1</x:f>
        <x:v>0.10447761194029859</x:v>
      </x:c>
      <x:c r="J6" s="356" t="n">
        <x:f>'Forecast'!J5/'Forecast'!I5-1</x:f>
        <x:v>0.09459459459459452</x:v>
      </x:c>
      <x:c r="K6" s="356" t="n">
        <x:f>'Forecast'!K5/'Forecast'!J5-1</x:f>
        <x:v>0.08024691358024705</x:v>
      </x:c>
      <x:c r="L6" s="356" t="n">
        <x:f>'Forecast'!L5/'Forecast'!K5-1</x:f>
        <x:v>0.08571428571428563</x:v>
      </x:c>
      <x:c r="M6" s="356" t="n">
        <x:f>'Forecast'!M5/'Forecast'!L5-1</x:f>
        <x:v>0.07894736842105265</x:v>
      </x:c>
      <x:c r="N6" s="356" t="n">
        <x:f>'Forecast'!N5/'Forecast'!M5-1</x:f>
        <x:v>0.07317073170731714</x:v>
      </x:c>
      <x:c r="O6" s="356" t="n">
        <x:f>'Forecast'!O5/'Forecast'!N5-1</x:f>
        <x:v>0.06818181818181812</x:v>
      </x:c>
      <x:c r="P6" s="356" t="n">
        <x:f>'Forecast'!P5/'Forecast'!O5-1</x:f>
        <x:v>0.06382978723404253</x:v>
      </x:c>
    </x:row>
    <x:row r="7">
      <x:c r="A7" s="308" t="str">
        <x:v>Gross margin</x:v>
      </x:c>
      <x:c r="B7" s="356" t="n">
        <x:v>0.83</x:v>
      </x:c>
      <x:c r="C7" s="356" t="n">
        <x:v>0.83</x:v>
      </x:c>
      <x:c r="D7" s="356" t="n">
        <x:v>0.83</x:v>
      </x:c>
      <x:c r="E7" s="356" t="n">
        <x:v>0.83</x:v>
      </x:c>
      <x:c r="F7" s="356" t="n">
        <x:v>0.83</x:v>
      </x:c>
      <x:c r="G7" s="356" t="n">
        <x:v>0.83</x:v>
      </x:c>
      <x:c r="H7" s="356" t="n">
        <x:v>0.83</x:v>
      </x:c>
      <x:c r="I7" s="356" t="n">
        <x:v>0.83</x:v>
      </x:c>
      <x:c r="J7" s="356" t="n">
        <x:v>0.83</x:v>
      </x:c>
      <x:c r="K7" s="356" t="n">
        <x:v>0.83</x:v>
      </x:c>
      <x:c r="L7" s="356" t="n">
        <x:v>0.83</x:v>
      </x:c>
      <x:c r="M7" s="356" t="n">
        <x:v>0.83</x:v>
      </x:c>
      <x:c r="N7" s="356" t="n">
        <x:v>0.83</x:v>
      </x:c>
      <x:c r="O7" s="356" t="n">
        <x:v>0.83</x:v>
      </x:c>
      <x:c r="P7" s="356" t="n">
        <x:v>0.83</x:v>
      </x:c>
    </x:row>
    <x:row r="8">
      <x:c r="A8" s="308" t="str">
        <x:v>Gross profit</x:v>
      </x:c>
      <x:c r="B8" s="322" t="n">
        <x:f>'Forecast'!B5*'Forecast'!B7</x:f>
        <x:v>4.9799999999999995</x:v>
      </x:c>
      <x:c r="C8" s="322" t="n">
        <x:f>'Forecast'!C5*'Forecast'!C7</x:f>
        <x:v>5.81</x:v>
      </x:c>
      <x:c r="D8" s="322" t="n">
        <x:f>'Forecast'!D5*'Forecast'!D7</x:f>
        <x:v>6.805999999999999</x:v>
      </x:c>
      <x:c r="E8" s="322" t="n">
        <x:f>'Forecast'!E5*'Forecast'!E7</x:f>
        <x:v>7.802</x:v>
      </x:c>
      <x:c r="F8" s="322" t="n">
        <x:f>'Forecast'!F5*'Forecast'!F7</x:f>
        <x:v>8.880999999999998</x:v>
      </x:c>
      <x:c r="G8" s="322" t="n">
        <x:f>'Forecast'!G5*'Forecast'!G7</x:f>
        <x:v>9.959999999999999</x:v>
      </x:c>
      <x:c r="H8" s="322" t="n">
        <x:f>'Forecast'!H5*'Forecast'!H7</x:f>
        <x:v>11.122</x:v>
      </x:c>
      <x:c r="I8" s="322" t="n">
        <x:f>'Forecast'!I5*'Forecast'!I7</x:f>
        <x:v>12.284</x:v>
      </x:c>
      <x:c r="J8" s="322" t="n">
        <x:f>'Forecast'!J5*'Forecast'!J7</x:f>
        <x:v>13.445999999999998</x:v>
      </x:c>
      <x:c r="K8" s="322" t="n">
        <x:f>'Forecast'!K5*'Forecast'!K7</x:f>
        <x:v>14.524999999999999</x:v>
      </x:c>
      <x:c r="L8" s="322" t="n">
        <x:f>'Forecast'!L5*'Forecast'!L7</x:f>
        <x:v>15.77</x:v>
      </x:c>
      <x:c r="M8" s="322" t="n">
        <x:f>'Forecast'!M5*'Forecast'!M7</x:f>
        <x:v>17.015</x:v>
      </x:c>
      <x:c r="N8" s="322" t="n">
        <x:f>'Forecast'!N5*'Forecast'!N7</x:f>
        <x:v>18.259999999999998</x:v>
      </x:c>
      <x:c r="O8" s="322" t="n">
        <x:f>'Forecast'!O5*'Forecast'!O7</x:f>
        <x:v>19.505</x:v>
      </x:c>
      <x:c r="P8" s="322" t="n">
        <x:f>'Forecast'!P5*'Forecast'!P7</x:f>
        <x:v>20.75</x:v>
      </x:c>
    </x:row>
    <x:row r="9">
      <x:c r="A9" s="308" t="str">
        <x:v>EBIT margin</x:v>
      </x:c>
      <x:c r="B9" s="356" t="n">
        <x:f>'Assumptions'!B30</x:f>
        <x:v>-1</x:v>
      </x:c>
      <x:c r="C9" s="356" t="n">
        <x:f>'Assumptions'!C30</x:f>
        <x:v>-0.7</x:v>
      </x:c>
      <x:c r="D9" s="356" t="n">
        <x:f>'Assumptions'!D30</x:f>
        <x:v>-0.5</x:v>
      </x:c>
      <x:c r="E9" s="356" t="n">
        <x:f>'Assumptions'!E30</x:f>
        <x:v>-0.3</x:v>
      </x:c>
      <x:c r="F9" s="356" t="n">
        <x:f>'Assumptions'!F30</x:f>
        <x:v>-0.15</x:v>
      </x:c>
      <x:c r="G9" s="356" t="n">
        <x:f>'Assumptions'!G30</x:f>
        <x:v>-0.05</x:v>
      </x:c>
      <x:c r="H9" s="356" t="n">
        <x:f>'Assumptions'!H30</x:f>
        <x:v>0</x:v>
      </x:c>
      <x:c r="I9" s="356" t="n">
        <x:f>'Assumptions'!I30</x:f>
        <x:v>0.03</x:v>
      </x:c>
      <x:c r="J9" s="356" t="n">
        <x:f>'Assumptions'!J30</x:f>
        <x:v>0.06</x:v>
      </x:c>
      <x:c r="K9" s="356" t="n">
        <x:f>'Assumptions'!K30</x:f>
        <x:v>0.09</x:v>
      </x:c>
      <x:c r="L9" s="356" t="n">
        <x:f>'Assumptions'!L30</x:f>
        <x:v>0.1</x:v>
      </x:c>
      <x:c r="M9" s="356" t="n">
        <x:f>'Assumptions'!M30</x:f>
        <x:v>0.1</x:v>
      </x:c>
      <x:c r="N9" s="356" t="n">
        <x:f>'Assumptions'!N30</x:f>
        <x:v>0.1</x:v>
      </x:c>
      <x:c r="O9" s="356" t="n">
        <x:f>'Assumptions'!O30</x:f>
        <x:v>0.1</x:v>
      </x:c>
      <x:c r="P9" s="356" t="n">
        <x:f>'Assumptions'!P30</x:f>
        <x:v>0.1</x:v>
      </x:c>
    </x:row>
    <x:row r="10">
      <x:c r="A10" s="308" t="str">
        <x:v>EBIT</x:v>
      </x:c>
      <x:c r="B10" s="357" t="n">
        <x:f>'Forecast'!B5*'Forecast'!B9</x:f>
        <x:v>-6</x:v>
      </x:c>
      <x:c r="C10" s="357" t="n">
        <x:f>'Forecast'!C5*'Forecast'!C9</x:f>
        <x:v>-4.8999999999999995</x:v>
      </x:c>
      <x:c r="D10" s="357" t="n">
        <x:f>'Forecast'!D5*'Forecast'!D9</x:f>
        <x:v>-4.1</x:v>
      </x:c>
      <x:c r="E10" s="357" t="n">
        <x:f>'Forecast'!E5*'Forecast'!E9</x:f>
        <x:v>-2.82</x:v>
      </x:c>
      <x:c r="F10" s="357" t="n">
        <x:f>'Forecast'!F5*'Forecast'!F9</x:f>
        <x:v>-1.6049999999999998</x:v>
      </x:c>
      <x:c r="G10" s="357" t="n">
        <x:f>'Forecast'!G5*'Forecast'!G9</x:f>
        <x:v>-0.6000000000000001</x:v>
      </x:c>
      <x:c r="H10" s="357" t="n">
        <x:f>'Forecast'!H5*'Forecast'!H9</x:f>
        <x:v>0</x:v>
      </x:c>
      <x:c r="I10" s="357" t="n">
        <x:f>'Forecast'!I5*'Forecast'!I9</x:f>
        <x:v>0.444</x:v>
      </x:c>
      <x:c r="J10" s="357" t="n">
        <x:f>'Forecast'!J5*'Forecast'!J9</x:f>
        <x:v>0.972</x:v>
      </x:c>
      <x:c r="K10" s="357" t="n">
        <x:f>'Forecast'!K5*'Forecast'!K9</x:f>
        <x:v>1.575</x:v>
      </x:c>
      <x:c r="L10" s="357" t="n">
        <x:f>'Forecast'!L5*'Forecast'!L9</x:f>
        <x:v>1.9000000000000001</x:v>
      </x:c>
      <x:c r="M10" s="357" t="n">
        <x:f>'Forecast'!M5*'Forecast'!M9</x:f>
        <x:v>2.0500000000000003</x:v>
      </x:c>
      <x:c r="N10" s="357" t="n">
        <x:f>'Forecast'!N5*'Forecast'!N9</x:f>
        <x:v>2.2</x:v>
      </x:c>
      <x:c r="O10" s="357" t="n">
        <x:f>'Forecast'!O5*'Forecast'!O9</x:f>
        <x:v>2.35</x:v>
      </x:c>
      <x:c r="P10" s="357" t="n">
        <x:f>'Forecast'!P5*'Forecast'!P9</x:f>
        <x:v>2.5</x:v>
      </x:c>
    </x:row>
    <x:row r="11">
      <x:c r="A11" s="308" t="str">
        <x:v>Cash tax</x:v>
      </x:c>
      <x:c r="B11" s="357" t="n">
        <x:f>(MAX(0,'Forecast'!B10)-MIN(0.8*MAX(0,'Forecast'!B10),MAX(0,'Assumptions'!$B$17-0.8*(0))))*'Assumptions'!$B$10</x:f>
        <x:v>0</x:v>
      </x:c>
      <x:c r="C11" s="357" t="n">
        <x:f>(MAX(0,'Forecast'!C10)-MIN(0.8*MAX(0,'Forecast'!C10),MAX(0,'Assumptions'!$B$17-0.8*(MAX(0,'Forecast'!B10)))))*'Assumptions'!$B$10</x:f>
        <x:v>0</x:v>
      </x:c>
      <x:c r="D11" s="357" t="n">
        <x:f>(MAX(0,'Forecast'!D10)-MIN(0.8*MAX(0,'Forecast'!D10),MAX(0,'Assumptions'!$B$17-0.8*(MAX(0,'Forecast'!B10)+MAX(0,'Forecast'!C10)))))*'Assumptions'!$B$10</x:f>
        <x:v>0</x:v>
      </x:c>
      <x:c r="E11" s="357" t="n">
        <x:f>(MAX(0,'Forecast'!E10)-MIN(0.8*MAX(0,'Forecast'!E10),MAX(0,'Assumptions'!$B$17-0.8*(MAX(0,'Forecast'!B10)+MAX(0,'Forecast'!C10)+MAX(0,'Forecast'!D10)))))*'Assumptions'!$B$10</x:f>
        <x:v>0</x:v>
      </x:c>
      <x:c r="F11" s="357" t="n">
        <x:f>(MAX(0,'Forecast'!F10)-MIN(0.8*MAX(0,'Forecast'!F10),MAX(0,'Assumptions'!$B$17-0.8*(MAX(0,'Forecast'!B10)+MAX(0,'Forecast'!C10)+MAX(0,'Forecast'!D10)+MAX(0,'Forecast'!E10)))))*'Assumptions'!$B$10</x:f>
        <x:v>0</x:v>
      </x:c>
      <x:c r="G11" s="357" t="n">
        <x:f>(MAX(0,'Forecast'!G10)-MIN(0.8*MAX(0,'Forecast'!G10),MAX(0,'Assumptions'!$B$17-0.8*(MAX(0,'Forecast'!B10)+MAX(0,'Forecast'!C10)+MAX(0,'Forecast'!D10)+MAX(0,'Forecast'!E10)+MAX(0,'Forecast'!F10)))))*'Assumptions'!$B$10</x:f>
        <x:v>0</x:v>
      </x:c>
      <x:c r="H11" s="357" t="n">
        <x:f>(MAX(0,'Forecast'!H10)-MIN(0.8*MAX(0,'Forecast'!H10),MAX(0,'Assumptions'!$B$17-0.8*(MAX(0,'Forecast'!B10)+MAX(0,'Forecast'!C10)+MAX(0,'Forecast'!D10)+MAX(0,'Forecast'!E10)+MAX(0,'Forecast'!F10)+MAX(0,'Forecast'!G10)))))*'Assumptions'!$B$10</x:f>
        <x:v>0</x:v>
      </x:c>
      <x:c r="I11" s="357" t="n">
        <x:f>(MAX(0,'Forecast'!I10)-MIN(0.8*MAX(0,'Forecast'!I10),MAX(0,'Assumptions'!$B$17-0.8*(MAX(0,'Forecast'!B10)+MAX(0,'Forecast'!C10)+MAX(0,'Forecast'!D10)+MAX(0,'Forecast'!E10)+MAX(0,'Forecast'!F10)+MAX(0,'Forecast'!G10)+MAX(0,'Forecast'!H10)))))*'Assumptions'!$B$10</x:f>
        <x:v>0.018647999999999998</x:v>
      </x:c>
      <x:c r="J11" s="357" t="n">
        <x:f>(MAX(0,'Forecast'!J10)-MIN(0.8*MAX(0,'Forecast'!J10),MAX(0,'Assumptions'!$B$17-0.8*(MAX(0,'Forecast'!B10)+MAX(0,'Forecast'!C10)+MAX(0,'Forecast'!D10)+MAX(0,'Forecast'!E10)+MAX(0,'Forecast'!F10)+MAX(0,'Forecast'!G10)+MAX(0,'Forecast'!H10)+MAX(0,'Forecast'!I10)))))*'Assumptions'!$B$10</x:f>
        <x:v>0.04082399999999998</x:v>
      </x:c>
      <x:c r="K11" s="357" t="n">
        <x:f>(MAX(0,'Forecast'!K10)-MIN(0.8*MAX(0,'Forecast'!K10),MAX(0,'Assumptions'!$B$17-0.8*(MAX(0,'Forecast'!B10)+MAX(0,'Forecast'!C10)+MAX(0,'Forecast'!D10)+MAX(0,'Forecast'!E10)+MAX(0,'Forecast'!F10)+MAX(0,'Forecast'!G10)+MAX(0,'Forecast'!H10)+MAX(0,'Forecast'!I10)+MAX(0,'Forecast'!J10)))))*'Assumptions'!$B$10</x:f>
        <x:v>0.06614999999999999</x:v>
      </x:c>
      <x:c r="L11" s="357" t="n">
        <x:f>(MAX(0,'Forecast'!L10)-MIN(0.8*MAX(0,'Forecast'!L10),MAX(0,'Assumptions'!$B$17-0.8*(MAX(0,'Forecast'!B10)+MAX(0,'Forecast'!C10)+MAX(0,'Forecast'!D10)+MAX(0,'Forecast'!E10)+MAX(0,'Forecast'!F10)+MAX(0,'Forecast'!G10)+MAX(0,'Forecast'!H10)+MAX(0,'Forecast'!I10)+MAX(0,'Forecast'!J10)+MAX(0,'Forecast'!K10)))))*'Assumptions'!$B$10</x:f>
        <x:v>0.07979999999999997</x:v>
      </x:c>
      <x:c r="M11" s="357" t="n">
        <x:f>(MAX(0,'Forecast'!M10)-MIN(0.8*MAX(0,'Forecast'!M10),MAX(0,'Assumptions'!$B$17-0.8*(MAX(0,'Forecast'!B10)+MAX(0,'Forecast'!C10)+MAX(0,'Forecast'!D10)+MAX(0,'Forecast'!E10)+MAX(0,'Forecast'!F10)+MAX(0,'Forecast'!G10)+MAX(0,'Forecast'!H10)+MAX(0,'Forecast'!I10)+MAX(0,'Forecast'!J10)+MAX(0,'Forecast'!K10)+MAX(0,'Forecast'!L10)))))*'Assumptions'!$B$10</x:f>
        <x:v>0.08609999999999998</x:v>
      </x:c>
      <x:c r="N11" s="357" t="n">
        <x:f>(MAX(0,'Forecast'!N10)-MIN(0.8*MAX(0,'Forecast'!N10),MAX(0,'Assumptions'!$B$17-0.8*(MAX(0,'Forecast'!B10)+MAX(0,'Forecast'!C10)+MAX(0,'Forecast'!D10)+MAX(0,'Forecast'!E10)+MAX(0,'Forecast'!F10)+MAX(0,'Forecast'!G10)+MAX(0,'Forecast'!H10)+MAX(0,'Forecast'!I10)+MAX(0,'Forecast'!J10)+MAX(0,'Forecast'!K10)+MAX(0,'Forecast'!L10)+MAX(0,'Forecast'!M10)))))*'Assumptions'!$B$10</x:f>
        <x:v>0.09239999999999998</x:v>
      </x:c>
      <x:c r="O11" s="357" t="n">
        <x:f>(MAX(0,'Forecast'!O10)-MIN(0.8*MAX(0,'Forecast'!O10),MAX(0,'Assumptions'!$B$17-0.8*(MAX(0,'Forecast'!B10)+MAX(0,'Forecast'!C10)+MAX(0,'Forecast'!D10)+MAX(0,'Forecast'!E10)+MAX(0,'Forecast'!F10)+MAX(0,'Forecast'!G10)+MAX(0,'Forecast'!H10)+MAX(0,'Forecast'!I10)+MAX(0,'Forecast'!J10)+MAX(0,'Forecast'!K10)+MAX(0,'Forecast'!L10)+MAX(0,'Forecast'!M10)+MAX(0,'Forecast'!N10)))))*'Assumptions'!$B$10</x:f>
        <x:v>0.0987</x:v>
      </x:c>
      <x:c r="P11" s="357" t="n">
        <x:f>(MAX(0,'Forecast'!P10)-MIN(0.8*MAX(0,'Forecast'!P10),MAX(0,'Assumptions'!$B$17-0.8*(MAX(0,'Forecast'!B10)+MAX(0,'Forecast'!C10)+MAX(0,'Forecast'!D10)+MAX(0,'Forecast'!E10)+MAX(0,'Forecast'!F10)+MAX(0,'Forecast'!G10)+MAX(0,'Forecast'!H10)+MAX(0,'Forecast'!I10)+MAX(0,'Forecast'!J10)+MAX(0,'Forecast'!K10)+MAX(0,'Forecast'!L10)+MAX(0,'Forecast'!M10)+MAX(0,'Forecast'!N10)+MAX(0,'Forecast'!O10)))))*'Assumptions'!$B$10</x:f>
        <x:v>0.105</x:v>
      </x:c>
    </x:row>
    <x:row r="12">
      <x:c r="A12" s="308" t="str">
        <x:v>D&amp;A</x:v>
      </x:c>
      <x:c r="B12" s="357" t="n">
        <x:f>'Forecast'!B5*'Assumptions'!$B$11</x:f>
        <x:v>0.09</x:v>
      </x:c>
      <x:c r="C12" s="357" t="n">
        <x:f>'Forecast'!C5*'Assumptions'!$B$11</x:f>
        <x:v>0.105</x:v>
      </x:c>
      <x:c r="D12" s="357" t="n">
        <x:f>'Forecast'!D5*'Assumptions'!$B$11</x:f>
        <x:v>0.12299999999999998</x:v>
      </x:c>
      <x:c r="E12" s="357" t="n">
        <x:f>'Forecast'!E5*'Assumptions'!$B$11</x:f>
        <x:v>0.141</x:v>
      </x:c>
      <x:c r="F12" s="357" t="n">
        <x:f>'Forecast'!F5*'Assumptions'!$B$11</x:f>
        <x:v>0.16049999999999998</x:v>
      </x:c>
      <x:c r="G12" s="357" t="n">
        <x:f>'Forecast'!G5*'Assumptions'!$B$11</x:f>
        <x:v>0.18</x:v>
      </x:c>
      <x:c r="H12" s="357" t="n">
        <x:f>'Forecast'!H5*'Assumptions'!$B$11</x:f>
        <x:v>0.20099999999999998</x:v>
      </x:c>
      <x:c r="I12" s="357" t="n">
        <x:f>'Forecast'!I5*'Assumptions'!$B$11</x:f>
        <x:v>0.222</x:v>
      </x:c>
      <x:c r="J12" s="357" t="n">
        <x:f>'Forecast'!J5*'Assumptions'!$B$11</x:f>
        <x:v>0.243</x:v>
      </x:c>
      <x:c r="K12" s="357" t="n">
        <x:f>'Forecast'!K5*'Assumptions'!$B$11</x:f>
        <x:v>0.2625</x:v>
      </x:c>
      <x:c r="L12" s="357" t="n">
        <x:f>'Forecast'!L5*'Assumptions'!$B$11</x:f>
        <x:v>0.285</x:v>
      </x:c>
      <x:c r="M12" s="357" t="n">
        <x:f>'Forecast'!M5*'Assumptions'!$B$11</x:f>
        <x:v>0.3075</x:v>
      </x:c>
      <x:c r="N12" s="357" t="n">
        <x:f>'Forecast'!N5*'Assumptions'!$B$11</x:f>
        <x:v>0.32999999999999996</x:v>
      </x:c>
      <x:c r="O12" s="357" t="n">
        <x:f>'Forecast'!O5*'Assumptions'!$B$11</x:f>
        <x:v>0.3525</x:v>
      </x:c>
      <x:c r="P12" s="357" t="n">
        <x:f>'Forecast'!P5*'Assumptions'!$B$11</x:f>
        <x:v>0.375</x:v>
      </x:c>
    </x:row>
    <x:row r="13">
      <x:c r="A13" s="308" t="str">
        <x:v>Capex</x:v>
      </x:c>
      <x:c r="B13" s="357" t="n">
        <x:f>'Forecast'!B5*'Assumptions'!$B$12</x:f>
        <x:v>0.12</x:v>
      </x:c>
      <x:c r="C13" s="357" t="n">
        <x:f>'Forecast'!C5*'Assumptions'!$B$12</x:f>
        <x:v>0.14</x:v>
      </x:c>
      <x:c r="D13" s="357" t="n">
        <x:f>'Forecast'!D5*'Assumptions'!$B$12</x:f>
        <x:v>0.16399999999999998</x:v>
      </x:c>
      <x:c r="E13" s="357" t="n">
        <x:f>'Forecast'!E5*'Assumptions'!$B$12</x:f>
        <x:v>0.188</x:v>
      </x:c>
      <x:c r="F13" s="357" t="n">
        <x:f>'Forecast'!F5*'Assumptions'!$B$12</x:f>
        <x:v>0.214</x:v>
      </x:c>
      <x:c r="G13" s="357" t="n">
        <x:f>'Forecast'!G5*'Assumptions'!$B$12</x:f>
        <x:v>0.24</x:v>
      </x:c>
      <x:c r="H13" s="357" t="n">
        <x:f>'Forecast'!H5*'Assumptions'!$B$12</x:f>
        <x:v>0.268</x:v>
      </x:c>
      <x:c r="I13" s="357" t="n">
        <x:f>'Forecast'!I5*'Assumptions'!$B$12</x:f>
        <x:v>0.29600000000000004</x:v>
      </x:c>
      <x:c r="J13" s="357" t="n">
        <x:f>'Forecast'!J5*'Assumptions'!$B$12</x:f>
        <x:v>0.324</x:v>
      </x:c>
      <x:c r="K13" s="357" t="n">
        <x:f>'Forecast'!K5*'Assumptions'!$B$12</x:f>
        <x:v>0.35000000000000003</x:v>
      </x:c>
      <x:c r="L13" s="357" t="n">
        <x:f>'Forecast'!L5*'Assumptions'!$B$12</x:f>
        <x:v>0.38</x:v>
      </x:c>
      <x:c r="M13" s="357" t="n">
        <x:f>'Forecast'!M5*'Assumptions'!$B$12</x:f>
        <x:v>0.41000000000000003</x:v>
      </x:c>
      <x:c r="N13" s="357" t="n">
        <x:f>'Forecast'!N5*'Assumptions'!$B$12</x:f>
        <x:v>0.44</x:v>
      </x:c>
      <x:c r="O13" s="357" t="n">
        <x:f>'Forecast'!O5*'Assumptions'!$B$12</x:f>
        <x:v>0.47000000000000003</x:v>
      </x:c>
      <x:c r="P13" s="357" t="n">
        <x:f>'Forecast'!P5*'Assumptions'!$B$12</x:f>
        <x:v>0.5</x:v>
      </x:c>
    </x:row>
    <x:row r="14">
      <x:c r="A14" s="308" t="str">
        <x:v>NWC investment</x:v>
      </x:c>
      <x:c r="B14" s="357" t="n">
        <x:f>('Forecast'!B5-'Assumptions'!$B$14)*'Assumptions'!$B$13</x:f>
        <x:v>0.12155</x:v>
      </x:c>
      <x:c r="C14" s="357" t="n">
        <x:f>('Forecast'!C5-'Forecast'!B5)*'Assumptions'!$B$13</x:f>
        <x:v>0.05</x:v>
      </x:c>
      <x:c r="D14" s="357" t="n">
        <x:f>('Forecast'!D5-'Forecast'!C5)*'Assumptions'!$B$13</x:f>
        <x:v>0.05999999999999997</x:v>
      </x:c>
      <x:c r="E14" s="357" t="n">
        <x:f>('Forecast'!E5-'Forecast'!D5)*'Assumptions'!$B$13</x:f>
        <x:v>0.06000000000000005</x:v>
      </x:c>
      <x:c r="F14" s="357" t="n">
        <x:f>('Forecast'!F5-'Forecast'!E5)*'Assumptions'!$B$13</x:f>
        <x:v>0.06499999999999995</x:v>
      </x:c>
      <x:c r="G14" s="357" t="n">
        <x:f>('Forecast'!G5-'Forecast'!F5)*'Assumptions'!$B$13</x:f>
        <x:v>0.06500000000000004</x:v>
      </x:c>
      <x:c r="H14" s="357" t="n">
        <x:f>('Forecast'!H5-'Forecast'!G5)*'Assumptions'!$B$13</x:f>
        <x:v>0.07000000000000002</x:v>
      </x:c>
      <x:c r="I14" s="357" t="n">
        <x:f>('Forecast'!I5-'Forecast'!H5)*'Assumptions'!$B$13</x:f>
        <x:v>0.07000000000000002</x:v>
      </x:c>
      <x:c r="J14" s="357" t="n">
        <x:f>('Forecast'!J5-'Forecast'!I5)*'Assumptions'!$B$13</x:f>
        <x:v>0.06999999999999994</x:v>
      </x:c>
      <x:c r="K14" s="357" t="n">
        <x:f>('Forecast'!K5-'Forecast'!J5)*'Assumptions'!$B$13</x:f>
        <x:v>0.06500000000000004</x:v>
      </x:c>
      <x:c r="L14" s="357" t="n">
        <x:f>('Forecast'!L5-'Forecast'!K5)*'Assumptions'!$B$13</x:f>
        <x:v>0.07500000000000001</x:v>
      </x:c>
      <x:c r="M14" s="357" t="n">
        <x:f>('Forecast'!M5-'Forecast'!L5)*'Assumptions'!$B$13</x:f>
        <x:v>0.07500000000000001</x:v>
      </x:c>
      <x:c r="N14" s="357" t="n">
        <x:f>('Forecast'!N5-'Forecast'!M5)*'Assumptions'!$B$13</x:f>
        <x:v>0.07500000000000001</x:v>
      </x:c>
      <x:c r="O14" s="357" t="n">
        <x:f>('Forecast'!O5-'Forecast'!N5)*'Assumptions'!$B$13</x:f>
        <x:v>0.07500000000000001</x:v>
      </x:c>
      <x:c r="P14" s="357" t="n">
        <x:f>('Forecast'!P5-'Forecast'!O5)*'Assumptions'!$B$13</x:f>
        <x:v>0.07500000000000001</x:v>
      </x:c>
    </x:row>
    <x:row r="15">
      <x:c r="A15" s="358" t="str">
        <x:v>FCFF</x:v>
      </x:c>
      <x:c r="B15" s="359" t="n">
        <x:f>'Forecast'!B10-'Forecast'!B11+'Forecast'!B12-'Forecast'!B13-'Forecast'!B14</x:f>
        <x:v>-6.15155</x:v>
      </x:c>
      <x:c r="C15" s="359" t="n">
        <x:f>'Forecast'!C10-'Forecast'!C11+'Forecast'!C12-'Forecast'!C13-'Forecast'!C14</x:f>
        <x:v>-4.9849999999999985</x:v>
      </x:c>
      <x:c r="D15" s="359" t="n">
        <x:f>'Forecast'!D10-'Forecast'!D11+'Forecast'!D12-'Forecast'!D13-'Forecast'!D14</x:f>
        <x:v>-4.201</x:v>
      </x:c>
      <x:c r="E15" s="359" t="n">
        <x:f>'Forecast'!E10-'Forecast'!E11+'Forecast'!E12-'Forecast'!E13-'Forecast'!E14</x:f>
        <x:v>-2.927</x:v>
      </x:c>
      <x:c r="F15" s="359" t="n">
        <x:f>'Forecast'!F10-'Forecast'!F11+'Forecast'!F12-'Forecast'!F13-'Forecast'!F14</x:f>
        <x:v>-1.7234999999999996</x:v>
      </x:c>
      <x:c r="G15" s="359" t="n">
        <x:f>'Forecast'!G10-'Forecast'!G11+'Forecast'!G12-'Forecast'!G13-'Forecast'!G14</x:f>
        <x:v>-0.7250000000000002</x:v>
      </x:c>
      <x:c r="H15" s="359" t="n">
        <x:f>'Forecast'!H10-'Forecast'!H11+'Forecast'!H12-'Forecast'!H13-'Forecast'!H14</x:f>
        <x:v>-0.13700000000000007</x:v>
      </x:c>
      <x:c r="I15" s="359" t="n">
        <x:f>'Forecast'!I10-'Forecast'!I11+'Forecast'!I12-'Forecast'!I13-'Forecast'!I14</x:f>
        <x:v>0.281352</x:v>
      </x:c>
      <x:c r="J15" s="359" t="n">
        <x:f>'Forecast'!J10-'Forecast'!J11+'Forecast'!J12-'Forecast'!J13-'Forecast'!J14</x:f>
        <x:v>0.7801760000000001</x:v>
      </x:c>
      <x:c r="K15" s="359" t="n">
        <x:f>'Forecast'!K10-'Forecast'!K11+'Forecast'!K12-'Forecast'!K13-'Forecast'!K14</x:f>
        <x:v>1.35635</x:v>
      </x:c>
      <x:c r="L15" s="359" t="n">
        <x:f>'Forecast'!L10-'Forecast'!L11+'Forecast'!L12-'Forecast'!L13-'Forecast'!L14</x:f>
        <x:v>1.6502000000000006</x:v>
      </x:c>
      <x:c r="M15" s="359" t="n">
        <x:f>'Forecast'!M10-'Forecast'!M11+'Forecast'!M12-'Forecast'!M13-'Forecast'!M14</x:f>
        <x:v>1.7864000000000002</x:v>
      </x:c>
      <x:c r="N15" s="359" t="n">
        <x:f>'Forecast'!N10-'Forecast'!N11+'Forecast'!N12-'Forecast'!N13-'Forecast'!N14</x:f>
        <x:v>1.9226000000000003</x:v>
      </x:c>
      <x:c r="O15" s="359" t="n">
        <x:f>'Forecast'!O10-'Forecast'!O11+'Forecast'!O12-'Forecast'!O13-'Forecast'!O14</x:f>
        <x:v>2.0587999999999997</x:v>
      </x:c>
      <x:c r="P15" s="359" t="n">
        <x:f>'Forecast'!P10-'Forecast'!P11+'Forecast'!P12-'Forecast'!P13-'Forecast'!P14</x:f>
        <x:v>2.195</x:v>
      </x:c>
    </x:row>
    <x:row r="16">
      <x:c r="A16" s="308" t="str">
        <x:v>Discount factor</x:v>
      </x:c>
      <x:c r="B16" s="360" t="n">
        <x:f>1/(1+'Assumptions'!$M6)^(B4-2025)</x:f>
        <x:v>0.8403361344537815</x:v>
      </x:c>
      <x:c r="C16" s="360" t="n">
        <x:f>1/(1+'Assumptions'!$M6)^(C4-2025)</x:f>
        <x:v>0.706164818868724</x:v>
      </x:c>
      <x:c r="D16" s="360" t="n">
        <x:f>1/(1+'Assumptions'!$M6)^(D4-2025)</x:f>
        <x:v>0.5934158141753983</x:v>
      </x:c>
      <x:c r="E16" s="360" t="n">
        <x:f>1/(1+'Assumptions'!$M6)^(E4-2025)</x:f>
        <x:v>0.4986687514078978</x:v>
      </x:c>
      <x:c r="F16" s="360" t="n">
        <x:f>1/(1+'Assumptions'!$M6)^(F4-2025)</x:f>
        <x:v>0.41904937093100664</x:v>
      </x:c>
      <x:c r="G16" s="360" t="n">
        <x:f>1/(1+'Assumptions'!$M6)^(G4-2025)</x:f>
        <x:v>0.3521423285134509</x:v>
      </x:c>
      <x:c r="H16" s="360" t="n">
        <x:f>1/(1+'Assumptions'!$M6)^(H4-2025)</x:f>
        <x:v>0.295917923120547</x:v>
      </x:c>
      <x:c r="I16" s="360" t="n">
        <x:f>1/(1+'Assumptions'!$M6)^(I4-2025)</x:f>
        <x:v>0.24867052363071177</x:v>
      </x:c>
      <x:c r="J16" s="360" t="n">
        <x:f>1/(1+'Assumptions'!$M6)^(J4-2025)</x:f>
        <x:v>0.20896682658043006</x:v>
      </x:c>
      <x:c r="K16" s="360" t="n">
        <x:f>1/(1+'Assumptions'!$M6)^(K4-2025)</x:f>
        <x:v>0.17560237527767233</x:v>
      </x:c>
      <x:c r="L16" s="360" t="n">
        <x:f>1/(1+'Assumptions'!$M6)^(L4-2025)</x:f>
        <x:v>0.14756502124174145</x:v>
      </x:c>
      <x:c r="M16" s="360" t="n">
        <x:f>1/(1+'Assumptions'!$M6)^(M4-2025)</x:f>
        <x:v>0.12400421953087519</x:v>
      </x:c>
      <x:c r="N16" s="360" t="n">
        <x:f>1/(1+'Assumptions'!$M6)^(N4-2025)</x:f>
        <x:v>0.10420522649653378</x:v>
      </x:c>
      <x:c r="O16" s="360" t="n">
        <x:f>1/(1+'Assumptions'!$M6)^(O4-2025)</x:f>
        <x:v>0.08756741722397797</x:v>
      </x:c>
      <x:c r="P16" s="360" t="n">
        <x:f>1/(1+'Assumptions'!$M6)^(P4-2025)</x:f>
        <x:v>0.07358606489409913</x:v>
      </x:c>
    </x:row>
    <x:row r="17">
      <x:c r="A17" s="321" t="str">
        <x:v>PV FCFF</x:v>
      </x:c>
      <x:c r="B17" s="361" t="n">
        <x:f>'Forecast'!B15*'Forecast'!B16</x:f>
        <x:v>-5.16936974789916</x:v>
      </x:c>
      <x:c r="C17" s="361" t="n">
        <x:f>'Forecast'!C15*'Forecast'!C16</x:f>
        <x:v>-3.520231622060588</x:v>
      </x:c>
      <x:c r="D17" s="361" t="n">
        <x:f>'Forecast'!D15*'Forecast'!D16</x:f>
        <x:v>-2.4929398353508483</x:v>
      </x:c>
      <x:c r="E17" s="361" t="n">
        <x:f>'Forecast'!E15*'Forecast'!E16</x:f>
        <x:v>-1.4596034353709169</x:v>
      </x:c>
      <x:c r="F17" s="361" t="n">
        <x:f>'Forecast'!F15*'Forecast'!F16</x:f>
        <x:v>-0.7222315907995898</x:v>
      </x:c>
      <x:c r="G17" s="361" t="n">
        <x:f>'Forecast'!G15*'Forecast'!G16</x:f>
        <x:v>-0.25530318817225195</x:v>
      </x:c>
      <x:c r="H17" s="361" t="n">
        <x:f>'Forecast'!H15*'Forecast'!H16</x:f>
        <x:v>-0.040540755467514955</x:v>
      </x:c>
      <x:c r="I17" s="361" t="n">
        <x:f>'Forecast'!I15*'Forecast'!I16</x:f>
        <x:v>0.06996394916454801</x:v>
      </x:c>
      <x:c r="J17" s="361" t="n">
        <x:f>'Forecast'!J15*'Forecast'!J16</x:f>
        <x:v>0.16303090289421363</x:v>
      </x:c>
      <x:c r="K17" s="361" t="n">
        <x:f>'Forecast'!K15*'Forecast'!K16</x:f>
        <x:v>0.23817828170787086</x:v>
      </x:c>
      <x:c r="L17" s="361" t="n">
        <x:f>'Forecast'!L15*'Forecast'!L16</x:f>
        <x:v>0.24351179805312181</x:v>
      </x:c>
      <x:c r="M17" s="361" t="n">
        <x:f>'Forecast'!M15*'Forecast'!M16</x:f>
        <x:v>0.22152113776995547</x:v>
      </x:c>
      <x:c r="N17" s="361" t="n">
        <x:f>'Forecast'!N15*'Forecast'!N16</x:f>
        <x:v>0.20034496846223587</x:v>
      </x:c>
      <x:c r="O17" s="361" t="n">
        <x:f>'Forecast'!O15*'Forecast'!O16</x:f>
        <x:v>0.18028379858072582</x:v>
      </x:c>
      <x:c r="P17" s="361" t="n">
        <x:f>'Forecast'!P15*'Forecast'!P16</x:f>
        <x:v>0.16152141244254759</x:v>
      </x:c>
    </x:row>
    <x:row r="18">
      <x:c r="A18" s="227"/>
      <x:c r="B18" s="227"/>
      <x:c r="C18" s="227"/>
      <x:c r="D18" s="227"/>
      <x:c r="E18" s="227"/>
      <x:c r="F18" s="227"/>
      <x:c r="G18" s="227"/>
      <x:c r="H18" s="227"/>
      <x:c r="I18" s="227"/>
      <x:c r="J18" s="227"/>
      <x:c r="K18" s="227"/>
      <x:c r="L18" s="227"/>
      <x:c r="M18" s="227"/>
      <x:c r="N18" s="227"/>
      <x:c r="O18" s="227"/>
      <x:c r="P18" s="227"/>
    </x:row>
    <x:row r="19">
      <x:c r="A19" s="227"/>
      <x:c r="B19" s="227"/>
      <x:c r="C19" s="227"/>
      <x:c r="D19" s="227"/>
      <x:c r="E19" s="227"/>
      <x:c r="F19" s="227"/>
      <x:c r="G19" s="227"/>
      <x:c r="H19" s="227"/>
      <x:c r="I19" s="227"/>
      <x:c r="J19" s="227"/>
      <x:c r="K19" s="227"/>
      <x:c r="L19" s="227"/>
      <x:c r="M19" s="227"/>
      <x:c r="N19" s="227"/>
      <x:c r="O19" s="227"/>
      <x:c r="P19" s="227"/>
    </x:row>
    <x:row r="20" ht="22" customHeight="1">
      <x:c r="A20" s="32" t="str">
        <x:v>Base case</x:v>
      </x:c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</x:row>
    <x:row r="21">
      <x:c r="A21" s="9" t="str">
        <x:v>Metric</x:v>
      </x:c>
      <x:c r="B21" s="10" t="n">
        <x:v>2026</x:v>
      </x:c>
      <x:c r="C21" s="10" t="n">
        <x:v>2027</x:v>
      </x:c>
      <x:c r="D21" s="10" t="n">
        <x:v>2028</x:v>
      </x:c>
      <x:c r="E21" s="10" t="n">
        <x:v>2029</x:v>
      </x:c>
      <x:c r="F21" s="10" t="n">
        <x:v>2030</x:v>
      </x:c>
      <x:c r="G21" s="10" t="n">
        <x:v>2031</x:v>
      </x:c>
      <x:c r="H21" s="10" t="n">
        <x:v>2032</x:v>
      </x:c>
      <x:c r="I21" s="10" t="n">
        <x:v>2033</x:v>
      </x:c>
      <x:c r="J21" s="10" t="n">
        <x:v>2034</x:v>
      </x:c>
      <x:c r="K21" s="10" t="n">
        <x:v>2035</x:v>
      </x:c>
      <x:c r="L21" s="10" t="n">
        <x:v>2036</x:v>
      </x:c>
      <x:c r="M21" s="10" t="n">
        <x:v>2037</x:v>
      </x:c>
      <x:c r="N21" s="10" t="n">
        <x:v>2038</x:v>
      </x:c>
      <x:c r="O21" s="10" t="n">
        <x:v>2039</x:v>
      </x:c>
      <x:c r="P21" s="11" t="n">
        <x:v>2040</x:v>
      </x:c>
    </x:row>
    <x:row r="22">
      <x:c r="A22" s="301" t="str">
        <x:v>Revenue</x:v>
      </x:c>
      <x:c r="B22" s="355" t="n">
        <x:f>'Assumptions'!B34</x:f>
        <x:v>7.2</x:v>
      </x:c>
      <x:c r="C22" s="355" t="n">
        <x:f>'Assumptions'!C34</x:f>
        <x:v>11</x:v>
      </x:c>
      <x:c r="D22" s="355" t="n">
        <x:f>'Assumptions'!D34</x:f>
        <x:v>14.3</x:v>
      </x:c>
      <x:c r="E22" s="355" t="n">
        <x:f>'Assumptions'!E34</x:f>
        <x:v>17.5</x:v>
      </x:c>
      <x:c r="F22" s="355" t="n">
        <x:f>'Assumptions'!F34</x:f>
        <x:v>19.5</x:v>
      </x:c>
      <x:c r="G22" s="355" t="n">
        <x:f>'Assumptions'!G34</x:f>
        <x:v>23</x:v>
      </x:c>
      <x:c r="H22" s="355" t="n">
        <x:f>'Assumptions'!H34</x:f>
        <x:v>27</x:v>
      </x:c>
      <x:c r="I22" s="355" t="n">
        <x:f>'Assumptions'!I34</x:f>
        <x:v>31</x:v>
      </x:c>
      <x:c r="J22" s="355" t="n">
        <x:f>'Assumptions'!J34</x:f>
        <x:v>35</x:v>
      </x:c>
      <x:c r="K22" s="355" t="n">
        <x:f>'Assumptions'!K34</x:f>
        <x:v>39</x:v>
      </x:c>
      <x:c r="L22" s="355" t="n">
        <x:f>'Assumptions'!L34</x:f>
        <x:v>42.9</x:v>
      </x:c>
      <x:c r="M22" s="355" t="n">
        <x:f>'Assumptions'!M34</x:f>
        <x:v>46.3</x:v>
      </x:c>
      <x:c r="N22" s="355" t="n">
        <x:f>'Assumptions'!N34</x:f>
        <x:v>50</x:v>
      </x:c>
      <x:c r="O22" s="355" t="n">
        <x:f>'Assumptions'!O34</x:f>
        <x:v>54</x:v>
      </x:c>
      <x:c r="P22" s="355" t="n">
        <x:f>'Assumptions'!P34</x:f>
        <x:v>58.3</x:v>
      </x:c>
    </x:row>
    <x:row r="23">
      <x:c r="A23" s="308" t="str">
        <x:v>Growth</x:v>
      </x:c>
      <x:c r="B23" s="356" t="n">
        <x:f>'Forecast'!B22/'Assumptions'!$B$14-1</x:f>
        <x:v>1.0173718128327263</x:v>
      </x:c>
      <x:c r="C23" s="356" t="n">
        <x:f>'Forecast'!C22/'Forecast'!B22-1</x:f>
        <x:v>0.5277777777777777</x:v>
      </x:c>
      <x:c r="D23" s="356" t="n">
        <x:f>'Forecast'!D22/'Forecast'!C22-1</x:f>
        <x:v>0.30000000000000004</x:v>
      </x:c>
      <x:c r="E23" s="356" t="n">
        <x:f>'Forecast'!E22/'Forecast'!D22-1</x:f>
        <x:v>0.22377622377622375</x:v>
      </x:c>
      <x:c r="F23" s="356" t="n">
        <x:f>'Forecast'!F22/'Forecast'!E22-1</x:f>
        <x:v>0.11428571428571432</x:v>
      </x:c>
      <x:c r="G23" s="356" t="n">
        <x:f>'Forecast'!G22/'Forecast'!F22-1</x:f>
        <x:v>0.17948717948717952</x:v>
      </x:c>
      <x:c r="H23" s="356" t="n">
        <x:f>'Forecast'!H22/'Forecast'!G22-1</x:f>
        <x:v>0.17391304347826098</x:v>
      </x:c>
      <x:c r="I23" s="356" t="n">
        <x:f>'Forecast'!I22/'Forecast'!H22-1</x:f>
        <x:v>0.14814814814814814</x:v>
      </x:c>
      <x:c r="J23" s="356" t="n">
        <x:f>'Forecast'!J22/'Forecast'!I22-1</x:f>
        <x:v>0.12903225806451624</x:v>
      </x:c>
      <x:c r="K23" s="356" t="n">
        <x:f>'Forecast'!K22/'Forecast'!J22-1</x:f>
        <x:v>0.11428571428571432</x:v>
      </x:c>
      <x:c r="L23" s="356" t="n">
        <x:f>'Forecast'!L22/'Forecast'!K22-1</x:f>
        <x:v>0.09999999999999987</x:v>
      </x:c>
      <x:c r="M23" s="356" t="n">
        <x:f>'Forecast'!M22/'Forecast'!L22-1</x:f>
        <x:v>0.07925407925407923</x:v>
      </x:c>
      <x:c r="N23" s="356" t="n">
        <x:f>'Forecast'!N22/'Forecast'!M22-1</x:f>
        <x:v>0.07991360691144722</x:v>
      </x:c>
      <x:c r="O23" s="356" t="n">
        <x:f>'Forecast'!O22/'Forecast'!N22-1</x:f>
        <x:v>0.08000000000000007</x:v>
      </x:c>
      <x:c r="P23" s="356" t="n">
        <x:f>'Forecast'!P22/'Forecast'!O22-1</x:f>
        <x:v>0.0796296296296295</x:v>
      </x:c>
    </x:row>
    <x:row r="24">
      <x:c r="A24" s="308" t="str">
        <x:v>Gross margin</x:v>
      </x:c>
      <x:c r="B24" s="356" t="n">
        <x:v>0.87</x:v>
      </x:c>
      <x:c r="C24" s="356" t="n">
        <x:v>0.87</x:v>
      </x:c>
      <x:c r="D24" s="356" t="n">
        <x:v>0.87</x:v>
      </x:c>
      <x:c r="E24" s="356" t="n">
        <x:v>0.87</x:v>
      </x:c>
      <x:c r="F24" s="356" t="n">
        <x:v>0.87</x:v>
      </x:c>
      <x:c r="G24" s="356" t="n">
        <x:v>0.87</x:v>
      </x:c>
      <x:c r="H24" s="356" t="n">
        <x:v>0.87</x:v>
      </x:c>
      <x:c r="I24" s="356" t="n">
        <x:v>0.87</x:v>
      </x:c>
      <x:c r="J24" s="356" t="n">
        <x:v>0.87</x:v>
      </x:c>
      <x:c r="K24" s="356" t="n">
        <x:v>0.87</x:v>
      </x:c>
      <x:c r="L24" s="356" t="n">
        <x:v>0.87</x:v>
      </x:c>
      <x:c r="M24" s="356" t="n">
        <x:v>0.87</x:v>
      </x:c>
      <x:c r="N24" s="356" t="n">
        <x:v>0.87</x:v>
      </x:c>
      <x:c r="O24" s="356" t="n">
        <x:v>0.87</x:v>
      </x:c>
      <x:c r="P24" s="356" t="n">
        <x:v>0.87</x:v>
      </x:c>
    </x:row>
    <x:row r="25">
      <x:c r="A25" s="308" t="str">
        <x:v>Gross profit</x:v>
      </x:c>
      <x:c r="B25" s="322" t="n">
        <x:f>'Forecast'!B22*'Forecast'!B24</x:f>
        <x:v>6.264</x:v>
      </x:c>
      <x:c r="C25" s="322" t="n">
        <x:f>'Forecast'!C22*'Forecast'!C24</x:f>
        <x:v>9.57</x:v>
      </x:c>
      <x:c r="D25" s="322" t="n">
        <x:f>'Forecast'!D22*'Forecast'!D24</x:f>
        <x:v>12.441</x:v>
      </x:c>
      <x:c r="E25" s="322" t="n">
        <x:f>'Forecast'!E22*'Forecast'!E24</x:f>
        <x:v>15.225</x:v>
      </x:c>
      <x:c r="F25" s="322" t="n">
        <x:f>'Forecast'!F22*'Forecast'!F24</x:f>
        <x:v>16.965</x:v>
      </x:c>
      <x:c r="G25" s="322" t="n">
        <x:f>'Forecast'!G22*'Forecast'!G24</x:f>
        <x:v>20.01</x:v>
      </x:c>
      <x:c r="H25" s="322" t="n">
        <x:f>'Forecast'!H22*'Forecast'!H24</x:f>
        <x:v>23.49</x:v>
      </x:c>
      <x:c r="I25" s="322" t="n">
        <x:f>'Forecast'!I22*'Forecast'!I24</x:f>
        <x:v>26.97</x:v>
      </x:c>
      <x:c r="J25" s="322" t="n">
        <x:f>'Forecast'!J22*'Forecast'!J24</x:f>
        <x:v>30.45</x:v>
      </x:c>
      <x:c r="K25" s="322" t="n">
        <x:f>'Forecast'!K22*'Forecast'!K24</x:f>
        <x:v>33.93</x:v>
      </x:c>
      <x:c r="L25" s="322" t="n">
        <x:f>'Forecast'!L22*'Forecast'!L24</x:f>
        <x:v>37.323</x:v>
      </x:c>
      <x:c r="M25" s="322" t="n">
        <x:f>'Forecast'!M22*'Forecast'!M24</x:f>
        <x:v>40.281</x:v>
      </x:c>
      <x:c r="N25" s="322" t="n">
        <x:f>'Forecast'!N22*'Forecast'!N24</x:f>
        <x:v>43.5</x:v>
      </x:c>
      <x:c r="O25" s="322" t="n">
        <x:f>'Forecast'!O22*'Forecast'!O24</x:f>
        <x:v>46.98</x:v>
      </x:c>
      <x:c r="P25" s="322" t="n">
        <x:f>'Forecast'!P22*'Forecast'!P24</x:f>
        <x:v>50.721</x:v>
      </x:c>
    </x:row>
    <x:row r="26">
      <x:c r="A26" s="308" t="str">
        <x:v>EBIT margin</x:v>
      </x:c>
      <x:c r="B26" s="356" t="n">
        <x:f>'Assumptions'!B35</x:f>
        <x:v>-0.8</x:v>
      </x:c>
      <x:c r="C26" s="356" t="n">
        <x:f>'Assumptions'!C35</x:f>
        <x:v>-0.3</x:v>
      </x:c>
      <x:c r="D26" s="356" t="n">
        <x:f>'Assumptions'!D35</x:f>
        <x:v>0</x:v>
      </x:c>
      <x:c r="E26" s="356" t="n">
        <x:f>'Assumptions'!E35</x:f>
        <x:v>0.08</x:v>
      </x:c>
      <x:c r="F26" s="356" t="n">
        <x:f>'Assumptions'!F35</x:f>
        <x:v>0.14</x:v>
      </x:c>
      <x:c r="G26" s="356" t="n">
        <x:f>'Assumptions'!G35</x:f>
        <x:v>0.2</x:v>
      </x:c>
      <x:c r="H26" s="356" t="n">
        <x:f>'Assumptions'!H35</x:f>
        <x:v>0.21</x:v>
      </x:c>
      <x:c r="I26" s="356" t="n">
        <x:f>'Assumptions'!I35</x:f>
        <x:v>0.22</x:v>
      </x:c>
      <x:c r="J26" s="356" t="n">
        <x:f>'Assumptions'!J35</x:f>
        <x:v>0.225</x:v>
      </x:c>
      <x:c r="K26" s="356" t="n">
        <x:f>'Assumptions'!K35</x:f>
        <x:v>0.23</x:v>
      </x:c>
      <x:c r="L26" s="356" t="n">
        <x:f>'Assumptions'!L35</x:f>
        <x:v>0.23</x:v>
      </x:c>
      <x:c r="M26" s="356" t="n">
        <x:f>'Assumptions'!M35</x:f>
        <x:v>0.23</x:v>
      </x:c>
      <x:c r="N26" s="356" t="n">
        <x:f>'Assumptions'!N35</x:f>
        <x:v>0.23</x:v>
      </x:c>
      <x:c r="O26" s="356" t="n">
        <x:f>'Assumptions'!O35</x:f>
        <x:v>0.23</x:v>
      </x:c>
      <x:c r="P26" s="356" t="n">
        <x:f>'Assumptions'!P35</x:f>
        <x:v>0.23</x:v>
      </x:c>
    </x:row>
    <x:row r="27">
      <x:c r="A27" s="308" t="str">
        <x:v>EBIT</x:v>
      </x:c>
      <x:c r="B27" s="357" t="n">
        <x:f>'Forecast'!B22*'Forecast'!B26</x:f>
        <x:v>-5.760000000000001</x:v>
      </x:c>
      <x:c r="C27" s="357" t="n">
        <x:f>'Forecast'!C22*'Forecast'!C26</x:f>
        <x:v>-3.3</x:v>
      </x:c>
      <x:c r="D27" s="357" t="n">
        <x:f>'Forecast'!D22*'Forecast'!D26</x:f>
        <x:v>0</x:v>
      </x:c>
      <x:c r="E27" s="357" t="n">
        <x:f>'Forecast'!E22*'Forecast'!E26</x:f>
        <x:v>1.4000000000000001</x:v>
      </x:c>
      <x:c r="F27" s="357" t="n">
        <x:f>'Forecast'!F22*'Forecast'!F26</x:f>
        <x:v>2.7300000000000004</x:v>
      </x:c>
      <x:c r="G27" s="357" t="n">
        <x:f>'Forecast'!G22*'Forecast'!G26</x:f>
        <x:v>4.6000000000000005</x:v>
      </x:c>
      <x:c r="H27" s="357" t="n">
        <x:f>'Forecast'!H22*'Forecast'!H26</x:f>
        <x:v>5.67</x:v>
      </x:c>
      <x:c r="I27" s="357" t="n">
        <x:f>'Forecast'!I22*'Forecast'!I26</x:f>
        <x:v>6.82</x:v>
      </x:c>
      <x:c r="J27" s="357" t="n">
        <x:f>'Forecast'!J22*'Forecast'!J26</x:f>
        <x:v>7.875</x:v>
      </x:c>
      <x:c r="K27" s="357" t="n">
        <x:f>'Forecast'!K22*'Forecast'!K26</x:f>
        <x:v>8.97</x:v>
      </x:c>
      <x:c r="L27" s="357" t="n">
        <x:f>'Forecast'!L22*'Forecast'!L26</x:f>
        <x:v>9.867</x:v>
      </x:c>
      <x:c r="M27" s="357" t="n">
        <x:f>'Forecast'!M22*'Forecast'!M26</x:f>
        <x:v>10.649</x:v>
      </x:c>
      <x:c r="N27" s="357" t="n">
        <x:f>'Forecast'!N22*'Forecast'!N26</x:f>
        <x:v>11.5</x:v>
      </x:c>
      <x:c r="O27" s="357" t="n">
        <x:f>'Forecast'!O22*'Forecast'!O26</x:f>
        <x:v>12.42</x:v>
      </x:c>
      <x:c r="P27" s="357" t="n">
        <x:f>'Forecast'!P22*'Forecast'!P26</x:f>
        <x:v>13.409</x:v>
      </x:c>
    </x:row>
    <x:row r="28">
      <x:c r="A28" s="308" t="str">
        <x:v>Cash tax</x:v>
      </x:c>
      <x:c r="B28" s="357" t="n">
        <x:f>(MAX(0,'Forecast'!B27)-MIN(0.8*MAX(0,'Forecast'!B27),MAX(0,'Assumptions'!$B$17-0.8*(0))))*'Assumptions'!$B$10</x:f>
        <x:v>0</x:v>
      </x:c>
      <x:c r="C28" s="357" t="n">
        <x:f>(MAX(0,'Forecast'!C27)-MIN(0.8*MAX(0,'Forecast'!C27),MAX(0,'Assumptions'!$B$17-0.8*(MAX(0,'Forecast'!B27)))))*'Assumptions'!$B$10</x:f>
        <x:v>0</x:v>
      </x:c>
      <x:c r="D28" s="357" t="n">
        <x:f>(MAX(0,'Forecast'!D27)-MIN(0.8*MAX(0,'Forecast'!D27),MAX(0,'Assumptions'!$B$17-0.8*(MAX(0,'Forecast'!B27)+MAX(0,'Forecast'!C27)))))*'Assumptions'!$B$10</x:f>
        <x:v>0</x:v>
      </x:c>
      <x:c r="E28" s="357" t="n">
        <x:f>(MAX(0,'Forecast'!E27)-MIN(0.8*MAX(0,'Forecast'!E27),MAX(0,'Assumptions'!$B$17-0.8*(MAX(0,'Forecast'!B27)+MAX(0,'Forecast'!C27)+MAX(0,'Forecast'!D27)))))*'Assumptions'!$B$10</x:f>
        <x:v>0.058800000000000005</x:v>
      </x:c>
      <x:c r="F28" s="357" t="n">
        <x:f>(MAX(0,'Forecast'!F27)-MIN(0.8*MAX(0,'Forecast'!F27),MAX(0,'Assumptions'!$B$17-0.8*(MAX(0,'Forecast'!B27)+MAX(0,'Forecast'!C27)+MAX(0,'Forecast'!D27)+MAX(0,'Forecast'!E27)))))*'Assumptions'!$B$10</x:f>
        <x:v>0.11465999999999996</x:v>
      </x:c>
      <x:c r="G28" s="357" t="n">
        <x:f>(MAX(0,'Forecast'!G27)-MIN(0.8*MAX(0,'Forecast'!G27),MAX(0,'Assumptions'!$B$17-0.8*(MAX(0,'Forecast'!B27)+MAX(0,'Forecast'!C27)+MAX(0,'Forecast'!D27)+MAX(0,'Forecast'!E27)+MAX(0,'Forecast'!F27)))))*'Assumptions'!$B$10</x:f>
        <x:v>0.19319999999999998</x:v>
      </x:c>
      <x:c r="H28" s="357" t="n">
        <x:f>(MAX(0,'Forecast'!H27)-MIN(0.8*MAX(0,'Forecast'!H27),MAX(0,'Assumptions'!$B$17-0.8*(MAX(0,'Forecast'!B27)+MAX(0,'Forecast'!C27)+MAX(0,'Forecast'!D27)+MAX(0,'Forecast'!E27)+MAX(0,'Forecast'!F27)+MAX(0,'Forecast'!G27)))))*'Assumptions'!$B$10</x:f>
        <x:v>0.23813999999999988</x:v>
      </x:c>
      <x:c r="I28" s="357" t="n">
        <x:f>(MAX(0,'Forecast'!I27)-MIN(0.8*MAX(0,'Forecast'!I27),MAX(0,'Assumptions'!$B$17-0.8*(MAX(0,'Forecast'!B27)+MAX(0,'Forecast'!C27)+MAX(0,'Forecast'!D27)+MAX(0,'Forecast'!E27)+MAX(0,'Forecast'!F27)+MAX(0,'Forecast'!G27)+MAX(0,'Forecast'!H27)))))*'Assumptions'!$B$10</x:f>
        <x:v>0.28644</x:v>
      </x:c>
      <x:c r="J28" s="357" t="n">
        <x:f>(MAX(0,'Forecast'!J27)-MIN(0.8*MAX(0,'Forecast'!J27),MAX(0,'Assumptions'!$B$17-0.8*(MAX(0,'Forecast'!B27)+MAX(0,'Forecast'!C27)+MAX(0,'Forecast'!D27)+MAX(0,'Forecast'!E27)+MAX(0,'Forecast'!F27)+MAX(0,'Forecast'!G27)+MAX(0,'Forecast'!H27)+MAX(0,'Forecast'!I27)))))*'Assumptions'!$B$10</x:f>
        <x:v>0.3307499999999998</x:v>
      </x:c>
      <x:c r="K28" s="357" t="n">
        <x:f>(MAX(0,'Forecast'!K27)-MIN(0.8*MAX(0,'Forecast'!K27),MAX(0,'Assumptions'!$B$17-0.8*(MAX(0,'Forecast'!B27)+MAX(0,'Forecast'!C27)+MAX(0,'Forecast'!D27)+MAX(0,'Forecast'!E27)+MAX(0,'Forecast'!F27)+MAX(0,'Forecast'!G27)+MAX(0,'Forecast'!H27)+MAX(0,'Forecast'!I27)+MAX(0,'Forecast'!J27)))))*'Assumptions'!$B$10</x:f>
        <x:v>0.3767399999999999</x:v>
      </x:c>
      <x:c r="L28" s="357" t="n">
        <x:f>(MAX(0,'Forecast'!L27)-MIN(0.8*MAX(0,'Forecast'!L27),MAX(0,'Assumptions'!$B$17-0.8*(MAX(0,'Forecast'!B27)+MAX(0,'Forecast'!C27)+MAX(0,'Forecast'!D27)+MAX(0,'Forecast'!E27)+MAX(0,'Forecast'!F27)+MAX(0,'Forecast'!G27)+MAX(0,'Forecast'!H27)+MAX(0,'Forecast'!I27)+MAX(0,'Forecast'!J27)+MAX(0,'Forecast'!K27)))))*'Assumptions'!$B$10</x:f>
        <x:v>0.41441399999999995</x:v>
      </x:c>
      <x:c r="M28" s="357" t="n">
        <x:f>(MAX(0,'Forecast'!M27)-MIN(0.8*MAX(0,'Forecast'!M27),MAX(0,'Assumptions'!$B$17-0.8*(MAX(0,'Forecast'!B27)+MAX(0,'Forecast'!C27)+MAX(0,'Forecast'!D27)+MAX(0,'Forecast'!E27)+MAX(0,'Forecast'!F27)+MAX(0,'Forecast'!G27)+MAX(0,'Forecast'!H27)+MAX(0,'Forecast'!I27)+MAX(0,'Forecast'!J27)+MAX(0,'Forecast'!K27)+MAX(0,'Forecast'!L27)))))*'Assumptions'!$B$10</x:f>
        <x:v>1.2252660000000015</x:v>
      </x:c>
      <x:c r="N28" s="357" t="n">
        <x:f>(MAX(0,'Forecast'!N27)-MIN(0.8*MAX(0,'Forecast'!N27),MAX(0,'Assumptions'!$B$17-0.8*(MAX(0,'Forecast'!B27)+MAX(0,'Forecast'!C27)+MAX(0,'Forecast'!D27)+MAX(0,'Forecast'!E27)+MAX(0,'Forecast'!F27)+MAX(0,'Forecast'!G27)+MAX(0,'Forecast'!H27)+MAX(0,'Forecast'!I27)+MAX(0,'Forecast'!J27)+MAX(0,'Forecast'!K27)+MAX(0,'Forecast'!L27)+MAX(0,'Forecast'!M27)))))*'Assumptions'!$B$10</x:f>
        <x:v>2.415</x:v>
      </x:c>
      <x:c r="O28" s="357" t="n">
        <x:f>(MAX(0,'Forecast'!O27)-MIN(0.8*MAX(0,'Forecast'!O27),MAX(0,'Assumptions'!$B$17-0.8*(MAX(0,'Forecast'!B27)+MAX(0,'Forecast'!C27)+MAX(0,'Forecast'!D27)+MAX(0,'Forecast'!E27)+MAX(0,'Forecast'!F27)+MAX(0,'Forecast'!G27)+MAX(0,'Forecast'!H27)+MAX(0,'Forecast'!I27)+MAX(0,'Forecast'!J27)+MAX(0,'Forecast'!K27)+MAX(0,'Forecast'!L27)+MAX(0,'Forecast'!M27)+MAX(0,'Forecast'!N27)))))*'Assumptions'!$B$10</x:f>
        <x:v>2.6082</x:v>
      </x:c>
      <x:c r="P28" s="357" t="n">
        <x:f>(MAX(0,'Forecast'!P27)-MIN(0.8*MAX(0,'Forecast'!P27),MAX(0,'Assumptions'!$B$17-0.8*(MAX(0,'Forecast'!B27)+MAX(0,'Forecast'!C27)+MAX(0,'Forecast'!D27)+MAX(0,'Forecast'!E27)+MAX(0,'Forecast'!F27)+MAX(0,'Forecast'!G27)+MAX(0,'Forecast'!H27)+MAX(0,'Forecast'!I27)+MAX(0,'Forecast'!J27)+MAX(0,'Forecast'!K27)+MAX(0,'Forecast'!L27)+MAX(0,'Forecast'!M27)+MAX(0,'Forecast'!N27)+MAX(0,'Forecast'!O27)))))*'Assumptions'!$B$10</x:f>
        <x:v>2.81589</x:v>
      </x:c>
    </x:row>
    <x:row r="29">
      <x:c r="A29" s="308" t="str">
        <x:v>D&amp;A</x:v>
      </x:c>
      <x:c r="B29" s="357" t="n">
        <x:f>'Forecast'!B22*'Assumptions'!$B$11</x:f>
        <x:v>0.108</x:v>
      </x:c>
      <x:c r="C29" s="357" t="n">
        <x:f>'Forecast'!C22*'Assumptions'!$B$11</x:f>
        <x:v>0.16499999999999998</x:v>
      </x:c>
      <x:c r="D29" s="357" t="n">
        <x:f>'Forecast'!D22*'Assumptions'!$B$11</x:f>
        <x:v>0.2145</x:v>
      </x:c>
      <x:c r="E29" s="357" t="n">
        <x:f>'Forecast'!E22*'Assumptions'!$B$11</x:f>
        <x:v>0.2625</x:v>
      </x:c>
      <x:c r="F29" s="357" t="n">
        <x:f>'Forecast'!F22*'Assumptions'!$B$11</x:f>
        <x:v>0.2925</x:v>
      </x:c>
      <x:c r="G29" s="357" t="n">
        <x:f>'Forecast'!G22*'Assumptions'!$B$11</x:f>
        <x:v>0.345</x:v>
      </x:c>
      <x:c r="H29" s="357" t="n">
        <x:f>'Forecast'!H22*'Assumptions'!$B$11</x:f>
        <x:v>0.40499999999999997</x:v>
      </x:c>
      <x:c r="I29" s="357" t="n">
        <x:f>'Forecast'!I22*'Assumptions'!$B$11</x:f>
        <x:v>0.46499999999999997</x:v>
      </x:c>
      <x:c r="J29" s="357" t="n">
        <x:f>'Forecast'!J22*'Assumptions'!$B$11</x:f>
        <x:v>0.525</x:v>
      </x:c>
      <x:c r="K29" s="357" t="n">
        <x:f>'Forecast'!K22*'Assumptions'!$B$11</x:f>
        <x:v>0.585</x:v>
      </x:c>
      <x:c r="L29" s="357" t="n">
        <x:f>'Forecast'!L22*'Assumptions'!$B$11</x:f>
        <x:v>0.6435</x:v>
      </x:c>
      <x:c r="M29" s="357" t="n">
        <x:f>'Forecast'!M22*'Assumptions'!$B$11</x:f>
        <x:v>0.6944999999999999</x:v>
      </x:c>
      <x:c r="N29" s="357" t="n">
        <x:f>'Forecast'!N22*'Assumptions'!$B$11</x:f>
        <x:v>0.75</x:v>
      </x:c>
      <x:c r="O29" s="357" t="n">
        <x:f>'Forecast'!O22*'Assumptions'!$B$11</x:f>
        <x:v>0.8099999999999999</x:v>
      </x:c>
      <x:c r="P29" s="357" t="n">
        <x:f>'Forecast'!P22*'Assumptions'!$B$11</x:f>
        <x:v>0.8744999999999999</x:v>
      </x:c>
    </x:row>
    <x:row r="30">
      <x:c r="A30" s="308" t="str">
        <x:v>Capex</x:v>
      </x:c>
      <x:c r="B30" s="357" t="n">
        <x:f>'Forecast'!B22*'Assumptions'!$B$12</x:f>
        <x:v>0.14400000000000002</x:v>
      </x:c>
      <x:c r="C30" s="357" t="n">
        <x:f>'Forecast'!C22*'Assumptions'!$B$12</x:f>
        <x:v>0.22</x:v>
      </x:c>
      <x:c r="D30" s="357" t="n">
        <x:f>'Forecast'!D22*'Assumptions'!$B$12</x:f>
        <x:v>0.28600000000000003</x:v>
      </x:c>
      <x:c r="E30" s="357" t="n">
        <x:f>'Forecast'!E22*'Assumptions'!$B$12</x:f>
        <x:v>0.35000000000000003</x:v>
      </x:c>
      <x:c r="F30" s="357" t="n">
        <x:f>'Forecast'!F22*'Assumptions'!$B$12</x:f>
        <x:v>0.39</x:v>
      </x:c>
      <x:c r="G30" s="357" t="n">
        <x:f>'Forecast'!G22*'Assumptions'!$B$12</x:f>
        <x:v>0.46</x:v>
      </x:c>
      <x:c r="H30" s="357" t="n">
        <x:f>'Forecast'!H22*'Assumptions'!$B$12</x:f>
        <x:v>0.54</x:v>
      </x:c>
      <x:c r="I30" s="357" t="n">
        <x:f>'Forecast'!I22*'Assumptions'!$B$12</x:f>
        <x:v>0.62</x:v>
      </x:c>
      <x:c r="J30" s="357" t="n">
        <x:f>'Forecast'!J22*'Assumptions'!$B$12</x:f>
        <x:v>0.7000000000000001</x:v>
      </x:c>
      <x:c r="K30" s="357" t="n">
        <x:f>'Forecast'!K22*'Assumptions'!$B$12</x:f>
        <x:v>0.78</x:v>
      </x:c>
      <x:c r="L30" s="357" t="n">
        <x:f>'Forecast'!L22*'Assumptions'!$B$12</x:f>
        <x:v>0.858</x:v>
      </x:c>
      <x:c r="M30" s="357" t="n">
        <x:f>'Forecast'!M22*'Assumptions'!$B$12</x:f>
        <x:v>0.9259999999999999</x:v>
      </x:c>
      <x:c r="N30" s="357" t="n">
        <x:f>'Forecast'!N22*'Assumptions'!$B$12</x:f>
        <x:v>1</x:v>
      </x:c>
      <x:c r="O30" s="357" t="n">
        <x:f>'Forecast'!O22*'Assumptions'!$B$12</x:f>
        <x:v>1.08</x:v>
      </x:c>
      <x:c r="P30" s="357" t="n">
        <x:f>'Forecast'!P22*'Assumptions'!$B$12</x:f>
        <x:v>1.166</x:v>
      </x:c>
    </x:row>
    <x:row r="31">
      <x:c r="A31" s="308" t="str">
        <x:v>NWC investment</x:v>
      </x:c>
      <x:c r="B31" s="357" t="n">
        <x:f>('Forecast'!B22-'Assumptions'!$B$14)*'Assumptions'!$B$13</x:f>
        <x:v>0.18155000000000002</x:v>
      </x:c>
      <x:c r="C31" s="357" t="n">
        <x:f>('Forecast'!C22-'Forecast'!B22)*'Assumptions'!$B$13</x:f>
        <x:v>0.19</x:v>
      </x:c>
      <x:c r="D31" s="357" t="n">
        <x:f>('Forecast'!D22-'Forecast'!C22)*'Assumptions'!$B$13</x:f>
        <x:v>0.16500000000000004</x:v>
      </x:c>
      <x:c r="E31" s="357" t="n">
        <x:f>('Forecast'!E22-'Forecast'!D22)*'Assumptions'!$B$13</x:f>
        <x:v>0.15999999999999998</x:v>
      </x:c>
      <x:c r="F31" s="357" t="n">
        <x:f>('Forecast'!F22-'Forecast'!E22)*'Assumptions'!$B$13</x:f>
        <x:v>0.1</x:v>
      </x:c>
      <x:c r="G31" s="357" t="n">
        <x:f>('Forecast'!G22-'Forecast'!F22)*'Assumptions'!$B$13</x:f>
        <x:v>0.17500000000000002</x:v>
      </x:c>
      <x:c r="H31" s="357" t="n">
        <x:f>('Forecast'!H22-'Forecast'!G22)*'Assumptions'!$B$13</x:f>
        <x:v>0.2</x:v>
      </x:c>
      <x:c r="I31" s="357" t="n">
        <x:f>('Forecast'!I22-'Forecast'!H22)*'Assumptions'!$B$13</x:f>
        <x:v>0.2</x:v>
      </x:c>
      <x:c r="J31" s="357" t="n">
        <x:f>('Forecast'!J22-'Forecast'!I22)*'Assumptions'!$B$13</x:f>
        <x:v>0.2</x:v>
      </x:c>
      <x:c r="K31" s="357" t="n">
        <x:f>('Forecast'!K22-'Forecast'!J22)*'Assumptions'!$B$13</x:f>
        <x:v>0.2</x:v>
      </x:c>
      <x:c r="L31" s="357" t="n">
        <x:f>('Forecast'!L22-'Forecast'!K22)*'Assumptions'!$B$13</x:f>
        <x:v>0.19499999999999995</x:v>
      </x:c>
      <x:c r="M31" s="357" t="n">
        <x:f>('Forecast'!M22-'Forecast'!L22)*'Assumptions'!$B$13</x:f>
        <x:v>0.16999999999999993</x:v>
      </x:c>
      <x:c r="N31" s="357" t="n">
        <x:f>('Forecast'!N22-'Forecast'!M22)*'Assumptions'!$B$13</x:f>
        <x:v>0.18500000000000016</x:v>
      </x:c>
      <x:c r="O31" s="357" t="n">
        <x:f>('Forecast'!O22-'Forecast'!N22)*'Assumptions'!$B$13</x:f>
        <x:v>0.2</x:v>
      </x:c>
      <x:c r="P31" s="357" t="n">
        <x:f>('Forecast'!P22-'Forecast'!O22)*'Assumptions'!$B$13</x:f>
        <x:v>0.21499999999999986</x:v>
      </x:c>
    </x:row>
    <x:row r="32">
      <x:c r="A32" s="358" t="str">
        <x:v>FCFF</x:v>
      </x:c>
      <x:c r="B32" s="359" t="n">
        <x:f>'Forecast'!B27-'Forecast'!B28+'Forecast'!B29-'Forecast'!B30-'Forecast'!B31</x:f>
        <x:v>-5.977550000000001</x:v>
      </x:c>
      <x:c r="C32" s="359" t="n">
        <x:f>'Forecast'!C27-'Forecast'!C28+'Forecast'!C29-'Forecast'!C30-'Forecast'!C31</x:f>
        <x:v>-3.545</x:v>
      </x:c>
      <x:c r="D32" s="359" t="n">
        <x:f>'Forecast'!D27-'Forecast'!D28+'Forecast'!D29-'Forecast'!D30-'Forecast'!D31</x:f>
        <x:v>-0.23650000000000007</x:v>
      </x:c>
      <x:c r="E32" s="359" t="n">
        <x:f>'Forecast'!E27-'Forecast'!E28+'Forecast'!E29-'Forecast'!E30-'Forecast'!E31</x:f>
        <x:v>1.0937000000000001</x:v>
      </x:c>
      <x:c r="F32" s="359" t="n">
        <x:f>'Forecast'!F27-'Forecast'!F28+'Forecast'!F29-'Forecast'!F30-'Forecast'!F31</x:f>
        <x:v>2.4178400000000004</x:v>
      </x:c>
      <x:c r="G32" s="359" t="n">
        <x:f>'Forecast'!G27-'Forecast'!G28+'Forecast'!G29-'Forecast'!G30-'Forecast'!G31</x:f>
        <x:v>4.1168000000000005</x:v>
      </x:c>
      <x:c r="H32" s="359" t="n">
        <x:f>'Forecast'!H27-'Forecast'!H28+'Forecast'!H29-'Forecast'!H30-'Forecast'!H31</x:f>
        <x:v>5.09686</x:v>
      </x:c>
      <x:c r="I32" s="359" t="n">
        <x:f>'Forecast'!I27-'Forecast'!I28+'Forecast'!I29-'Forecast'!I30-'Forecast'!I31</x:f>
        <x:v>6.17856</x:v>
      </x:c>
      <x:c r="J32" s="359" t="n">
        <x:f>'Forecast'!J27-'Forecast'!J28+'Forecast'!J29-'Forecast'!J30-'Forecast'!J31</x:f>
        <x:v>7.16925</x:v>
      </x:c>
      <x:c r="K32" s="359" t="n">
        <x:f>'Forecast'!K27-'Forecast'!K28+'Forecast'!K29-'Forecast'!K30-'Forecast'!K31</x:f>
        <x:v>8.198260000000003</x:v>
      </x:c>
      <x:c r="L32" s="359" t="n">
        <x:f>'Forecast'!L27-'Forecast'!L28+'Forecast'!L29-'Forecast'!L30-'Forecast'!L31</x:f>
        <x:v>9.043085999999999</x:v>
      </x:c>
      <x:c r="M32" s="359" t="n">
        <x:f>'Forecast'!M27-'Forecast'!M28+'Forecast'!M29-'Forecast'!M30-'Forecast'!M31</x:f>
        <x:v>9.022233999999997</x:v>
      </x:c>
      <x:c r="N32" s="359" t="n">
        <x:f>'Forecast'!N27-'Forecast'!N28+'Forecast'!N29-'Forecast'!N30-'Forecast'!N31</x:f>
        <x:v>8.65</x:v>
      </x:c>
      <x:c r="O32" s="359" t="n">
        <x:f>'Forecast'!O27-'Forecast'!O28+'Forecast'!O29-'Forecast'!O30-'Forecast'!O31</x:f>
        <x:v>9.341800000000001</x:v>
      </x:c>
      <x:c r="P32" s="359" t="n">
        <x:f>'Forecast'!P27-'Forecast'!P28+'Forecast'!P29-'Forecast'!P30-'Forecast'!P31</x:f>
        <x:v>10.08661</x:v>
      </x:c>
    </x:row>
    <x:row r="33">
      <x:c r="A33" s="308" t="str">
        <x:v>Discount factor</x:v>
      </x:c>
      <x:c r="B33" s="360" t="n">
        <x:f>1/(1+'Assumptions'!$M7)^(B21-2025)</x:f>
        <x:v>0.8403361344537815</x:v>
      </x:c>
      <x:c r="C33" s="360" t="n">
        <x:f>1/(1+'Assumptions'!$M7)^(C21-2025)</x:f>
        <x:v>0.706164818868724</x:v>
      </x:c>
      <x:c r="D33" s="360" t="n">
        <x:f>1/(1+'Assumptions'!$M7)^(D21-2025)</x:f>
        <x:v>0.5934158141753983</x:v>
      </x:c>
      <x:c r="E33" s="360" t="n">
        <x:f>1/(1+'Assumptions'!$M7)^(E21-2025)</x:f>
        <x:v>0.4986687514078978</x:v>
      </x:c>
      <x:c r="F33" s="360" t="n">
        <x:f>1/(1+'Assumptions'!$M7)^(F21-2025)</x:f>
        <x:v>0.41904937093100664</x:v>
      </x:c>
      <x:c r="G33" s="360" t="n">
        <x:f>1/(1+'Assumptions'!$M7)^(G21-2025)</x:f>
        <x:v>0.3521423285134509</x:v>
      </x:c>
      <x:c r="H33" s="360" t="n">
        <x:f>1/(1+'Assumptions'!$M7)^(H21-2025)</x:f>
        <x:v>0.295917923120547</x:v>
      </x:c>
      <x:c r="I33" s="360" t="n">
        <x:f>1/(1+'Assumptions'!$M7)^(I21-2025)</x:f>
        <x:v>0.24867052363071177</x:v>
      </x:c>
      <x:c r="J33" s="360" t="n">
        <x:f>1/(1+'Assumptions'!$M7)^(J21-2025)</x:f>
        <x:v>0.20896682658043006</x:v>
      </x:c>
      <x:c r="K33" s="360" t="n">
        <x:f>1/(1+'Assumptions'!$M7)^(K21-2025)</x:f>
        <x:v>0.17560237527767233</x:v>
      </x:c>
      <x:c r="L33" s="360" t="n">
        <x:f>1/(1+'Assumptions'!$M7)^(L21-2025)</x:f>
        <x:v>0.14756502124174145</x:v>
      </x:c>
      <x:c r="M33" s="360" t="n">
        <x:f>1/(1+'Assumptions'!$M7)^(M21-2025)</x:f>
        <x:v>0.12400421953087519</x:v>
      </x:c>
      <x:c r="N33" s="360" t="n">
        <x:f>1/(1+'Assumptions'!$M7)^(N21-2025)</x:f>
        <x:v>0.10420522649653378</x:v>
      </x:c>
      <x:c r="O33" s="360" t="n">
        <x:f>1/(1+'Assumptions'!$M7)^(O21-2025)</x:f>
        <x:v>0.08756741722397797</x:v>
      </x:c>
      <x:c r="P33" s="360" t="n">
        <x:f>1/(1+'Assumptions'!$M7)^(P21-2025)</x:f>
        <x:v>0.07358606489409913</x:v>
      </x:c>
    </x:row>
    <x:row r="34">
      <x:c r="A34" s="321" t="str">
        <x:v>PV FCFF</x:v>
      </x:c>
      <x:c r="B34" s="361" t="n">
        <x:f>'Forecast'!B32*'Forecast'!B33</x:f>
        <x:v>-5.023151260504203</x:v>
      </x:c>
      <x:c r="C34" s="361" t="n">
        <x:f>'Forecast'!C32*'Forecast'!C33</x:f>
        <x:v>-2.5033542828896262</x:v>
      </x:c>
      <x:c r="D34" s="361" t="n">
        <x:f>'Forecast'!D32*'Forecast'!D33</x:f>
        <x:v>-0.14034284005248177</x:v>
      </x:c>
      <x:c r="E34" s="361" t="n">
        <x:f>'Forecast'!E32*'Forecast'!E33</x:f>
        <x:v>0.5453940134148179</x:v>
      </x:c>
      <x:c r="F34" s="361" t="n">
        <x:f>'Forecast'!F32*'Forecast'!F33</x:f>
        <x:v>1.0131943310118252</x:v>
      </x:c>
      <x:c r="G34" s="361" t="n">
        <x:f>'Forecast'!G32*'Forecast'!G33</x:f>
        <x:v>1.4496995380241748</x:v>
      </x:c>
      <x:c r="H34" s="361" t="n">
        <x:f>'Forecast'!H32*'Forecast'!H33</x:f>
        <x:v>1.5082522256361912</x:v>
      </x:c>
      <x:c r="I34" s="361" t="n">
        <x:f>'Forecast'!I32*'Forecast'!I33</x:f>
        <x:v>1.5364257504837704</x:v>
      </x:c>
      <x:c r="J34" s="361" t="n">
        <x:f>'Forecast'!J32*'Forecast'!J33</x:f>
        <x:v>1.4981354214617482</x:v>
      </x:c>
      <x:c r="K34" s="361" t="n">
        <x:f>'Forecast'!K32*'Forecast'!K33</x:f>
        <x:v>1.4396339291439306</x:v>
      </x:c>
      <x:c r="L34" s="361" t="n">
        <x:f>'Forecast'!L32*'Forecast'!L33</x:f>
        <x:v>1.3344431776808945</x:v>
      </x:c>
      <x:c r="M34" s="361" t="n">
        <x:f>'Forecast'!M32*'Forecast'!M33</x:f>
        <x:v>1.1187950855949258</x:v>
      </x:c>
      <x:c r="N34" s="361" t="n">
        <x:f>'Forecast'!N32*'Forecast'!N33</x:f>
        <x:v>0.9013752091950172</x:v>
      </x:c>
      <x:c r="O34" s="361" t="n">
        <x:f>'Forecast'!O32*'Forecast'!O33</x:f>
        <x:v>0.8180372982229575</x:v>
      </x:c>
      <x:c r="P34" s="361" t="n">
        <x:f>'Forecast'!P32*'Forecast'!P33</x:f>
        <x:v>0.7422339380214693</x:v>
      </x:c>
    </x:row>
    <x:row r="35">
      <x:c r="A35" s="227"/>
      <x:c r="B35" s="227"/>
      <x:c r="C35" s="227"/>
      <x:c r="D35" s="227"/>
      <x:c r="E35" s="227"/>
      <x:c r="F35" s="227"/>
      <x:c r="G35" s="227"/>
      <x:c r="H35" s="227"/>
      <x:c r="I35" s="227"/>
      <x:c r="J35" s="227"/>
      <x:c r="K35" s="227"/>
      <x:c r="L35" s="227"/>
      <x:c r="M35" s="227"/>
      <x:c r="N35" s="227"/>
      <x:c r="O35" s="227"/>
      <x:c r="P35" s="227"/>
    </x:row>
    <x:row r="36">
      <x:c r="A36" s="227"/>
      <x:c r="B36" s="227"/>
      <x:c r="C36" s="227"/>
      <x:c r="D36" s="227"/>
      <x:c r="E36" s="227"/>
      <x:c r="F36" s="227"/>
      <x:c r="G36" s="227"/>
      <x:c r="H36" s="227"/>
      <x:c r="I36" s="227"/>
      <x:c r="J36" s="227"/>
      <x:c r="K36" s="227"/>
      <x:c r="L36" s="227"/>
      <x:c r="M36" s="227"/>
      <x:c r="N36" s="227"/>
      <x:c r="O36" s="227"/>
      <x:c r="P36" s="227"/>
    </x:row>
    <x:row r="37" ht="22" customHeight="1">
      <x:c r="A37" s="100" t="str">
        <x:v>Bull case</x:v>
      </x:c>
      <x:c r="B37" s="100"/>
      <x:c r="C37" s="100"/>
      <x:c r="D37" s="100"/>
      <x:c r="E37" s="100"/>
      <x:c r="F37" s="100"/>
      <x:c r="G37" s="100"/>
      <x:c r="H37" s="100"/>
      <x:c r="I37" s="100"/>
      <x:c r="J37" s="100"/>
      <x:c r="K37" s="100"/>
      <x:c r="L37" s="100"/>
      <x:c r="M37" s="100"/>
      <x:c r="N37" s="100"/>
      <x:c r="O37" s="100"/>
      <x:c r="P37" s="100"/>
    </x:row>
    <x:row r="38">
      <x:c r="A38" s="9" t="str">
        <x:v>Metric</x:v>
      </x:c>
      <x:c r="B38" s="10" t="n">
        <x:v>2026</x:v>
      </x:c>
      <x:c r="C38" s="10" t="n">
        <x:v>2027</x:v>
      </x:c>
      <x:c r="D38" s="10" t="n">
        <x:v>2028</x:v>
      </x:c>
      <x:c r="E38" s="10" t="n">
        <x:v>2029</x:v>
      </x:c>
      <x:c r="F38" s="10" t="n">
        <x:v>2030</x:v>
      </x:c>
      <x:c r="G38" s="10" t="n">
        <x:v>2031</x:v>
      </x:c>
      <x:c r="H38" s="10" t="n">
        <x:v>2032</x:v>
      </x:c>
      <x:c r="I38" s="10" t="n">
        <x:v>2033</x:v>
      </x:c>
      <x:c r="J38" s="10" t="n">
        <x:v>2034</x:v>
      </x:c>
      <x:c r="K38" s="10" t="n">
        <x:v>2035</x:v>
      </x:c>
      <x:c r="L38" s="10" t="n">
        <x:v>2036</x:v>
      </x:c>
      <x:c r="M38" s="10" t="n">
        <x:v>2037</x:v>
      </x:c>
      <x:c r="N38" s="10" t="n">
        <x:v>2038</x:v>
      </x:c>
      <x:c r="O38" s="10" t="n">
        <x:v>2039</x:v>
      </x:c>
      <x:c r="P38" s="11" t="n">
        <x:v>2040</x:v>
      </x:c>
    </x:row>
    <x:row r="39">
      <x:c r="A39" s="301" t="str">
        <x:v>Revenue</x:v>
      </x:c>
      <x:c r="B39" s="355" t="n">
        <x:f>'Assumptions'!B39</x:f>
        <x:v>9.2</x:v>
      </x:c>
      <x:c r="C39" s="355" t="n">
        <x:f>'Assumptions'!C39</x:f>
        <x:v>16</x:v>
      </x:c>
      <x:c r="D39" s="355" t="n">
        <x:f>'Assumptions'!D39</x:f>
        <x:v>25</x:v>
      </x:c>
      <x:c r="E39" s="355" t="n">
        <x:f>'Assumptions'!E39</x:f>
        <x:v>35</x:v>
      </x:c>
      <x:c r="F39" s="355" t="n">
        <x:f>'Assumptions'!F39</x:f>
        <x:v>47</x:v>
      </x:c>
      <x:c r="G39" s="355" t="n">
        <x:f>'Assumptions'!G39</x:f>
        <x:v>62</x:v>
      </x:c>
      <x:c r="H39" s="355" t="n">
        <x:f>'Assumptions'!H39</x:f>
        <x:v>78</x:v>
      </x:c>
      <x:c r="I39" s="355" t="n">
        <x:f>'Assumptions'!I39</x:f>
        <x:v>94</x:v>
      </x:c>
      <x:c r="J39" s="355" t="n">
        <x:f>'Assumptions'!J39</x:f>
        <x:v>110</x:v>
      </x:c>
      <x:c r="K39" s="355" t="n">
        <x:f>'Assumptions'!K39</x:f>
        <x:v>125</x:v>
      </x:c>
      <x:c r="L39" s="355" t="n">
        <x:f>'Assumptions'!L39</x:f>
        <x:v>137.5</x:v>
      </x:c>
      <x:c r="M39" s="355" t="n">
        <x:f>'Assumptions'!M39</x:f>
        <x:v>148.5</x:v>
      </x:c>
      <x:c r="N39" s="355" t="n">
        <x:f>'Assumptions'!N39</x:f>
        <x:v>160.4</x:v>
      </x:c>
      <x:c r="O39" s="355" t="n">
        <x:f>'Assumptions'!O39</x:f>
        <x:v>173.2</x:v>
      </x:c>
      <x:c r="P39" s="355" t="n">
        <x:f>'Assumptions'!P39</x:f>
        <x:v>187.1</x:v>
      </x:c>
    </x:row>
    <x:row r="40">
      <x:c r="A40" s="308" t="str">
        <x:v>Growth</x:v>
      </x:c>
      <x:c r="B40" s="356" t="n">
        <x:f>'Forecast'!B39/'Assumptions'!$B$14-1</x:f>
        <x:v>1.577752871952928</x:v>
      </x:c>
      <x:c r="C40" s="356" t="n">
        <x:f>'Forecast'!C39/'Forecast'!B39-1</x:f>
        <x:v>0.7391304347826089</x:v>
      </x:c>
      <x:c r="D40" s="356" t="n">
        <x:f>'Forecast'!D39/'Forecast'!C39-1</x:f>
        <x:v>0.5625</x:v>
      </x:c>
      <x:c r="E40" s="356" t="n">
        <x:f>'Forecast'!E39/'Forecast'!D39-1</x:f>
        <x:v>0.3999999999999999</x:v>
      </x:c>
      <x:c r="F40" s="356" t="n">
        <x:f>'Forecast'!F39/'Forecast'!E39-1</x:f>
        <x:v>0.34285714285714275</x:v>
      </x:c>
      <x:c r="G40" s="356" t="n">
        <x:f>'Forecast'!G39/'Forecast'!F39-1</x:f>
        <x:v>0.31914893617021267</x:v>
      </x:c>
      <x:c r="H40" s="356" t="n">
        <x:f>'Forecast'!H39/'Forecast'!G39-1</x:f>
        <x:v>0.25806451612903225</x:v>
      </x:c>
      <x:c r="I40" s="356" t="n">
        <x:f>'Forecast'!I39/'Forecast'!H39-1</x:f>
        <x:v>0.20512820512820507</x:v>
      </x:c>
      <x:c r="J40" s="356" t="n">
        <x:f>'Forecast'!J39/'Forecast'!I39-1</x:f>
        <x:v>0.17021276595744683</x:v>
      </x:c>
      <x:c r="K40" s="356" t="n">
        <x:f>'Forecast'!K39/'Forecast'!J39-1</x:f>
        <x:v>0.13636363636363646</x:v>
      </x:c>
      <x:c r="L40" s="356" t="n">
        <x:f>'Forecast'!L39/'Forecast'!K39-1</x:f>
        <x:v>0.10000000000000009</x:v>
      </x:c>
      <x:c r="M40" s="356" t="n">
        <x:f>'Forecast'!M39/'Forecast'!L39-1</x:f>
        <x:v>0.08000000000000007</x:v>
      </x:c>
      <x:c r="N40" s="356" t="n">
        <x:f>'Forecast'!N39/'Forecast'!M39-1</x:f>
        <x:v>0.08013468013468028</x:v>
      </x:c>
      <x:c r="O40" s="356" t="n">
        <x:f>'Forecast'!O39/'Forecast'!N39-1</x:f>
        <x:v>0.07980049875311712</x:v>
      </x:c>
      <x:c r="P40" s="356" t="n">
        <x:f>'Forecast'!P39/'Forecast'!O39-1</x:f>
        <x:v>0.08025404157043892</x:v>
      </x:c>
    </x:row>
    <x:row r="41">
      <x:c r="A41" s="308" t="str">
        <x:v>Gross margin</x:v>
      </x:c>
      <x:c r="B41" s="356" t="n">
        <x:v>0.89</x:v>
      </x:c>
      <x:c r="C41" s="356" t="n">
        <x:v>0.89</x:v>
      </x:c>
      <x:c r="D41" s="356" t="n">
        <x:v>0.89</x:v>
      </x:c>
      <x:c r="E41" s="356" t="n">
        <x:v>0.89</x:v>
      </x:c>
      <x:c r="F41" s="356" t="n">
        <x:v>0.89</x:v>
      </x:c>
      <x:c r="G41" s="356" t="n">
        <x:v>0.89</x:v>
      </x:c>
      <x:c r="H41" s="356" t="n">
        <x:v>0.89</x:v>
      </x:c>
      <x:c r="I41" s="356" t="n">
        <x:v>0.89</x:v>
      </x:c>
      <x:c r="J41" s="356" t="n">
        <x:v>0.89</x:v>
      </x:c>
      <x:c r="K41" s="356" t="n">
        <x:v>0.89</x:v>
      </x:c>
      <x:c r="L41" s="356" t="n">
        <x:v>0.89</x:v>
      </x:c>
      <x:c r="M41" s="356" t="n">
        <x:v>0.89</x:v>
      </x:c>
      <x:c r="N41" s="356" t="n">
        <x:v>0.89</x:v>
      </x:c>
      <x:c r="O41" s="356" t="n">
        <x:v>0.89</x:v>
      </x:c>
      <x:c r="P41" s="356" t="n">
        <x:v>0.89</x:v>
      </x:c>
    </x:row>
    <x:row r="42">
      <x:c r="A42" s="308" t="str">
        <x:v>Gross profit</x:v>
      </x:c>
      <x:c r="B42" s="322" t="n">
        <x:f>'Forecast'!B39*'Forecast'!B41</x:f>
        <x:v>8.187999999999999</x:v>
      </x:c>
      <x:c r="C42" s="322" t="n">
        <x:f>'Forecast'!C39*'Forecast'!C41</x:f>
        <x:v>14.24</x:v>
      </x:c>
      <x:c r="D42" s="322" t="n">
        <x:f>'Forecast'!D39*'Forecast'!D41</x:f>
        <x:v>22.25</x:v>
      </x:c>
      <x:c r="E42" s="322" t="n">
        <x:f>'Forecast'!E39*'Forecast'!E41</x:f>
        <x:v>31.150000000000002</x:v>
      </x:c>
      <x:c r="F42" s="322" t="n">
        <x:f>'Forecast'!F39*'Forecast'!F41</x:f>
        <x:v>41.83</x:v>
      </x:c>
      <x:c r="G42" s="322" t="n">
        <x:f>'Forecast'!G39*'Forecast'!G41</x:f>
        <x:v>55.18</x:v>
      </x:c>
      <x:c r="H42" s="322" t="n">
        <x:f>'Forecast'!H39*'Forecast'!H41</x:f>
        <x:v>69.42</x:v>
      </x:c>
      <x:c r="I42" s="322" t="n">
        <x:f>'Forecast'!I39*'Forecast'!I41</x:f>
        <x:v>83.66</x:v>
      </x:c>
      <x:c r="J42" s="322" t="n">
        <x:f>'Forecast'!J39*'Forecast'!J41</x:f>
        <x:v>97.9</x:v>
      </x:c>
      <x:c r="K42" s="322" t="n">
        <x:f>'Forecast'!K39*'Forecast'!K41</x:f>
        <x:v>111.25</x:v>
      </x:c>
      <x:c r="L42" s="322" t="n">
        <x:f>'Forecast'!L39*'Forecast'!L41</x:f>
        <x:v>122.375</x:v>
      </x:c>
      <x:c r="M42" s="322" t="n">
        <x:f>'Forecast'!M39*'Forecast'!M41</x:f>
        <x:v>132.165</x:v>
      </x:c>
      <x:c r="N42" s="322" t="n">
        <x:f>'Forecast'!N39*'Forecast'!N41</x:f>
        <x:v>142.756</x:v>
      </x:c>
      <x:c r="O42" s="322" t="n">
        <x:f>'Forecast'!O39*'Forecast'!O41</x:f>
        <x:v>154.148</x:v>
      </x:c>
      <x:c r="P42" s="322" t="n">
        <x:f>'Forecast'!P39*'Forecast'!P41</x:f>
        <x:v>166.519</x:v>
      </x:c>
    </x:row>
    <x:row r="43">
      <x:c r="A43" s="308" t="str">
        <x:v>EBIT margin</x:v>
      </x:c>
      <x:c r="B43" s="356" t="n">
        <x:f>'Assumptions'!B40</x:f>
        <x:v>-0.35</x:v>
      </x:c>
      <x:c r="C43" s="356" t="n">
        <x:f>'Assumptions'!C40</x:f>
        <x:v>0</x:v>
      </x:c>
      <x:c r="D43" s="356" t="n">
        <x:f>'Assumptions'!D40</x:f>
        <x:v>0.1</x:v>
      </x:c>
      <x:c r="E43" s="356" t="n">
        <x:f>'Assumptions'!E40</x:f>
        <x:v>0.18</x:v>
      </x:c>
      <x:c r="F43" s="356" t="n">
        <x:f>'Assumptions'!F40</x:f>
        <x:v>0.24</x:v>
      </x:c>
      <x:c r="G43" s="356" t="n">
        <x:f>'Assumptions'!G40</x:f>
        <x:v>0.27</x:v>
      </x:c>
      <x:c r="H43" s="356" t="n">
        <x:f>'Assumptions'!H40</x:f>
        <x:v>0.28</x:v>
      </x:c>
      <x:c r="I43" s="356" t="n">
        <x:f>'Assumptions'!I40</x:f>
        <x:v>0.29</x:v>
      </x:c>
      <x:c r="J43" s="356" t="n">
        <x:f>'Assumptions'!J40</x:f>
        <x:v>0.295</x:v>
      </x:c>
      <x:c r="K43" s="356" t="n">
        <x:f>'Assumptions'!K40</x:f>
        <x:v>0.3</x:v>
      </x:c>
      <x:c r="L43" s="356" t="n">
        <x:f>'Assumptions'!L40</x:f>
        <x:v>0.3</x:v>
      </x:c>
      <x:c r="M43" s="356" t="n">
        <x:f>'Assumptions'!M40</x:f>
        <x:v>0.3</x:v>
      </x:c>
      <x:c r="N43" s="356" t="n">
        <x:f>'Assumptions'!N40</x:f>
        <x:v>0.3</x:v>
      </x:c>
      <x:c r="O43" s="356" t="n">
        <x:f>'Assumptions'!O40</x:f>
        <x:v>0.3</x:v>
      </x:c>
      <x:c r="P43" s="356" t="n">
        <x:f>'Assumptions'!P40</x:f>
        <x:v>0.3</x:v>
      </x:c>
    </x:row>
    <x:row r="44">
      <x:c r="A44" s="308" t="str">
        <x:v>EBIT</x:v>
      </x:c>
      <x:c r="B44" s="357" t="n">
        <x:f>'Forecast'!B39*'Forecast'!B43</x:f>
        <x:v>-3.2199999999999998</x:v>
      </x:c>
      <x:c r="C44" s="357" t="n">
        <x:f>'Forecast'!C39*'Forecast'!C43</x:f>
        <x:v>0</x:v>
      </x:c>
      <x:c r="D44" s="357" t="n">
        <x:f>'Forecast'!D39*'Forecast'!D43</x:f>
        <x:v>2.5</x:v>
      </x:c>
      <x:c r="E44" s="357" t="n">
        <x:f>'Forecast'!E39*'Forecast'!E43</x:f>
        <x:v>6.3</x:v>
      </x:c>
      <x:c r="F44" s="357" t="n">
        <x:f>'Forecast'!F39*'Forecast'!F43</x:f>
        <x:v>11.28</x:v>
      </x:c>
      <x:c r="G44" s="357" t="n">
        <x:f>'Forecast'!G39*'Forecast'!G43</x:f>
        <x:v>16.740000000000002</x:v>
      </x:c>
      <x:c r="H44" s="357" t="n">
        <x:f>'Forecast'!H39*'Forecast'!H43</x:f>
        <x:v>21.840000000000003</x:v>
      </x:c>
      <x:c r="I44" s="357" t="n">
        <x:f>'Forecast'!I39*'Forecast'!I43</x:f>
        <x:v>27.259999999999998</x:v>
      </x:c>
      <x:c r="J44" s="357" t="n">
        <x:f>'Forecast'!J39*'Forecast'!J43</x:f>
        <x:v>32.449999999999996</x:v>
      </x:c>
      <x:c r="K44" s="357" t="n">
        <x:f>'Forecast'!K39*'Forecast'!K43</x:f>
        <x:v>37.5</x:v>
      </x:c>
      <x:c r="L44" s="357" t="n">
        <x:f>'Forecast'!L39*'Forecast'!L43</x:f>
        <x:v>41.25</x:v>
      </x:c>
      <x:c r="M44" s="357" t="n">
        <x:f>'Forecast'!M39*'Forecast'!M43</x:f>
        <x:v>44.55</x:v>
      </x:c>
      <x:c r="N44" s="357" t="n">
        <x:f>'Forecast'!N39*'Forecast'!N43</x:f>
        <x:v>48.12</x:v>
      </x:c>
      <x:c r="O44" s="357" t="n">
        <x:f>'Forecast'!O39*'Forecast'!O43</x:f>
        <x:v>51.959999999999994</x:v>
      </x:c>
      <x:c r="P44" s="357" t="n">
        <x:f>'Forecast'!P39*'Forecast'!P43</x:f>
        <x:v>56.129999999999995</x:v>
      </x:c>
    </x:row>
    <x:row r="45">
      <x:c r="A45" s="308" t="str">
        <x:v>Cash tax</x:v>
      </x:c>
      <x:c r="B45" s="357" t="n">
        <x:f>(MAX(0,'Forecast'!B44)-MIN(0.8*MAX(0,'Forecast'!B44),MAX(0,'Assumptions'!$B$17-0.8*(0))))*'Assumptions'!$B$10</x:f>
        <x:v>0</x:v>
      </x:c>
      <x:c r="C45" s="357" t="n">
        <x:f>(MAX(0,'Forecast'!C44)-MIN(0.8*MAX(0,'Forecast'!C44),MAX(0,'Assumptions'!$B$17-0.8*(MAX(0,'Forecast'!B44)))))*'Assumptions'!$B$10</x:f>
        <x:v>0</x:v>
      </x:c>
      <x:c r="D45" s="357" t="n">
        <x:f>(MAX(0,'Forecast'!D44)-MIN(0.8*MAX(0,'Forecast'!D44),MAX(0,'Assumptions'!$B$17-0.8*(MAX(0,'Forecast'!B44)+MAX(0,'Forecast'!C44)))))*'Assumptions'!$B$10</x:f>
        <x:v>0.105</x:v>
      </x:c>
      <x:c r="E45" s="357" t="n">
        <x:f>(MAX(0,'Forecast'!E44)-MIN(0.8*MAX(0,'Forecast'!E44),MAX(0,'Assumptions'!$B$17-0.8*(MAX(0,'Forecast'!B44)+MAX(0,'Forecast'!C44)+MAX(0,'Forecast'!D44)))))*'Assumptions'!$B$10</x:f>
        <x:v>0.26459999999999995</x:v>
      </x:c>
      <x:c r="F45" s="357" t="n">
        <x:f>(MAX(0,'Forecast'!F44)-MIN(0.8*MAX(0,'Forecast'!F44),MAX(0,'Assumptions'!$B$17-0.8*(MAX(0,'Forecast'!B44)+MAX(0,'Forecast'!C44)+MAX(0,'Forecast'!D44)+MAX(0,'Forecast'!E44)))))*'Assumptions'!$B$10</x:f>
        <x:v>0.47376</x:v>
      </x:c>
      <x:c r="G45" s="357" t="n">
        <x:f>(MAX(0,'Forecast'!G44)-MIN(0.8*MAX(0,'Forecast'!G44),MAX(0,'Assumptions'!$B$17-0.8*(MAX(0,'Forecast'!B44)+MAX(0,'Forecast'!C44)+MAX(0,'Forecast'!D44)+MAX(0,'Forecast'!E44)+MAX(0,'Forecast'!F44)))))*'Assumptions'!$B$10</x:f>
        <x:v>0.7030799999999997</x:v>
      </x:c>
      <x:c r="H45" s="357" t="n">
        <x:f>(MAX(0,'Forecast'!H44)-MIN(0.8*MAX(0,'Forecast'!H44),MAX(0,'Assumptions'!$B$17-0.8*(MAX(0,'Forecast'!B44)+MAX(0,'Forecast'!C44)+MAX(0,'Forecast'!D44)+MAX(0,'Forecast'!E44)+MAX(0,'Forecast'!F44)+MAX(0,'Forecast'!G44)))))*'Assumptions'!$B$10</x:f>
        <x:v>1.708560000000002</x:v>
      </x:c>
      <x:c r="I45" s="357" t="n">
        <x:f>(MAX(0,'Forecast'!I44)-MIN(0.8*MAX(0,'Forecast'!I44),MAX(0,'Assumptions'!$B$17-0.8*(MAX(0,'Forecast'!B44)+MAX(0,'Forecast'!C44)+MAX(0,'Forecast'!D44)+MAX(0,'Forecast'!E44)+MAX(0,'Forecast'!F44)+MAX(0,'Forecast'!G44)+MAX(0,'Forecast'!H44)))))*'Assumptions'!$B$10</x:f>
        <x:v>5.7246</x:v>
      </x:c>
      <x:c r="J45" s="357" t="n">
        <x:f>(MAX(0,'Forecast'!J44)-MIN(0.8*MAX(0,'Forecast'!J44),MAX(0,'Assumptions'!$B$17-0.8*(MAX(0,'Forecast'!B44)+MAX(0,'Forecast'!C44)+MAX(0,'Forecast'!D44)+MAX(0,'Forecast'!E44)+MAX(0,'Forecast'!F44)+MAX(0,'Forecast'!G44)+MAX(0,'Forecast'!H44)+MAX(0,'Forecast'!I44)))))*'Assumptions'!$B$10</x:f>
        <x:v>6.814499999999999</x:v>
      </x:c>
      <x:c r="K45" s="357" t="n">
        <x:f>(MAX(0,'Forecast'!K44)-MIN(0.8*MAX(0,'Forecast'!K44),MAX(0,'Assumptions'!$B$17-0.8*(MAX(0,'Forecast'!B44)+MAX(0,'Forecast'!C44)+MAX(0,'Forecast'!D44)+MAX(0,'Forecast'!E44)+MAX(0,'Forecast'!F44)+MAX(0,'Forecast'!G44)+MAX(0,'Forecast'!H44)+MAX(0,'Forecast'!I44)+MAX(0,'Forecast'!J44)))))*'Assumptions'!$B$10</x:f>
        <x:v>7.875</x:v>
      </x:c>
      <x:c r="L45" s="357" t="n">
        <x:f>(MAX(0,'Forecast'!L44)-MIN(0.8*MAX(0,'Forecast'!L44),MAX(0,'Assumptions'!$B$17-0.8*(MAX(0,'Forecast'!B44)+MAX(0,'Forecast'!C44)+MAX(0,'Forecast'!D44)+MAX(0,'Forecast'!E44)+MAX(0,'Forecast'!F44)+MAX(0,'Forecast'!G44)+MAX(0,'Forecast'!H44)+MAX(0,'Forecast'!I44)+MAX(0,'Forecast'!J44)+MAX(0,'Forecast'!K44)))))*'Assumptions'!$B$10</x:f>
        <x:v>8.6625</x:v>
      </x:c>
      <x:c r="M45" s="357" t="n">
        <x:f>(MAX(0,'Forecast'!M44)-MIN(0.8*MAX(0,'Forecast'!M44),MAX(0,'Assumptions'!$B$17-0.8*(MAX(0,'Forecast'!B44)+MAX(0,'Forecast'!C44)+MAX(0,'Forecast'!D44)+MAX(0,'Forecast'!E44)+MAX(0,'Forecast'!F44)+MAX(0,'Forecast'!G44)+MAX(0,'Forecast'!H44)+MAX(0,'Forecast'!I44)+MAX(0,'Forecast'!J44)+MAX(0,'Forecast'!K44)+MAX(0,'Forecast'!L44)))))*'Assumptions'!$B$10</x:f>
        <x:v>9.3555</x:v>
      </x:c>
      <x:c r="N45" s="357" t="n">
        <x:f>(MAX(0,'Forecast'!N44)-MIN(0.8*MAX(0,'Forecast'!N44),MAX(0,'Assumptions'!$B$17-0.8*(MAX(0,'Forecast'!B44)+MAX(0,'Forecast'!C44)+MAX(0,'Forecast'!D44)+MAX(0,'Forecast'!E44)+MAX(0,'Forecast'!F44)+MAX(0,'Forecast'!G44)+MAX(0,'Forecast'!H44)+MAX(0,'Forecast'!I44)+MAX(0,'Forecast'!J44)+MAX(0,'Forecast'!K44)+MAX(0,'Forecast'!L44)+MAX(0,'Forecast'!M44)))))*'Assumptions'!$B$10</x:f>
        <x:v>10.1052</x:v>
      </x:c>
      <x:c r="O45" s="357" t="n">
        <x:f>(MAX(0,'Forecast'!O44)-MIN(0.8*MAX(0,'Forecast'!O44),MAX(0,'Assumptions'!$B$17-0.8*(MAX(0,'Forecast'!B44)+MAX(0,'Forecast'!C44)+MAX(0,'Forecast'!D44)+MAX(0,'Forecast'!E44)+MAX(0,'Forecast'!F44)+MAX(0,'Forecast'!G44)+MAX(0,'Forecast'!H44)+MAX(0,'Forecast'!I44)+MAX(0,'Forecast'!J44)+MAX(0,'Forecast'!K44)+MAX(0,'Forecast'!L44)+MAX(0,'Forecast'!M44)+MAX(0,'Forecast'!N44)))))*'Assumptions'!$B$10</x:f>
        <x:v>10.911599999999998</x:v>
      </x:c>
      <x:c r="P45" s="357" t="n">
        <x:f>(MAX(0,'Forecast'!P44)-MIN(0.8*MAX(0,'Forecast'!P44),MAX(0,'Assumptions'!$B$17-0.8*(MAX(0,'Forecast'!B44)+MAX(0,'Forecast'!C44)+MAX(0,'Forecast'!D44)+MAX(0,'Forecast'!E44)+MAX(0,'Forecast'!F44)+MAX(0,'Forecast'!G44)+MAX(0,'Forecast'!H44)+MAX(0,'Forecast'!I44)+MAX(0,'Forecast'!J44)+MAX(0,'Forecast'!K44)+MAX(0,'Forecast'!L44)+MAX(0,'Forecast'!M44)+MAX(0,'Forecast'!N44)+MAX(0,'Forecast'!O44)))))*'Assumptions'!$B$10</x:f>
        <x:v>11.787299999999998</x:v>
      </x:c>
    </x:row>
    <x:row r="46">
      <x:c r="A46" s="308" t="str">
        <x:v>D&amp;A</x:v>
      </x:c>
      <x:c r="B46" s="357" t="n">
        <x:f>'Forecast'!B39*'Assumptions'!$B$11</x:f>
        <x:v>0.13799999999999998</x:v>
      </x:c>
      <x:c r="C46" s="357" t="n">
        <x:f>'Forecast'!C39*'Assumptions'!$B$11</x:f>
        <x:v>0.24</x:v>
      </x:c>
      <x:c r="D46" s="357" t="n">
        <x:f>'Forecast'!D39*'Assumptions'!$B$11</x:f>
        <x:v>0.375</x:v>
      </x:c>
      <x:c r="E46" s="357" t="n">
        <x:f>'Forecast'!E39*'Assumptions'!$B$11</x:f>
        <x:v>0.525</x:v>
      </x:c>
      <x:c r="F46" s="357" t="n">
        <x:f>'Forecast'!F39*'Assumptions'!$B$11</x:f>
        <x:v>0.705</x:v>
      </x:c>
      <x:c r="G46" s="357" t="n">
        <x:f>'Forecast'!G39*'Assumptions'!$B$11</x:f>
        <x:v>0.9299999999999999</x:v>
      </x:c>
      <x:c r="H46" s="357" t="n">
        <x:f>'Forecast'!H39*'Assumptions'!$B$11</x:f>
        <x:v>1.17</x:v>
      </x:c>
      <x:c r="I46" s="357" t="n">
        <x:f>'Forecast'!I39*'Assumptions'!$B$11</x:f>
        <x:v>1.41</x:v>
      </x:c>
      <x:c r="J46" s="357" t="n">
        <x:f>'Forecast'!J39*'Assumptions'!$B$11</x:f>
        <x:v>1.65</x:v>
      </x:c>
      <x:c r="K46" s="357" t="n">
        <x:f>'Forecast'!K39*'Assumptions'!$B$11</x:f>
        <x:v>1.875</x:v>
      </x:c>
      <x:c r="L46" s="357" t="n">
        <x:f>'Forecast'!L39*'Assumptions'!$B$11</x:f>
        <x:v>2.0625</x:v>
      </x:c>
      <x:c r="M46" s="357" t="n">
        <x:f>'Forecast'!M39*'Assumptions'!$B$11</x:f>
        <x:v>2.2275</x:v>
      </x:c>
      <x:c r="N46" s="357" t="n">
        <x:f>'Forecast'!N39*'Assumptions'!$B$11</x:f>
        <x:v>2.406</x:v>
      </x:c>
      <x:c r="O46" s="357" t="n">
        <x:f>'Forecast'!O39*'Assumptions'!$B$11</x:f>
        <x:v>2.598</x:v>
      </x:c>
      <x:c r="P46" s="357" t="n">
        <x:f>'Forecast'!P39*'Assumptions'!$B$11</x:f>
        <x:v>2.8064999999999998</x:v>
      </x:c>
    </x:row>
    <x:row r="47">
      <x:c r="A47" s="308" t="str">
        <x:v>Capex</x:v>
      </x:c>
      <x:c r="B47" s="357" t="n">
        <x:f>'Forecast'!B39*'Assumptions'!$B$12</x:f>
        <x:v>0.184</x:v>
      </x:c>
      <x:c r="C47" s="357" t="n">
        <x:f>'Forecast'!C39*'Assumptions'!$B$12</x:f>
        <x:v>0.32</x:v>
      </x:c>
      <x:c r="D47" s="357" t="n">
        <x:f>'Forecast'!D39*'Assumptions'!$B$12</x:f>
        <x:v>0.5</x:v>
      </x:c>
      <x:c r="E47" s="357" t="n">
        <x:f>'Forecast'!E39*'Assumptions'!$B$12</x:f>
        <x:v>0.7000000000000001</x:v>
      </x:c>
      <x:c r="F47" s="357" t="n">
        <x:f>'Forecast'!F39*'Assumptions'!$B$12</x:f>
        <x:v>0.9400000000000001</x:v>
      </x:c>
      <x:c r="G47" s="357" t="n">
        <x:f>'Forecast'!G39*'Assumptions'!$B$12</x:f>
        <x:v>1.24</x:v>
      </x:c>
      <x:c r="H47" s="357" t="n">
        <x:f>'Forecast'!H39*'Assumptions'!$B$12</x:f>
        <x:v>1.56</x:v>
      </x:c>
      <x:c r="I47" s="357" t="n">
        <x:f>'Forecast'!I39*'Assumptions'!$B$12</x:f>
        <x:v>1.8800000000000001</x:v>
      </x:c>
      <x:c r="J47" s="357" t="n">
        <x:f>'Forecast'!J39*'Assumptions'!$B$12</x:f>
        <x:v>2.2</x:v>
      </x:c>
      <x:c r="K47" s="357" t="n">
        <x:f>'Forecast'!K39*'Assumptions'!$B$12</x:f>
        <x:v>2.5</x:v>
      </x:c>
      <x:c r="L47" s="357" t="n">
        <x:f>'Forecast'!L39*'Assumptions'!$B$12</x:f>
        <x:v>2.75</x:v>
      </x:c>
      <x:c r="M47" s="357" t="n">
        <x:f>'Forecast'!M39*'Assumptions'!$B$12</x:f>
        <x:v>2.97</x:v>
      </x:c>
      <x:c r="N47" s="357" t="n">
        <x:f>'Forecast'!N39*'Assumptions'!$B$12</x:f>
        <x:v>3.208</x:v>
      </x:c>
      <x:c r="O47" s="357" t="n">
        <x:f>'Forecast'!O39*'Assumptions'!$B$12</x:f>
        <x:v>3.464</x:v>
      </x:c>
      <x:c r="P47" s="357" t="n">
        <x:f>'Forecast'!P39*'Assumptions'!$B$12</x:f>
        <x:v>3.742</x:v>
      </x:c>
    </x:row>
    <x:row r="48">
      <x:c r="A48" s="308" t="str">
        <x:v>NWC investment</x:v>
      </x:c>
      <x:c r="B48" s="357" t="n">
        <x:f>('Forecast'!B39-'Assumptions'!$B$14)*'Assumptions'!$B$13</x:f>
        <x:v>0.28154999999999997</x:v>
      </x:c>
      <x:c r="C48" s="357" t="n">
        <x:f>('Forecast'!C39-'Forecast'!B39)*'Assumptions'!$B$13</x:f>
        <x:v>0.3400000000000001</x:v>
      </x:c>
      <x:c r="D48" s="357" t="n">
        <x:f>('Forecast'!D39-'Forecast'!C39)*'Assumptions'!$B$13</x:f>
        <x:v>0.45</x:v>
      </x:c>
      <x:c r="E48" s="357" t="n">
        <x:f>('Forecast'!E39-'Forecast'!D39)*'Assumptions'!$B$13</x:f>
        <x:v>0.5</x:v>
      </x:c>
      <x:c r="F48" s="357" t="n">
        <x:f>('Forecast'!F39-'Forecast'!E39)*'Assumptions'!$B$13</x:f>
        <x:v>0.6000000000000001</x:v>
      </x:c>
      <x:c r="G48" s="357" t="n">
        <x:f>('Forecast'!G39-'Forecast'!F39)*'Assumptions'!$B$13</x:f>
        <x:v>0.75</x:v>
      </x:c>
      <x:c r="H48" s="357" t="n">
        <x:f>('Forecast'!H39-'Forecast'!G39)*'Assumptions'!$B$13</x:f>
        <x:v>0.8</x:v>
      </x:c>
      <x:c r="I48" s="357" t="n">
        <x:f>('Forecast'!I39-'Forecast'!H39)*'Assumptions'!$B$13</x:f>
        <x:v>0.8</x:v>
      </x:c>
      <x:c r="J48" s="357" t="n">
        <x:f>('Forecast'!J39-'Forecast'!I39)*'Assumptions'!$B$13</x:f>
        <x:v>0.8</x:v>
      </x:c>
      <x:c r="K48" s="357" t="n">
        <x:f>('Forecast'!K39-'Forecast'!J39)*'Assumptions'!$B$13</x:f>
        <x:v>0.75</x:v>
      </x:c>
      <x:c r="L48" s="357" t="n">
        <x:f>('Forecast'!L39-'Forecast'!K39)*'Assumptions'!$B$13</x:f>
        <x:v>0.625</x:v>
      </x:c>
      <x:c r="M48" s="357" t="n">
        <x:f>('Forecast'!M39-'Forecast'!L39)*'Assumptions'!$B$13</x:f>
        <x:v>0.55</x:v>
      </x:c>
      <x:c r="N48" s="357" t="n">
        <x:f>('Forecast'!N39-'Forecast'!M39)*'Assumptions'!$B$13</x:f>
        <x:v>0.5950000000000003</x:v>
      </x:c>
      <x:c r="O48" s="357" t="n">
        <x:f>('Forecast'!O39-'Forecast'!N39)*'Assumptions'!$B$13</x:f>
        <x:v>0.6399999999999992</x:v>
      </x:c>
      <x:c r="P48" s="357" t="n">
        <x:f>('Forecast'!P39-'Forecast'!O39)*'Assumptions'!$B$13</x:f>
        <x:v>0.6950000000000003</x:v>
      </x:c>
    </x:row>
    <x:row r="49">
      <x:c r="A49" s="358" t="str">
        <x:v>FCFF</x:v>
      </x:c>
      <x:c r="B49" s="359" t="n">
        <x:f>'Forecast'!B44-'Forecast'!B45+'Forecast'!B46-'Forecast'!B47-'Forecast'!B48</x:f>
        <x:v>-3.54755</x:v>
      </x:c>
      <x:c r="C49" s="359" t="n">
        <x:f>'Forecast'!C44-'Forecast'!C45+'Forecast'!C46-'Forecast'!C47-'Forecast'!C48</x:f>
        <x:v>-0.4200000000000001</x:v>
      </x:c>
      <x:c r="D49" s="359" t="n">
        <x:f>'Forecast'!D44-'Forecast'!D45+'Forecast'!D46-'Forecast'!D47-'Forecast'!D48</x:f>
        <x:v>1.82</x:v>
      </x:c>
      <x:c r="E49" s="359" t="n">
        <x:f>'Forecast'!E44-'Forecast'!E45+'Forecast'!E46-'Forecast'!E47-'Forecast'!E48</x:f>
        <x:v>5.3604</x:v>
      </x:c>
      <x:c r="F49" s="359" t="n">
        <x:f>'Forecast'!F44-'Forecast'!F45+'Forecast'!F46-'Forecast'!F47-'Forecast'!F48</x:f>
        <x:v>9.97124</x:v>
      </x:c>
      <x:c r="G49" s="359" t="n">
        <x:f>'Forecast'!G44-'Forecast'!G45+'Forecast'!G46-'Forecast'!G47-'Forecast'!G48</x:f>
        <x:v>14.976920000000002</x:v>
      </x:c>
      <x:c r="H49" s="359" t="n">
        <x:f>'Forecast'!H44-'Forecast'!H45+'Forecast'!H46-'Forecast'!H47-'Forecast'!H48</x:f>
        <x:v>18.94144</x:v>
      </x:c>
      <x:c r="I49" s="359" t="n">
        <x:f>'Forecast'!I44-'Forecast'!I45+'Forecast'!I46-'Forecast'!I47-'Forecast'!I48</x:f>
        <x:v>20.2654</x:v>
      </x:c>
      <x:c r="J49" s="359" t="n">
        <x:f>'Forecast'!J44-'Forecast'!J45+'Forecast'!J46-'Forecast'!J47-'Forecast'!J48</x:f>
        <x:v>24.285499999999995</x:v>
      </x:c>
      <x:c r="K49" s="359" t="n">
        <x:f>'Forecast'!K44-'Forecast'!K45+'Forecast'!K46-'Forecast'!K47-'Forecast'!K48</x:f>
        <x:v>28.25</x:v>
      </x:c>
      <x:c r="L49" s="359" t="n">
        <x:f>'Forecast'!L44-'Forecast'!L45+'Forecast'!L46-'Forecast'!L47-'Forecast'!L48</x:f>
        <x:v>31.275</x:v>
      </x:c>
      <x:c r="M49" s="359" t="n">
        <x:f>'Forecast'!M44-'Forecast'!M45+'Forecast'!M46-'Forecast'!M47-'Forecast'!M48</x:f>
        <x:v>33.902</x:v>
      </x:c>
      <x:c r="N49" s="359" t="n">
        <x:f>'Forecast'!N44-'Forecast'!N45+'Forecast'!N46-'Forecast'!N47-'Forecast'!N48</x:f>
        <x:v>36.617799999999995</x:v>
      </x:c>
      <x:c r="O49" s="359" t="n">
        <x:f>'Forecast'!O44-'Forecast'!O45+'Forecast'!O46-'Forecast'!O47-'Forecast'!O48</x:f>
        <x:v>39.542399999999994</x:v>
      </x:c>
      <x:c r="P49" s="359" t="n">
        <x:f>'Forecast'!P44-'Forecast'!P45+'Forecast'!P46-'Forecast'!P47-'Forecast'!P48</x:f>
        <x:v>42.712199999999996</x:v>
      </x:c>
    </x:row>
    <x:row r="50">
      <x:c r="A50" s="308" t="str">
        <x:v>Discount factor</x:v>
      </x:c>
      <x:c r="B50" s="360" t="n">
        <x:f>1/(1+'Assumptions'!$M8)^(B38-2025)</x:f>
        <x:v>0.8403361344537815</x:v>
      </x:c>
      <x:c r="C50" s="360" t="n">
        <x:f>1/(1+'Assumptions'!$M8)^(C38-2025)</x:f>
        <x:v>0.706164818868724</x:v>
      </x:c>
      <x:c r="D50" s="360" t="n">
        <x:f>1/(1+'Assumptions'!$M8)^(D38-2025)</x:f>
        <x:v>0.5934158141753983</x:v>
      </x:c>
      <x:c r="E50" s="360" t="n">
        <x:f>1/(1+'Assumptions'!$M8)^(E38-2025)</x:f>
        <x:v>0.4986687514078978</x:v>
      </x:c>
      <x:c r="F50" s="360" t="n">
        <x:f>1/(1+'Assumptions'!$M8)^(F38-2025)</x:f>
        <x:v>0.41904937093100664</x:v>
      </x:c>
      <x:c r="G50" s="360" t="n">
        <x:f>1/(1+'Assumptions'!$M8)^(G38-2025)</x:f>
        <x:v>0.3521423285134509</x:v>
      </x:c>
      <x:c r="H50" s="360" t="n">
        <x:f>1/(1+'Assumptions'!$M8)^(H38-2025)</x:f>
        <x:v>0.295917923120547</x:v>
      </x:c>
      <x:c r="I50" s="360" t="n">
        <x:f>1/(1+'Assumptions'!$M8)^(I38-2025)</x:f>
        <x:v>0.24867052363071177</x:v>
      </x:c>
      <x:c r="J50" s="360" t="n">
        <x:f>1/(1+'Assumptions'!$M8)^(J38-2025)</x:f>
        <x:v>0.20896682658043006</x:v>
      </x:c>
      <x:c r="K50" s="360" t="n">
        <x:f>1/(1+'Assumptions'!$M8)^(K38-2025)</x:f>
        <x:v>0.17560237527767233</x:v>
      </x:c>
      <x:c r="L50" s="360" t="n">
        <x:f>1/(1+'Assumptions'!$M8)^(L38-2025)</x:f>
        <x:v>0.14756502124174145</x:v>
      </x:c>
      <x:c r="M50" s="360" t="n">
        <x:f>1/(1+'Assumptions'!$M8)^(M38-2025)</x:f>
        <x:v>0.12400421953087519</x:v>
      </x:c>
      <x:c r="N50" s="360" t="n">
        <x:f>1/(1+'Assumptions'!$M8)^(N38-2025)</x:f>
        <x:v>0.10420522649653378</x:v>
      </x:c>
      <x:c r="O50" s="360" t="n">
        <x:f>1/(1+'Assumptions'!$M8)^(O38-2025)</x:f>
        <x:v>0.08756741722397797</x:v>
      </x:c>
      <x:c r="P50" s="360" t="n">
        <x:f>1/(1+'Assumptions'!$M8)^(P38-2025)</x:f>
        <x:v>0.07358606489409913</x:v>
      </x:c>
    </x:row>
    <x:row r="51">
      <x:c r="A51" s="321" t="str">
        <x:v>PV FCFF</x:v>
      </x:c>
      <x:c r="B51" s="361" t="n">
        <x:f>'Forecast'!B49*'Forecast'!B50</x:f>
        <x:v>-2.9811344537815128</x:v>
      </x:c>
      <x:c r="C51" s="361" t="n">
        <x:f>'Forecast'!C49*'Forecast'!C50</x:f>
        <x:v>-0.29658922392486414</x:v>
      </x:c>
      <x:c r="D51" s="361" t="n">
        <x:f>'Forecast'!D49*'Forecast'!D50</x:f>
        <x:v>1.080016781799225</x:v>
      </x:c>
      <x:c r="E51" s="361" t="n">
        <x:f>'Forecast'!E49*'Forecast'!E50</x:f>
        <x:v>2.6730639750468956</x:v>
      </x:c>
      <x:c r="F51" s="361" t="n">
        <x:f>'Forecast'!F49*'Forecast'!F50</x:f>
        <x:v>4.17844184940209</x:v>
      </x:c>
      <x:c r="G51" s="361" t="n">
        <x:f>'Forecast'!G49*'Forecast'!G50</x:f>
        <x:v>5.274007482759673</x:v>
      </x:c>
      <x:c r="H51" s="361" t="n">
        <x:f>'Forecast'!H49*'Forecast'!H50</x:f>
        <x:v>5.605111585712454</x:v>
      </x:c>
      <x:c r="I51" s="361" t="n">
        <x:f>'Forecast'!I49*'Forecast'!I50</x:f>
        <x:v>5.039407629585826</x:v>
      </x:c>
      <x:c r="J51" s="361" t="n">
        <x:f>'Forecast'!J49*'Forecast'!J50</x:f>
        <x:v>5.074863866919033</x:v>
      </x:c>
      <x:c r="K51" s="361" t="n">
        <x:f>'Forecast'!K49*'Forecast'!K50</x:f>
        <x:v>4.960767101594244</x:v>
      </x:c>
      <x:c r="L51" s="361" t="n">
        <x:f>'Forecast'!L49*'Forecast'!L50</x:f>
        <x:v>4.615096039335464</x:v>
      </x:c>
      <x:c r="M51" s="361" t="n">
        <x:f>'Forecast'!M49*'Forecast'!M50</x:f>
        <x:v>4.2039910505357305</x:v>
      </x:c>
      <x:c r="N51" s="361" t="n">
        <x:f>'Forecast'!N49*'Forecast'!N50</x:f>
        <x:v>3.815766142804774</x:v>
      </x:c>
      <x:c r="O51" s="361" t="n">
        <x:f>'Forecast'!O49*'Forecast'!O50</x:f>
        <x:v>3.462625838837426</x:v>
      </x:c>
      <x:c r="P51" s="361" t="n">
        <x:f>'Forecast'!P49*'Forecast'!P50</x:f>
        <x:v>3.1430227209697406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5" hidden="0" customWidth="1"/>
    <x:col min="5" max="5" width="15" hidden="0" customWidth="1"/>
    <x:col min="6" max="6" width="16" hidden="0" customWidth="1"/>
    <x:col min="7" max="7" width="14" hidden="0" customWidth="1"/>
    <x:col min="8" max="8" width="16" hidden="0" customWidth="1"/>
    <x:col min="9" max="9" width="15" hidden="0" customWidth="1"/>
    <x:col min="10" max="10" width="18" hidden="0" customWidth="1"/>
    <x:col min="11" max="11" width="18" hidden="0" customWidth="1"/>
    <x:col min="12" max="12" width="16" hidden="0" customWidth="1"/>
    <x:col min="13" max="13" width="14" hidden="0" customWidth="1"/>
    <x:col min="14" max="14" width="18" hidden="0" customWidth="1"/>
  </x:cols>
  <x:sheetData>
    <x:row r="1" ht="30" customHeight="1">
      <x:c r="A1" s="3" t="str">
        <x:v>Probability-Weighted FCFF Valuation</x:v>
      </x:c>
      <x:c r="B1" s="3" t="str">
        <x:v>Probability-Weighted FCFF Valuation</x:v>
      </x:c>
      <x:c r="C1" s="3" t="str">
        <x:v>Probability-Weighted FCFF Valuation</x:v>
      </x:c>
      <x:c r="D1" s="3" t="str">
        <x:v>Probability-Weighted FCFF Valuation</x:v>
      </x:c>
      <x:c r="E1" s="3" t="str">
        <x:v>Probability-Weighted FCFF Valuation</x:v>
      </x:c>
      <x:c r="F1" s="3" t="str">
        <x:v>Probability-Weighted FCFF Valuation</x:v>
      </x:c>
      <x:c r="G1" s="3" t="str">
        <x:v>Probability-Weighted FCFF Valuation</x:v>
      </x:c>
      <x:c r="H1" s="3" t="str">
        <x:v>Probability-Weighted FCFF Valuation</x:v>
      </x:c>
      <x:c r="I1" s="3" t="str">
        <x:v>Probability-Weighted FCFF Valuation</x:v>
      </x:c>
      <x:c r="J1" s="3" t="str">
        <x:v>Probability-Weighted FCFF Valuation</x:v>
      </x:c>
      <x:c r="K1" s="3" t="str">
        <x:v>Probability-Weighted FCFF Valuation</x:v>
      </x:c>
      <x:c r="L1" s="3" t="str">
        <x:v>Probability-Weighted FCFF Valuation</x:v>
      </x:c>
      <x:c r="M1" s="3" t="str">
        <x:v>Probability-Weighted FCFF Valuation</x:v>
      </x:c>
      <x:c r="N1" s="3" t="str">
        <x:v>Probability-Weighted FCFF Valuation</x:v>
      </x:c>
    </x:row>
    <x:row r="2">
      <x:c r="A2" s="300" t="str">
        <x:v>Primary method: 15-year unlevered FCFF for approved commercial operations. Negative FCFF remains in enterprise value; current cash and scenario financing proceeds are added once to post-money equity, while financing creates new shares at externally fixed prices.</x:v>
      </x:c>
      <x:c r="B2" s="300"/>
      <x:c r="C2" s="300"/>
      <x:c r="D2" s="300"/>
      <x:c r="E2" s="300"/>
      <x:c r="F2" s="300"/>
      <x:c r="G2" s="300"/>
      <x:c r="H2" s="300"/>
      <x:c r="I2" s="300"/>
      <x:c r="J2" s="300"/>
      <x:c r="K2" s="300"/>
      <x:c r="L2" s="300"/>
      <x:c r="M2" s="300"/>
      <x:c r="N2" s="300"/>
    </x:row>
    <x:row r="3">
      <x:c r="A3" s="9" t="str">
        <x:v>Scenario</x:v>
      </x:c>
      <x:c r="B3" s="10" t="str">
        <x:v>WACC</x:v>
      </x:c>
      <x:c r="C3" s="10" t="str">
        <x:v>Terminal g</x:v>
      </x:c>
      <x:c r="D3" s="10" t="str">
        <x:v>PV explicit</x:v>
      </x:c>
      <x:c r="E3" s="10" t="str">
        <x:v>PV terminal</x:v>
      </x:c>
      <x:c r="F3" s="10" t="str">
        <x:v>Enterprise value</x:v>
      </x:c>
      <x:c r="G3" s="10" t="str">
        <x:v>Cash</x:v>
      </x:c>
      <x:c r="H3" s="10" t="str">
        <x:v>Post-money equity</x:v>
      </x:c>
      <x:c r="I3" s="10" t="str">
        <x:v>Pre-fin FD</x:v>
      </x:c>
      <x:c r="J3" s="10" t="str">
        <x:v>New financing shares</x:v>
      </x:c>
      <x:c r="K3" s="10" t="str">
        <x:v>Fully diluted shares</x:v>
      </x:c>
      <x:c r="L3" s="10" t="str">
        <x:v>Value / share</x:v>
      </x:c>
      <x:c r="M3" s="10" t="str">
        <x:v>Probability</x:v>
      </x:c>
      <x:c r="N3" s="11" t="str">
        <x:v>Weighted contribution</x:v>
      </x:c>
    </x:row>
    <x:row r="4">
      <x:c r="A4" s="304" t="str">
        <x:v>Bear</x:v>
      </x:c>
      <x:c r="B4" s="379" t="n">
        <x:f>'Assumptions'!M6</x:f>
        <x:v>0.19</x:v>
      </x:c>
      <x:c r="C4" s="379" t="n">
        <x:f>'Assumptions'!N6</x:f>
        <x:v>0.025</x:v>
      </x:c>
      <x:c r="D4" s="380" t="n">
        <x:f>SUM('Forecast'!B17:P17)</x:f>
        <x:v>-12.18186392604565</x:v>
      </x:c>
      <x:c r="E4" s="380" t="n">
        <x:f>('Forecast'!P15*(1+C4)/(B4-C4))*'Forecast'!P16</x:f>
        <x:v>1.003390592446129</x:v>
      </x:c>
      <x:c r="F4" s="380" t="n">
        <x:f>D4+E4</x:f>
        <x:v>-11.178473333599522</x:v>
      </x:c>
      <x:c r="G4" s="380" t="n">
        <x:f>'Assumptions'!$B$9</x:f>
        <x:v>7.079</x:v>
      </x:c>
      <x:c r="H4" s="380" t="n">
        <x:f>MAX(0,F4+G4-'Assumptions'!$B$16+'Assumptions'!O6)</x:f>
        <x:v>5.799526666400478</x:v>
      </x:c>
      <x:c r="I4" s="381" t="n">
        <x:f>'Assumptions'!Q6</x:f>
        <x:v>19.224</x:v>
      </x:c>
      <x:c r="J4" s="381" t="n">
        <x:f>'Assumptions'!O6/'Assumptions'!P6</x:f>
        <x:v>4</x:v>
      </x:c>
      <x:c r="K4" s="381" t="n">
        <x:f>I4+J4</x:f>
        <x:v>23.224</x:v>
      </x:c>
      <x:c r="L4" s="382" t="n">
        <x:f>H4/K4</x:f>
        <x:v>0.24972126534621417</x:v>
      </x:c>
      <x:c r="M4" s="379" t="n">
        <x:f>'Assumptions'!L6</x:f>
        <x:v>0.3</x:v>
      </x:c>
      <x:c r="N4" s="382" t="n">
        <x:f>L4*M4</x:f>
        <x:v>0.07491637960386424</x:v>
      </x:c>
    </x:row>
    <x:row r="5">
      <x:c r="A5" s="383" t="str">
        <x:v>Base</x:v>
      </x:c>
      <x:c r="B5" s="384" t="n">
        <x:f>'Assumptions'!M7</x:f>
        <x:v>0.19</x:v>
      </x:c>
      <x:c r="C5" s="384" t="n">
        <x:f>'Assumptions'!N7</x:f>
        <x:v>0.025</x:v>
      </x:c>
      <x:c r="D5" s="385" t="n">
        <x:f>SUM('Forecast'!B34:P34)</x:f>
        <x:v>6.238771534445411</x:v>
      </x:c>
      <x:c r="E5" s="385" t="n">
        <x:f>('Forecast'!P32*(1+C5)/(B5-C5))*'Forecast'!P33</x:f>
        <x:v>4.61084719073943</x:v>
      </x:c>
      <x:c r="F5" s="385" t="n">
        <x:f>D5+E5</x:f>
        <x:v>10.849618725184841</x:v>
      </x:c>
      <x:c r="G5" s="385" t="n">
        <x:f>'Assumptions'!$B$9</x:f>
        <x:v>7.079</x:v>
      </x:c>
      <x:c r="H5" s="385" t="n">
        <x:f>MAX(0,F5+G5-'Assumptions'!$B$16+'Assumptions'!O7)</x:f>
        <x:v>22.82761872518484</x:v>
      </x:c>
      <x:c r="I5" s="386" t="n">
        <x:f>'Assumptions'!Q7</x:f>
        <x:v>19.224</x:v>
      </x:c>
      <x:c r="J5" s="386" t="n">
        <x:f>'Assumptions'!O7/'Assumptions'!P7</x:f>
        <x:v>1</x:v>
      </x:c>
      <x:c r="K5" s="386" t="n">
        <x:f>I5+J5</x:f>
        <x:v>20.224</x:v>
      </x:c>
      <x:c r="L5" s="387" t="n">
        <x:f>H5/K5</x:f>
        <x:v>1.1287390588006745</x:v>
      </x:c>
      <x:c r="M5" s="384" t="n">
        <x:f>'Assumptions'!L7</x:f>
        <x:v>0.5</x:v>
      </x:c>
      <x:c r="N5" s="387" t="n">
        <x:f>L5*M5</x:f>
        <x:v>0.5643695294003372</x:v>
      </x:c>
    </x:row>
    <x:row r="6">
      <x:c r="A6" s="314" t="str">
        <x:v>Bull</x:v>
      </x:c>
      <x:c r="B6" s="388" t="n">
        <x:f>'Assumptions'!M8</x:f>
        <x:v>0.19</x:v>
      </x:c>
      <x:c r="C6" s="388" t="n">
        <x:f>'Assumptions'!N8</x:f>
        <x:v>0.025</x:v>
      </x:c>
      <x:c r="D6" s="389" t="n">
        <x:f>SUM('Forecast'!B51:P51)</x:f>
        <x:v>49.848458387596196</x:v>
      </x:c>
      <x:c r="E6" s="389" t="n">
        <x:f>('Forecast'!P49*(1+C6)/(B6-C6))*'Forecast'!P50</x:f>
        <x:v>19.524838115115053</x:v>
      </x:c>
      <x:c r="F6" s="389" t="n">
        <x:f>D6+E6</x:f>
        <x:v>69.37329650271124</x:v>
      </x:c>
      <x:c r="G6" s="389" t="n">
        <x:f>'Assumptions'!$B$9</x:f>
        <x:v>7.079</x:v>
      </x:c>
      <x:c r="H6" s="389" t="n">
        <x:f>MAX(0,F6+G6-'Assumptions'!$B$16+'Assumptions'!O8)</x:f>
        <x:v>78.35129650271124</x:v>
      </x:c>
      <x:c r="I6" s="390" t="n">
        <x:f>'Assumptions'!Q8</x:f>
        <x:v>17.904</x:v>
      </x:c>
      <x:c r="J6" s="390" t="n">
        <x:f>'Assumptions'!O8/'Assumptions'!P8</x:f>
        <x:v>0.3333333333333333</x:v>
      </x:c>
      <x:c r="K6" s="390" t="n">
        <x:f>I6+J6</x:f>
        <x:v>18.237333333333332</x:v>
      </x:c>
      <x:c r="L6" s="391" t="n">
        <x:f>H6/K6</x:f>
        <x:v>4.296203566093978</x:v>
      </x:c>
      <x:c r="M6" s="388" t="n">
        <x:f>'Assumptions'!L8</x:f>
        <x:v>0.2</x:v>
      </x:c>
      <x:c r="N6" s="391" t="n">
        <x:f>L6*M6</x:f>
        <x:v>0.8592407132187957</x:v>
      </x:c>
    </x:row>
    <x:row r="7">
      <x:c r="A7" s="227"/>
      <x:c r="B7" s="227"/>
      <x:c r="C7" s="227"/>
      <x:c r="D7" s="227"/>
      <x:c r="E7" s="227"/>
      <x:c r="F7" s="227"/>
      <x:c r="G7" s="227"/>
      <x:c r="H7" s="227"/>
      <x:c r="I7" s="227"/>
      <x:c r="J7" s="227"/>
      <x:c r="K7" s="227"/>
      <x:c r="L7" s="227"/>
      <x:c r="M7" s="227"/>
      <x:c r="N7" s="227"/>
    </x:row>
    <x:row r="8" ht="22" customHeight="1">
      <x:c r="A8" s="9" t="str">
        <x:v>Headline output</x:v>
      </x:c>
      <x:c r="B8" s="10" t="str">
        <x:v>Result</x:v>
      </x:c>
      <x:c r="C8" s="10" t="str">
        <x:v>Reference</x:v>
      </x:c>
      <x:c r="D8" s="11" t="str">
        <x:v>Interpretation</x:v>
      </x:c>
      <x:c r="E8" s="227"/>
      <x:c r="F8" s="227"/>
      <x:c r="G8" s="227"/>
      <x:c r="H8" s="32" t="str">
        <x:v>Decision hinges</x:v>
      </x:c>
      <x:c r="I8" s="32"/>
      <x:c r="J8" s="32"/>
      <x:c r="K8" s="32"/>
      <x:c r="L8" s="32"/>
      <x:c r="M8" s="32"/>
      <x:c r="N8" s="32"/>
    </x:row>
    <x:row r="9" ht="48" customHeight="1">
      <x:c r="A9" s="301" t="str">
        <x:v>Probability-weighted value / share</x:v>
      </x:c>
      <x:c r="B9" s="392" t="n">
        <x:f>SUM(N4:N6)</x:f>
        <x:v>1.4985266222229972</x:v>
      </x:c>
      <x:c r="C9" s="392" t="n">
        <x:f>B9</x:f>
        <x:v>1.4985266222229972</x:v>
      </x:c>
      <x:c r="D9" s="301" t="str">
        <x:v>30% bear / 50% base / 20% bull</x:v>
      </x:c>
      <x:c r="E9" s="227"/>
      <x:c r="F9" s="227"/>
      <x:c r="G9" s="227"/>
      <x:c r="H9" s="24" t="str">
        <x:v>Question</x:v>
      </x:c>
      <x:c r="I9" s="25" t="str">
        <x:v>Current read</x:v>
      </x:c>
      <x:c r="J9" s="26" t="str">
        <x:v>Next proof</x:v>
      </x:c>
      <x:c r="K9" s="255"/>
      <x:c r="L9" s="255"/>
      <x:c r="M9" s="255"/>
      <x:c r="N9" s="255"/>
    </x:row>
    <x:row r="10" ht="48" customHeight="1">
      <x:c r="A10" s="308" t="str">
        <x:v>Current market price</x:v>
      </x:c>
      <x:c r="B10" s="393" t="n">
        <x:f>'Assumptions'!$B$7</x:f>
        <x:v>6.235</x:v>
      </x:c>
      <x:c r="C10" s="393" t="n">
        <x:f>B10</x:f>
        <x:v>6.235</x:v>
      </x:c>
      <x:c r="D10" s="308" t="str">
        <x:v>Intraday reference</x:v>
      </x:c>
      <x:c r="E10" s="227"/>
      <x:c r="F10" s="227"/>
      <x:c r="G10" s="227"/>
      <x:c r="H10" s="255" t="str">
        <x:v>What is priced in?</x:v>
      </x:c>
      <x:c r="I10" s="255" t="str">
        <x:v>More than the modeled bull path at base assumptions.</x:v>
      </x:c>
      <x:c r="J10" s="255" t="str">
        <x:v>See Reverse DCF.</x:v>
      </x:c>
      <x:c r="K10" s="255"/>
      <x:c r="L10" s="255"/>
      <x:c r="M10" s="255"/>
      <x:c r="N10" s="255"/>
    </x:row>
    <x:row r="11" ht="48" customHeight="1">
      <x:c r="A11" s="308" t="str">
        <x:v>Premium / (discount) to market</x:v>
      </x:c>
      <x:c r="B11" s="356" t="n">
        <x:f>B9/B10-1</x:f>
        <x:v>-0.7596589218567767</x:v>
      </x:c>
      <x:c r="C11" s="356" t="n">
        <x:f>B11</x:f>
        <x:v>-0.7596589218567767</x:v>
      </x:c>
      <x:c r="D11" s="308" t="str">
        <x:v>Negative means modeled value below market</x:v>
      </x:c>
      <x:c r="E11" s="227"/>
      <x:c r="F11" s="227"/>
      <x:c r="G11" s="227"/>
      <x:c r="H11" s="255" t="str">
        <x:v>Variant wedge</x:v>
      </x:c>
      <x:c r="I11" s="255" t="str">
        <x:v>Routine reimbursement can convert high gross margin into adoption and operating leverage.</x:v>
      </x:c>
      <x:c r="J11" s="255" t="str">
        <x:v>Named policy activation, claims realization, repeat utilization.</x:v>
      </x:c>
      <x:c r="K11" s="255"/>
      <x:c r="L11" s="255"/>
      <x:c r="M11" s="255"/>
      <x:c r="N11" s="255"/>
    </x:row>
    <x:row r="12" ht="48" customHeight="1">
      <x:c r="A12" s="321" t="str">
        <x:v>Status</x:v>
      </x:c>
      <x:c r="B12" s="321" t="str">
        <x:v>Screen-grade / high uncertainty</x:v>
      </x:c>
      <x:c r="C12" s="321"/>
      <x:c r="D12" s="321" t="str">
        <x:v>Reimbursement realization and dilution remain unresolved</x:v>
      </x:c>
      <x:c r="E12" s="227"/>
      <x:c r="F12" s="227"/>
      <x:c r="G12" s="227"/>
      <x:c r="H12" s="255" t="str">
        <x:v>Downside mechanism</x:v>
      </x:c>
      <x:c r="I12" s="255" t="str">
        <x:v>HOPD economics, slow adoption, and repeated discounted financing overwhelm unit margin.</x:v>
      </x:c>
      <x:c r="J12" s="255" t="str">
        <x:v>Denials, site mix, cash burn, issuance terms.</x:v>
      </x:c>
      <x:c r="K12" s="255"/>
      <x:c r="L12" s="255"/>
      <x:c r="M12" s="255"/>
      <x:c r="N12" s="255"/>
    </x:row>
    <x:row r="13" ht="48" customHeight="1">
      <x:c r="A13" s="227"/>
      <x:c r="B13" s="227"/>
      <x:c r="C13" s="227"/>
      <x:c r="D13" s="227"/>
      <x:c r="E13" s="227"/>
      <x:c r="F13" s="227"/>
      <x:c r="G13" s="227"/>
      <x:c r="H13" s="255" t="str">
        <x:v>What changes value?</x:v>
      </x:c>
      <x:c r="I13" s="255" t="str">
        <x:v>Faster 2027 hospital activation, realized reimbursement above device economics, or lower dilution.</x:v>
      </x:c>
      <x:c r="J13" s="255" t="str">
        <x:v>Quarterly units, active accounts, cash collections, cap table.</x:v>
      </x:c>
      <x:c r="K13" s="255"/>
      <x:c r="L13" s="255"/>
      <x:c r="M13" s="255"/>
      <x:c r="N13" s="255"/>
    </x:row>
    <x:row r="14">
      <x:c r="A14" s="9" t="str">
        <x:v>Quality / concentration</x:v>
      </x:c>
      <x:c r="B14" s="10" t="str">
        <x:v>Bear</x:v>
      </x:c>
      <x:c r="C14" s="10" t="str">
        <x:v>Base</x:v>
      </x:c>
      <x:c r="D14" s="10" t="str">
        <x:v>Bull</x:v>
      </x:c>
      <x:c r="E14" s="10" t="str">
        <x:v>Threshold</x:v>
      </x:c>
      <x:c r="F14" s="11" t="str">
        <x:v>Status</x:v>
      </x:c>
      <x:c r="G14" s="227"/>
      <x:c r="H14" s="227"/>
      <x:c r="I14" s="227"/>
      <x:c r="J14" s="227"/>
      <x:c r="K14" s="227"/>
      <x:c r="L14" s="227"/>
      <x:c r="M14" s="227"/>
      <x:c r="N14" s="227"/>
    </x:row>
    <x:row r="15">
      <x:c r="A15" s="301" t="str">
        <x:v>Terminal value / EV</x:v>
      </x:c>
      <x:c r="B15" s="394" t="n">
        <x:f>IF(F4&gt;0,E4/F4,0)</x:f>
        <x:v>0</x:v>
      </x:c>
      <x:c r="C15" s="394" t="n">
        <x:f>IF(F5&gt;0,E5/F5,0)</x:f>
        <x:v>0.4249778086704956</x:v>
      </x:c>
      <x:c r="D15" s="394" t="n">
        <x:f>IF(F6&gt;0,E6/F6,0)</x:f>
        <x:v>0.2814460188489383</x:v>
      </x:c>
      <x:c r="E15" s="301" t="str">
        <x:v>&lt;60% where EV &gt; 0</x:v>
      </x:c>
      <x:c r="F15" s="301" t="str">
        <x:f>IF(MAX(B15:D15)&lt;0.6,"PASS","FAIL")</x:f>
        <x:v>PASS</x:v>
      </x:c>
      <x:c r="G15" s="227"/>
      <x:c r="H15" s="227"/>
      <x:c r="I15" s="227"/>
      <x:c r="J15" s="227"/>
      <x:c r="K15" s="227"/>
      <x:c r="L15" s="227"/>
      <x:c r="M15" s="227"/>
      <x:c r="N15" s="227"/>
    </x:row>
    <x:row r="16">
      <x:c r="A16" s="308" t="str">
        <x:v>Explicit PV / EV</x:v>
      </x:c>
      <x:c r="B16" s="356" t="n">
        <x:f>IF(F4&gt;0,D4/F4,0)</x:f>
        <x:v>0</x:v>
      </x:c>
      <x:c r="C16" s="356" t="n">
        <x:f>IF(F5&gt;0,D5/F5,0)</x:f>
        <x:v>0.5750221913295044</x:v>
      </x:c>
      <x:c r="D16" s="356" t="n">
        <x:f>IF(F6&gt;0,D6/F6,0)</x:f>
        <x:v>0.7185539811510618</x:v>
      </x:c>
      <x:c r="E16" s="308" t="str">
        <x:v>Informational</x:v>
      </x:c>
      <x:c r="F16" s="308" t="str">
        <x:v>INFO</x:v>
      </x:c>
      <x:c r="G16" s="227"/>
      <x:c r="H16" s="227"/>
      <x:c r="I16" s="227"/>
      <x:c r="J16" s="227"/>
      <x:c r="K16" s="227"/>
      <x:c r="L16" s="227"/>
      <x:c r="M16" s="227"/>
      <x:c r="N16" s="227"/>
    </x:row>
    <x:row r="17">
      <x:c r="A17" s="308" t="str">
        <x:v>Financing dilution / FD shares</x:v>
      </x:c>
      <x:c r="B17" s="356" t="n">
        <x:f>J4/K4</x:f>
        <x:v>0.17223561832586978</x:v>
      </x:c>
      <x:c r="C17" s="356" t="n">
        <x:f>J5/K5</x:f>
        <x:v>0.04944620253164557</x:v>
      </x:c>
      <x:c r="D17" s="356" t="n">
        <x:f>J6/K6</x:f>
        <x:v>0.018277525954086854</x:v>
      </x:c>
      <x:c r="E17" s="308" t="str">
        <x:v>&lt;25%</x:v>
      </x:c>
      <x:c r="F17" s="308" t="str">
        <x:f>IF(MAX(B17:D17)&lt;0.25,"PASS","FAIL")</x:f>
        <x:v>PASS</x:v>
      </x:c>
      <x:c r="G17" s="227"/>
      <x:c r="H17" s="227"/>
      <x:c r="I17" s="227"/>
      <x:c r="J17" s="227"/>
      <x:c r="K17" s="227"/>
      <x:c r="L17" s="227"/>
      <x:c r="M17" s="227"/>
      <x:c r="N17" s="227"/>
    </x:row>
    <x:row r="18">
      <x:c r="A18" s="308" t="str">
        <x:v>Unapproved-indication value</x:v>
      </x:c>
      <x:c r="B18" s="322" t="n">
        <x:v>0</x:v>
      </x:c>
      <x:c r="C18" s="322" t="n">
        <x:v>0</x:v>
      </x:c>
      <x:c r="D18" s="322" t="n">
        <x:v>0</x:v>
      </x:c>
      <x:c r="E18" s="308" t="str">
        <x:v>Zero without sufficient evidence</x:v>
      </x:c>
      <x:c r="F18" s="308" t="str">
        <x:f>IF(SUM(B18:D18)=0,"PASS","FAIL")</x:f>
        <x:v>PASS</x:v>
      </x:c>
      <x:c r="G18" s="227"/>
      <x:c r="H18" s="227"/>
      <x:c r="I18" s="227"/>
      <x:c r="J18" s="227"/>
      <x:c r="K18" s="227"/>
      <x:c r="L18" s="227"/>
      <x:c r="M18" s="227"/>
      <x:c r="N18" s="227"/>
    </x:row>
    <x:row r="19">
      <x:c r="A19" s="321" t="str">
        <x:v>Current price within scenario range</x:v>
      </x:c>
      <x:c r="B19" s="395" t="n">
        <x:f>MIN(L4:L6)</x:f>
        <x:v>0.24972126534621417</x:v>
      </x:c>
      <x:c r="C19" s="395" t="n">
        <x:f>'Assumptions'!$B$7</x:f>
        <x:v>6.235</x:v>
      </x:c>
      <x:c r="D19" s="395" t="n">
        <x:f>MAX(L4:L6)</x:f>
        <x:v>4.296203566093978</x:v>
      </x:c>
      <x:c r="E19" s="321" t="str">
        <x:v>Informational</x:v>
      </x:c>
      <x:c r="F19" s="321" t="str">
        <x:f>IF(AND(C19&gt;=B19,C19&lt;=D19),"YES","NO")</x:f>
        <x:v>NO</x:v>
      </x:c>
      <x:c r="G19" s="227"/>
      <x:c r="H19" s="227"/>
      <x:c r="I19" s="227"/>
      <x:c r="J19" s="227"/>
      <x:c r="K19" s="227"/>
      <x:c r="L19" s="227"/>
      <x:c r="M19" s="227"/>
      <x:c r="N19" s="227"/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9" hidden="0" customWidth="1"/>
    <x:col min="4" max="4" width="30" hidden="0" customWidth="1"/>
    <x:col min="5" max="5" width="34" hidden="0" customWidth="1"/>
    <x:col min="6" max="6" width="23" hidden="0" customWidth="1"/>
    <x:col min="7" max="7" width="22" hidden="0" customWidth="1"/>
    <x:col min="8" max="8" width="24" hidden="0" customWidth="1"/>
  </x:cols>
  <x:sheetData>
    <x:row r="1" ht="30" customHeight="1">
      <x:c r="A1" s="3" t="str">
        <x:v>Comparable-Company Corroboration</x:v>
      </x:c>
      <x:c r="B1" s="3" t="str">
        <x:v>Comparable-Company Corroboration</x:v>
      </x:c>
      <x:c r="C1" s="3" t="str">
        <x:v>Comparable-Company Corroboration</x:v>
      </x:c>
      <x:c r="D1" s="3" t="str">
        <x:v>Comparable-Company Corroboration</x:v>
      </x:c>
      <x:c r="E1" s="3" t="str">
        <x:v>Comparable-Company Corroboration</x:v>
      </x:c>
      <x:c r="F1" s="3" t="str">
        <x:v>Comparable-Company Corroboration</x:v>
      </x:c>
      <x:c r="G1" s="3" t="str">
        <x:v>Comparable-Company Corroboration</x:v>
      </x:c>
      <x:c r="H1" s="3" t="str">
        <x:v>Comparable-Company Corroboration</x:v>
      </x:c>
    </x:row>
    <x:row r="2">
      <x:c r="A2" s="300" t="str">
        <x:v>No licensed consensus or consistently normalized forward estimates were available. The peer set is therefore qualitative and does not override intrinsic value.</x:v>
      </x:c>
      <x:c r="B2" s="300"/>
      <x:c r="C2" s="300"/>
      <x:c r="D2" s="300"/>
      <x:c r="E2" s="300"/>
      <x:c r="F2" s="300"/>
      <x:c r="G2" s="300"/>
      <x:c r="H2" s="300"/>
    </x:row>
    <x:row r="3">
      <x:c r="A3" s="9" t="str">
        <x:v>Company</x:v>
      </x:c>
      <x:c r="B3" s="10" t="str">
        <x:v>Ticker</x:v>
      </x:c>
      <x:c r="C3" s="10" t="str">
        <x:v>Relevant exposure</x:v>
      </x:c>
      <x:c r="D3" s="10" t="str">
        <x:v>Why comparable</x:v>
      </x:c>
      <x:c r="E3" s="10" t="str">
        <x:v>Why not comparable</x:v>
      </x:c>
      <x:c r="F3" s="10" t="str">
        <x:v>Metric posture</x:v>
      </x:c>
      <x:c r="G3" s="10" t="str">
        <x:v>Use</x:v>
      </x:c>
      <x:c r="H3" s="11" t="str">
        <x:v>Source status</x:v>
      </x:c>
    </x:row>
    <x:row r="4" ht="46" customHeight="1">
      <x:c r="A4" s="265" t="str">
        <x:v>electroCore</x:v>
      </x:c>
      <x:c r="B4" s="265" t="str">
        <x:v>ECOR</x:v>
      </x:c>
      <x:c r="C4" s="265" t="str">
        <x:v>Non-invasive neuromodulation</x:v>
      </x:c>
      <x:c r="D4" s="265" t="str">
        <x:v>Small-cap commercial neuro device</x:v>
      </x:c>
      <x:c r="E4" s="265" t="str">
        <x:v>Different indication, pricing, payer and maturity</x:v>
      </x:c>
      <x:c r="F4" s="265" t="str">
        <x:v>No normalized multiple used</x:v>
      </x:c>
      <x:c r="G4" s="265" t="str">
        <x:v>Commercial analog</x:v>
      </x:c>
      <x:c r="H4" s="265" t="str">
        <x:v>Public filing review required</x:v>
      </x:c>
    </x:row>
    <x:row r="5" ht="46" customHeight="1">
      <x:c r="A5" s="267" t="str">
        <x:v>Neuronetics</x:v>
      </x:c>
      <x:c r="B5" s="267" t="str">
        <x:v>STIM</x:v>
      </x:c>
      <x:c r="C5" s="267" t="str">
        <x:v>Neurostimulation</x:v>
      </x:c>
      <x:c r="D5" s="267" t="str">
        <x:v>Reimbursement-dependent commercial adoption</x:v>
      </x:c>
      <x:c r="E5" s="267" t="str">
        <x:v>Different site, indication, installed base</x:v>
      </x:c>
      <x:c r="F5" s="267" t="str">
        <x:v>No normalized multiple used</x:v>
      </x:c>
      <x:c r="G5" s="267" t="str">
        <x:v>Adoption / reimbursement analog</x:v>
      </x:c>
      <x:c r="H5" s="267" t="str">
        <x:v>Public filing review required</x:v>
      </x:c>
    </x:row>
    <x:row r="6" ht="46" customHeight="1">
      <x:c r="A6" s="267" t="str">
        <x:v>Sensus Healthcare</x:v>
      </x:c>
      <x:c r="B6" s="267" t="str">
        <x:v>SRTS</x:v>
      </x:c>
      <x:c r="C6" s="267" t="str">
        <x:v>Outpatient medical device</x:v>
      </x:c>
      <x:c r="D6" s="267" t="str">
        <x:v>Small-cap reimbursement and utilization economics</x:v>
      </x:c>
      <x:c r="E6" s="267" t="str">
        <x:v>Different modality and indication</x:v>
      </x:c>
      <x:c r="F6" s="267" t="str">
        <x:v>No normalized multiple used</x:v>
      </x:c>
      <x:c r="G6" s="267" t="str">
        <x:v>Margin / scale analog</x:v>
      </x:c>
      <x:c r="H6" s="267" t="str">
        <x:v>Public filing review required</x:v>
      </x:c>
    </x:row>
    <x:row r="7" ht="46" customHeight="1">
      <x:c r="A7" s="267" t="str">
        <x:v>Nevro</x:v>
      </x:c>
      <x:c r="B7" s="267" t="str">
        <x:v>NVRO</x:v>
      </x:c>
      <x:c r="C7" s="267" t="str">
        <x:v>Neuromodulation</x:v>
      </x:c>
      <x:c r="D7" s="267" t="str">
        <x:v>Procedure reimbursement and adoption history</x:v>
      </x:c>
      <x:c r="E7" s="267" t="str">
        <x:v>Much larger, mature, acquired context</x:v>
      </x:c>
      <x:c r="F7" s="267" t="str">
        <x:v>No normalized multiple used</x:v>
      </x:c>
      <x:c r="G7" s="267" t="str">
        <x:v>Historical analog</x:v>
      </x:c>
      <x:c r="H7" s="267" t="str">
        <x:v>Not live comparable</x:v>
      </x:c>
    </x:row>
    <x:row r="8" ht="46" customHeight="1">
      <x:c r="A8" s="267" t="str">
        <x:v>Axonics</x:v>
      </x:c>
      <x:c r="B8" s="267" t="str">
        <x:v>AXNX</x:v>
      </x:c>
      <x:c r="C8" s="267" t="str">
        <x:v>Neuromodulation</x:v>
      </x:c>
      <x:c r="D8" s="267" t="str">
        <x:v>Commercial pathway and reimbursement</x:v>
      </x:c>
      <x:c r="E8" s="267" t="str">
        <x:v>Acquired, different procedure economics</x:v>
      </x:c>
      <x:c r="F8" s="267" t="str">
        <x:v>No normalized multiple used</x:v>
      </x:c>
      <x:c r="G8" s="267" t="str">
        <x:v>Historical analog</x:v>
      </x:c>
      <x:c r="H8" s="267" t="str">
        <x:v>Not live comparable</x:v>
      </x:c>
    </x:row>
    <x:row r="9" ht="46" customHeight="1">
      <x:c r="A9" s="269" t="str">
        <x:v>Neuraxis</x:v>
      </x:c>
      <x:c r="B9" s="269" t="str">
        <x:v>NRXS</x:v>
      </x:c>
      <x:c r="C9" s="269" t="str">
        <x:v>PENFS / IB-Stim</x:v>
      </x:c>
      <x:c r="D9" s="269" t="str">
        <x:v>Target</x:v>
      </x:c>
      <x:c r="E9" s="269" t="str">
        <x:v>Microcap and unusually high dilution</x:v>
      </x:c>
      <x:c r="F9" s="269" t="str">
        <x:v>Intrinsic valuation primary</x:v>
      </x:c>
      <x:c r="G9" s="269" t="str">
        <x:v>Target</x:v>
      </x:c>
      <x:c r="H9" s="269" t="str">
        <x:v>S1–S9</x:v>
      </x:c>
    </x:row>
    <x:row r="10">
      <x:c r="A10" s="227"/>
      <x:c r="B10" s="227"/>
      <x:c r="C10" s="227"/>
      <x:c r="D10" s="227"/>
      <x:c r="E10" s="227"/>
      <x:c r="F10" s="227"/>
      <x:c r="G10" s="227"/>
      <x:c r="H10" s="227"/>
    </x:row>
    <x:row r="11">
      <x:c r="A11" s="227"/>
      <x:c r="B11" s="227"/>
      <x:c r="C11" s="227"/>
      <x:c r="D11" s="227"/>
      <x:c r="E11" s="227"/>
      <x:c r="F11" s="227"/>
      <x:c r="G11" s="227"/>
      <x:c r="H11" s="227"/>
    </x:row>
    <x:row r="12" ht="22" customHeight="1">
      <x:c r="A12" s="32" t="str">
        <x:v>Why comps are weak evidence</x:v>
      </x:c>
      <x:c r="B12" s="32"/>
      <x:c r="C12" s="32"/>
      <x:c r="D12" s="32"/>
      <x:c r="E12" s="32"/>
      <x:c r="F12" s="32"/>
      <x:c r="G12" s="32"/>
      <x:c r="H12" s="32"/>
    </x:row>
    <x:row r="13" ht="42" customHeight="1">
      <x:c r="A13" s="24" t="str">
        <x:v>Issue</x:v>
      </x:c>
      <x:c r="B13" s="25" t="str">
        <x:v>Consequence</x:v>
      </x:c>
      <x:c r="C13" s="26" t="str">
        <x:v>Model treatment</x:v>
      </x:c>
      <x:c r="D13" s="255"/>
      <x:c r="E13" s="255"/>
      <x:c r="F13" s="255"/>
      <x:c r="G13" s="255"/>
      <x:c r="H13" s="255"/>
    </x:row>
    <x:row r="14" ht="42" customHeight="1">
      <x:c r="A14" s="255" t="str">
        <x:v>Negative earnings / cash flow</x:v>
      </x:c>
      <x:c r="B14" s="255" t="str">
        <x:v>P/E and EV/EBITDA are not meaningful.</x:v>
      </x:c>
      <x:c r="C14" s="255" t="str">
        <x:v>Do not apply them.</x:v>
      </x:c>
      <x:c r="D14" s="255"/>
      <x:c r="E14" s="255"/>
      <x:c r="F14" s="255"/>
      <x:c r="G14" s="255"/>
      <x:c r="H14" s="255"/>
    </x:row>
    <x:row r="15" ht="42" customHeight="1">
      <x:c r="A15" s="255" t="str">
        <x:v>Reimbursement heterogeneity</x:v>
      </x:c>
      <x:c r="B15" s="255" t="str">
        <x:v>Revenue quality and realized price differ by site and payer.</x:v>
      </x:c>
      <x:c r="C15" s="255" t="str">
        <x:v>Use scenario ranges.</x:v>
      </x:c>
      <x:c r="D15" s="255"/>
      <x:c r="E15" s="255"/>
      <x:c r="F15" s="255"/>
      <x:c r="G15" s="255"/>
      <x:c r="H15" s="255"/>
    </x:row>
    <x:row r="16" ht="42" customHeight="1">
      <x:c r="A16" s="255" t="str">
        <x:v>Dilution perimeter</x:v>
      </x:c>
      <x:c r="B16" s="255" t="str">
        <x:v>Vendor market caps can use stale denominators.</x:v>
      </x:c>
      <x:c r="C16" s="255" t="str">
        <x:v>Use filing-derived FD shares.</x:v>
      </x:c>
      <x:c r="D16" s="255"/>
      <x:c r="E16" s="255"/>
      <x:c r="F16" s="255"/>
      <x:c r="G16" s="255"/>
      <x:c r="H16" s="255"/>
    </x:row>
    <x:row r="17" ht="42" customHeight="1">
      <x:c r="A17" s="255" t="str">
        <x:v>Small denominator</x:v>
      </x:c>
      <x:c r="B17" s="255" t="str">
        <x:v>EV/revenue appears optically extreme and is dominated by future adoption.</x:v>
      </x:c>
      <x:c r="C17" s="255" t="str">
        <x:v>Reverse DCF is more informative.</x:v>
      </x:c>
      <x:c r="D17" s="255"/>
      <x:c r="E17" s="255"/>
      <x:c r="F17" s="255"/>
      <x:c r="G17" s="255"/>
      <x:c r="H17" s="2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30" customHeight="1">
      <x:c r="A1" s="3" t="str">
        <x:v>Base-Case Valuation Sensitivities</x:v>
      </x:c>
      <x:c r="B1" s="3" t="str">
        <x:v>Base-Case Valuation Sensitivities</x:v>
      </x:c>
      <x:c r="C1" s="3" t="str">
        <x:v>Base-Case Valuation Sensitivities</x:v>
      </x:c>
      <x:c r="D1" s="3" t="str">
        <x:v>Base-Case Valuation Sensitivities</x:v>
      </x:c>
      <x:c r="E1" s="3" t="str">
        <x:v>Base-Case Valuation Sensitivities</x:v>
      </x:c>
      <x:c r="F1" s="3" t="str">
        <x:v>Base-Case Valuation Sensitivities</x:v>
      </x:c>
      <x:c r="G1" s="3" t="str">
        <x:v>Base-Case Valuation Sensitivities</x:v>
      </x:c>
      <x:c r="H1" s="3" t="str">
        <x:v>Base-Case Valuation Sensitivities</x:v>
      </x:c>
    </x:row>
    <x:row r="2">
      <x:c r="A2" s="300" t="str">
        <x:v>USD per fully diluted share. Base operating path and financing dilution; only WACC and terminal growth vary.</x:v>
      </x:c>
      <x:c r="B2" s="300"/>
      <x:c r="C2" s="300"/>
      <x:c r="D2" s="300"/>
      <x:c r="E2" s="300"/>
      <x:c r="F2" s="300"/>
      <x:c r="G2" s="300"/>
      <x:c r="H2" s="300"/>
    </x:row>
    <x:row r="3" ht="22" customHeight="1">
      <x:c r="A3" s="32" t="str">
        <x:v>Base value / share: WACC vs. terminal growth</x:v>
      </x:c>
      <x:c r="B3" s="32"/>
      <x:c r="C3" s="32"/>
      <x:c r="D3" s="32"/>
      <x:c r="E3" s="32"/>
      <x:c r="F3" s="32"/>
      <x:c r="G3" s="227"/>
      <x:c r="H3" s="227"/>
    </x:row>
    <x:row r="4">
      <x:c r="A4" s="9" t="str">
        <x:v>WACC \ terminal g</x:v>
      </x:c>
      <x:c r="B4" s="130" t="n">
        <x:v>0.015</x:v>
      </x:c>
      <x:c r="C4" s="130" t="n">
        <x:v>0.02</x:v>
      </x:c>
      <x:c r="D4" s="130" t="n">
        <x:v>0.025</x:v>
      </x:c>
      <x:c r="E4" s="130" t="n">
        <x:v>0.03</x:v>
      </x:c>
      <x:c r="F4" s="131" t="n">
        <x:v>0.035</x:v>
      </x:c>
      <x:c r="G4" s="227"/>
      <x:c r="H4" s="227"/>
    </x:row>
    <x:row r="5">
      <x:c r="A5" s="394" t="n">
        <x:v>0.17</x:v>
      </x:c>
      <x:c r="B5" s="392" t="n">
        <x:f>(MAX(0,'Forecast'!B32/(1+$A5)^1+'Forecast'!C32/(1+$A5)^2+'Forecast'!D32/(1+$A5)^3+'Forecast'!E32/(1+$A5)^4+'Forecast'!F32/(1+$A5)^5+'Forecast'!G32/(1+$A5)^6+'Forecast'!H32/(1+$A5)^7+'Forecast'!I32/(1+$A5)^8+'Forecast'!J32/(1+$A5)^9+'Forecast'!K32/(1+$A5)^10+'Forecast'!L32/(1+$A5)^11+'Forecast'!M32/(1+$A5)^12+'Forecast'!N32/(1+$A5)^13+'Forecast'!O32/(1+$A5)^14+'Forecast'!P32/(1+$A5)^15+('Forecast'!P32*(1+B$4)/($A5-B$4))/(1+$A5)^15+'Assumptions'!$B$9-'Assumptions'!$B$16+'Assumptions'!$O$7))/'DCF'!$K$5</x:f>
        <x:v>1.320000947006107</x:v>
      </x:c>
      <x:c r="C5" s="392" t="n">
        <x:f>(MAX(0,'Forecast'!B32/(1+$A5)^1+'Forecast'!C32/(1+$A5)^2+'Forecast'!D32/(1+$A5)^3+'Forecast'!E32/(1+$A5)^4+'Forecast'!F32/(1+$A5)^5+'Forecast'!G32/(1+$A5)^6+'Forecast'!H32/(1+$A5)^7+'Forecast'!I32/(1+$A5)^8+'Forecast'!J32/(1+$A5)^9+'Forecast'!K32/(1+$A5)^10+'Forecast'!L32/(1+$A5)^11+'Forecast'!M32/(1+$A5)^12+'Forecast'!N32/(1+$A5)^13+'Forecast'!O32/(1+$A5)^14+'Forecast'!P32/(1+$A5)^15+('Forecast'!P32*(1+C$4)/($A5-C$4))/(1+$A5)^15+'Assumptions'!$B$9-'Assumptions'!$B$16+'Assumptions'!$O$7))/'DCF'!$K$5</x:f>
        <x:v>1.3319085173330698</x:v>
      </x:c>
      <x:c r="D5" s="392" t="n">
        <x:f>(MAX(0,'Forecast'!B32/(1+$A5)^1+'Forecast'!C32/(1+$A5)^2+'Forecast'!D32/(1+$A5)^3+'Forecast'!E32/(1+$A5)^4+'Forecast'!F32/(1+$A5)^5+'Forecast'!G32/(1+$A5)^6+'Forecast'!H32/(1+$A5)^7+'Forecast'!I32/(1+$A5)^8+'Forecast'!J32/(1+$A5)^9+'Forecast'!K32/(1+$A5)^10+'Forecast'!L32/(1+$A5)^11+'Forecast'!M32/(1+$A5)^12+'Forecast'!N32/(1+$A5)^13+'Forecast'!O32/(1+$A5)^14+'Forecast'!P32/(1+$A5)^15+('Forecast'!P32*(1+D$4)/($A5-D$4))/(1+$A5)^15+'Assumptions'!$B$9-'Assumptions'!$B$16+'Assumptions'!$O$7))/'DCF'!$K$5</x:f>
        <x:v>1.34463729940672</x:v>
      </x:c>
      <x:c r="E5" s="392" t="n">
        <x:f>(MAX(0,'Forecast'!B32/(1+$A5)^1+'Forecast'!C32/(1+$A5)^2+'Forecast'!D32/(1+$A5)^3+'Forecast'!E32/(1+$A5)^4+'Forecast'!F32/(1+$A5)^5+'Forecast'!G32/(1+$A5)^6+'Forecast'!H32/(1+$A5)^7+'Forecast'!I32/(1+$A5)^8+'Forecast'!J32/(1+$A5)^9+'Forecast'!K32/(1+$A5)^10+'Forecast'!L32/(1+$A5)^11+'Forecast'!M32/(1+$A5)^12+'Forecast'!N32/(1+$A5)^13+'Forecast'!O32/(1+$A5)^14+'Forecast'!P32/(1+$A5)^15+('Forecast'!P32*(1+E$4)/($A5-E$4))/(1+$A5)^15+'Assumptions'!$B$9-'Assumptions'!$B$16+'Assumptions'!$O$7))/'DCF'!$K$5</x:f>
        <x:v>1.3582752801999163</x:v>
      </x:c>
      <x:c r="F5" s="392" t="n">
        <x:f>(MAX(0,'Forecast'!B32/(1+$A5)^1+'Forecast'!C32/(1+$A5)^2+'Forecast'!D32/(1+$A5)^3+'Forecast'!E32/(1+$A5)^4+'Forecast'!F32/(1+$A5)^5+'Forecast'!G32/(1+$A5)^6+'Forecast'!H32/(1+$A5)^7+'Forecast'!I32/(1+$A5)^8+'Forecast'!J32/(1+$A5)^9+'Forecast'!K32/(1+$A5)^10+'Forecast'!L32/(1+$A5)^11+'Forecast'!M32/(1+$A5)^12+'Forecast'!N32/(1+$A5)^13+'Forecast'!O32/(1+$A5)^14+'Forecast'!P32/(1+$A5)^15+('Forecast'!P32*(1+F$4)/($A5-F$4))/(1+$A5)^15+'Assumptions'!$B$9-'Assumptions'!$B$16+'Assumptions'!$O$7))/'DCF'!$K$5</x:f>
        <x:v>1.3729234817926086</x:v>
      </x:c>
      <x:c r="G5" s="227"/>
      <x:c r="H5" s="227"/>
    </x:row>
    <x:row r="6">
      <x:c r="A6" s="356" t="n">
        <x:v>0.18</x:v>
      </x:c>
      <x:c r="B6" s="393" t="n">
        <x:f>(MAX(0,'Forecast'!B32/(1+$A6)^1+'Forecast'!C32/(1+$A6)^2+'Forecast'!D32/(1+$A6)^3+'Forecast'!E32/(1+$A6)^4+'Forecast'!F32/(1+$A6)^5+'Forecast'!G32/(1+$A6)^6+'Forecast'!H32/(1+$A6)^7+'Forecast'!I32/(1+$A6)^8+'Forecast'!J32/(1+$A6)^9+'Forecast'!K32/(1+$A6)^10+'Forecast'!L32/(1+$A6)^11+'Forecast'!M32/(1+$A6)^12+'Forecast'!N32/(1+$A6)^13+'Forecast'!O32/(1+$A6)^14+'Forecast'!P32/(1+$A6)^15+('Forecast'!P32*(1+B$4)/($A6-B$4))/(1+$A6)^15+'Assumptions'!$B$9-'Assumptions'!$B$16+'Assumptions'!$O$7))/'DCF'!$K$5</x:f>
        <x:v>1.208862570737719</x:v>
      </x:c>
      <x:c r="C6" s="393" t="n">
        <x:f>(MAX(0,'Forecast'!B32/(1+$A6)^1+'Forecast'!C32/(1+$A6)^2+'Forecast'!D32/(1+$A6)^3+'Forecast'!E32/(1+$A6)^4+'Forecast'!F32/(1+$A6)^5+'Forecast'!G32/(1+$A6)^6+'Forecast'!H32/(1+$A6)^7+'Forecast'!I32/(1+$A6)^8+'Forecast'!J32/(1+$A6)^9+'Forecast'!K32/(1+$A6)^10+'Forecast'!L32/(1+$A6)^11+'Forecast'!M32/(1+$A6)^12+'Forecast'!N32/(1+$A6)^13+'Forecast'!O32/(1+$A6)^14+'Forecast'!P32/(1+$A6)^15+('Forecast'!P32*(1+C$4)/($A6-C$4))/(1+$A6)^15+'Assumptions'!$B$9-'Assumptions'!$B$16+'Assumptions'!$O$7))/'DCF'!$K$5</x:f>
        <x:v>1.2181714232115122</x:v>
      </x:c>
      <x:c r="D6" s="393" t="n">
        <x:f>(MAX(0,'Forecast'!B32/(1+$A6)^1+'Forecast'!C32/(1+$A6)^2+'Forecast'!D32/(1+$A6)^3+'Forecast'!E32/(1+$A6)^4+'Forecast'!F32/(1+$A6)^5+'Forecast'!G32/(1+$A6)^6+'Forecast'!H32/(1+$A6)^7+'Forecast'!I32/(1+$A6)^8+'Forecast'!J32/(1+$A6)^9+'Forecast'!K32/(1+$A6)^10+'Forecast'!L32/(1+$A6)^11+'Forecast'!M32/(1+$A6)^12+'Forecast'!N32/(1+$A6)^13+'Forecast'!O32/(1+$A6)^14+'Forecast'!P32/(1+$A6)^15+('Forecast'!P32*(1+D$4)/($A6-D$4))/(1+$A6)^15+'Assumptions'!$B$9-'Assumptions'!$B$16+'Assumptions'!$O$7))/'DCF'!$K$5</x:f>
        <x:v>1.2280808468126472</x:v>
      </x:c>
      <x:c r="E6" s="393" t="n">
        <x:f>(MAX(0,'Forecast'!B32/(1+$A6)^1+'Forecast'!C32/(1+$A6)^2+'Forecast'!D32/(1+$A6)^3+'Forecast'!E32/(1+$A6)^4+'Forecast'!F32/(1+$A6)^5+'Forecast'!G32/(1+$A6)^6+'Forecast'!H32/(1+$A6)^7+'Forecast'!I32/(1+$A6)^8+'Forecast'!J32/(1+$A6)^9+'Forecast'!K32/(1+$A6)^10+'Forecast'!L32/(1+$A6)^11+'Forecast'!M32/(1+$A6)^12+'Forecast'!N32/(1+$A6)^13+'Forecast'!O32/(1+$A6)^14+'Forecast'!P32/(1+$A6)^15+('Forecast'!P32*(1+E$4)/($A6-E$4))/(1+$A6)^15+'Assumptions'!$B$9-'Assumptions'!$B$16+'Assumptions'!$O$7))/'DCF'!$K$5</x:f>
        <x:v>1.2386508986538576</x:v>
      </x:c>
      <x:c r="F6" s="393" t="n">
        <x:f>(MAX(0,'Forecast'!B32/(1+$A6)^1+'Forecast'!C32/(1+$A6)^2+'Forecast'!D32/(1+$A6)^3+'Forecast'!E32/(1+$A6)^4+'Forecast'!F32/(1+$A6)^5+'Forecast'!G32/(1+$A6)^6+'Forecast'!H32/(1+$A6)^7+'Forecast'!I32/(1+$A6)^8+'Forecast'!J32/(1+$A6)^9+'Forecast'!K32/(1+$A6)^10+'Forecast'!L32/(1+$A6)^11+'Forecast'!M32/(1+$A6)^12+'Forecast'!N32/(1+$A6)^13+'Forecast'!O32/(1+$A6)^14+'Forecast'!P32/(1+$A6)^15+('Forecast'!P32*(1+F$4)/($A6-F$4))/(1+$A6)^15+'Assumptions'!$B$9-'Assumptions'!$B$16+'Assumptions'!$O$7))/'DCF'!$K$5</x:f>
        <x:v>1.2499499195875654</x:v>
      </x:c>
      <x:c r="G6" s="227"/>
      <x:c r="H6" s="227"/>
    </x:row>
    <x:row r="7">
      <x:c r="A7" s="356" t="n">
        <x:v>0.19</x:v>
      </x:c>
      <x:c r="B7" s="393" t="n">
        <x:f>(MAX(0,'Forecast'!B32/(1+$A7)^1+'Forecast'!C32/(1+$A7)^2+'Forecast'!D32/(1+$A7)^3+'Forecast'!E32/(1+$A7)^4+'Forecast'!F32/(1+$A7)^5+'Forecast'!G32/(1+$A7)^6+'Forecast'!H32/(1+$A7)^7+'Forecast'!I32/(1+$A7)^8+'Forecast'!J32/(1+$A7)^9+'Forecast'!K32/(1+$A7)^10+'Forecast'!L32/(1+$A7)^11+'Forecast'!M32/(1+$A7)^12+'Forecast'!N32/(1+$A7)^13+'Forecast'!O32/(1+$A7)^14+'Forecast'!P32/(1+$A7)^15+('Forecast'!P32*(1+B$4)/($A7-B$4))/(1+$A7)^15+'Assumptions'!$B$9-'Assumptions'!$B$16+'Assumptions'!$O$7))/'DCF'!$K$5</x:f>
        <x:v>1.1136139425914722</x:v>
      </x:c>
      <x:c r="C7" s="393" t="n">
        <x:f>(MAX(0,'Forecast'!B32/(1+$A7)^1+'Forecast'!C32/(1+$A7)^2+'Forecast'!D32/(1+$A7)^3+'Forecast'!E32/(1+$A7)^4+'Forecast'!F32/(1+$A7)^5+'Forecast'!G32/(1+$A7)^6+'Forecast'!H32/(1+$A7)^7+'Forecast'!I32/(1+$A7)^8+'Forecast'!J32/(1+$A7)^9+'Forecast'!K32/(1+$A7)^10+'Forecast'!L32/(1+$A7)^11+'Forecast'!M32/(1+$A7)^12+'Forecast'!N32/(1+$A7)^13+'Forecast'!O32/(1+$A7)^14+'Forecast'!P32/(1+$A7)^15+('Forecast'!P32*(1+C$4)/($A7-C$4))/(1+$A7)^15+'Assumptions'!$B$9-'Assumptions'!$B$16+'Assumptions'!$O$7))/'DCF'!$K$5</x:f>
        <x:v>1.1209540725165263</x:v>
      </x:c>
      <x:c r="D7" s="401" t="n">
        <x:f>(MAX(0,'Forecast'!B32/(1+$A7)^1+'Forecast'!C32/(1+$A7)^2+'Forecast'!D32/(1+$A7)^3+'Forecast'!E32/(1+$A7)^4+'Forecast'!F32/(1+$A7)^5+'Forecast'!G32/(1+$A7)^6+'Forecast'!H32/(1+$A7)^7+'Forecast'!I32/(1+$A7)^8+'Forecast'!J32/(1+$A7)^9+'Forecast'!K32/(1+$A7)^10+'Forecast'!L32/(1+$A7)^11+'Forecast'!M32/(1+$A7)^12+'Forecast'!N32/(1+$A7)^13+'Forecast'!O32/(1+$A7)^14+'Forecast'!P32/(1+$A7)^15+('Forecast'!P32*(1+D$4)/($A7-D$4))/(1+$A7)^15+'Assumptions'!$B$9-'Assumptions'!$B$16+'Assumptions'!$O$7))/'DCF'!$K$5</x:f>
        <x:v>1.1287390588006745</x:v>
      </x:c>
      <x:c r="E7" s="393" t="n">
        <x:f>(MAX(0,'Forecast'!B32/(1+$A7)^1+'Forecast'!C32/(1+$A7)^2+'Forecast'!D32/(1+$A7)^3+'Forecast'!E32/(1+$A7)^4+'Forecast'!F32/(1+$A7)^5+'Forecast'!G32/(1+$A7)^6+'Forecast'!H32/(1+$A7)^7+'Forecast'!I32/(1+$A7)^8+'Forecast'!J32/(1+$A7)^9+'Forecast'!K32/(1+$A7)^10+'Forecast'!L32/(1+$A7)^11+'Forecast'!M32/(1+$A7)^12+'Forecast'!N32/(1+$A7)^13+'Forecast'!O32/(1+$A7)^14+'Forecast'!P32/(1+$A7)^15+('Forecast'!P32*(1+E$4)/($A7-E$4))/(1+$A7)^15+'Assumptions'!$B$9-'Assumptions'!$B$16+'Assumptions'!$O$7))/'DCF'!$K$5</x:f>
        <x:v>1.1370106067275823</x:v>
      </x:c>
      <x:c r="F7" s="393" t="n">
        <x:f>(MAX(0,'Forecast'!B32/(1+$A7)^1+'Forecast'!C32/(1+$A7)^2+'Forecast'!D32/(1+$A7)^3+'Forecast'!E32/(1+$A7)^4+'Forecast'!F32/(1+$A7)^5+'Forecast'!G32/(1+$A7)^6+'Forecast'!H32/(1+$A7)^7+'Forecast'!I32/(1+$A7)^8+'Forecast'!J32/(1+$A7)^9+'Forecast'!K32/(1+$A7)^10+'Forecast'!L32/(1+$A7)^11+'Forecast'!M32/(1+$A7)^12+'Forecast'!N32/(1+$A7)^13+'Forecast'!O32/(1+$A7)^14+'Forecast'!P32/(1+$A7)^15+('Forecast'!P32*(1+F$4)/($A7-F$4))/(1+$A7)^15+'Assumptions'!$B$9-'Assumptions'!$B$16+'Assumptions'!$O$7))/'DCF'!$K$5</x:f>
        <x:v>1.1458158029078387</x:v>
      </x:c>
      <x:c r="G7" s="227"/>
      <x:c r="H7" s="227"/>
    </x:row>
    <x:row r="8">
      <x:c r="A8" s="356" t="n">
        <x:v>0.2</x:v>
      </x:c>
      <x:c r="B8" s="393" t="n">
        <x:f>(MAX(0,'Forecast'!B32/(1+$A8)^1+'Forecast'!C32/(1+$A8)^2+'Forecast'!D32/(1+$A8)^3+'Forecast'!E32/(1+$A8)^4+'Forecast'!F32/(1+$A8)^5+'Forecast'!G32/(1+$A8)^6+'Forecast'!H32/(1+$A8)^7+'Forecast'!I32/(1+$A8)^8+'Forecast'!J32/(1+$A8)^9+'Forecast'!K32/(1+$A8)^10+'Forecast'!L32/(1+$A8)^11+'Forecast'!M32/(1+$A8)^12+'Forecast'!N32/(1+$A8)^13+'Forecast'!O32/(1+$A8)^14+'Forecast'!P32/(1+$A8)^15+('Forecast'!P32*(1+B$4)/($A8-B$4))/(1+$A8)^15+'Assumptions'!$B$9-'Assumptions'!$B$16+'Assumptions'!$O$7))/'DCF'!$K$5</x:f>
        <x:v>1.0314654910622532</x:v>
      </x:c>
      <x:c r="C8" s="393" t="n">
        <x:f>(MAX(0,'Forecast'!B32/(1+$A8)^1+'Forecast'!C32/(1+$A8)^2+'Forecast'!D32/(1+$A8)^3+'Forecast'!E32/(1+$A8)^4+'Forecast'!F32/(1+$A8)^5+'Forecast'!G32/(1+$A8)^6+'Forecast'!H32/(1+$A8)^7+'Forecast'!I32/(1+$A8)^8+'Forecast'!J32/(1+$A8)^9+'Forecast'!K32/(1+$A8)^10+'Forecast'!L32/(1+$A8)^11+'Forecast'!M32/(1+$A8)^12+'Forecast'!N32/(1+$A8)^13+'Forecast'!O32/(1+$A8)^14+'Forecast'!P32/(1+$A8)^15+('Forecast'!P32*(1+C$4)/($A8-C$4))/(1+$A8)^15+'Assumptions'!$B$9-'Assumptions'!$B$16+'Assumptions'!$O$7))/'DCF'!$K$5</x:f>
        <x:v>1.037298148880963</x:v>
      </x:c>
      <x:c r="D8" s="393" t="n">
        <x:f>(MAX(0,'Forecast'!B32/(1+$A8)^1+'Forecast'!C32/(1+$A8)^2+'Forecast'!D32/(1+$A8)^3+'Forecast'!E32/(1+$A8)^4+'Forecast'!F32/(1+$A8)^5+'Forecast'!G32/(1+$A8)^6+'Forecast'!H32/(1+$A8)^7+'Forecast'!I32/(1+$A8)^8+'Forecast'!J32/(1+$A8)^9+'Forecast'!K32/(1+$A8)^10+'Forecast'!L32/(1+$A8)^11+'Forecast'!M32/(1+$A8)^12+'Forecast'!N32/(1+$A8)^13+'Forecast'!O32/(1+$A8)^14+'Forecast'!P32/(1+$A8)^15+('Forecast'!P32*(1+D$4)/($A8-D$4))/(1+$A8)^15+'Assumptions'!$B$9-'Assumptions'!$B$16+'Assumptions'!$O$7))/'DCF'!$K$5</x:f>
        <x:v>1.0434641014321704</x:v>
      </x:c>
      <x:c r="E8" s="393" t="n">
        <x:f>(MAX(0,'Forecast'!B32/(1+$A8)^1+'Forecast'!C32/(1+$A8)^2+'Forecast'!D32/(1+$A8)^3+'Forecast'!E32/(1+$A8)^4+'Forecast'!F32/(1+$A8)^5+'Forecast'!G32/(1+$A8)^6+'Forecast'!H32/(1+$A8)^7+'Forecast'!I32/(1+$A8)^8+'Forecast'!J32/(1+$A8)^9+'Forecast'!K32/(1+$A8)^10+'Forecast'!L32/(1+$A8)^11+'Forecast'!M32/(1+$A8)^12+'Forecast'!N32/(1+$A8)^13+'Forecast'!O32/(1+$A8)^14+'Forecast'!P32/(1+$A8)^15+('Forecast'!P32*(1+E$4)/($A8-E$4))/(1+$A8)^15+'Assumptions'!$B$9-'Assumptions'!$B$16+'Assumptions'!$O$7))/'DCF'!$K$5</x:f>
        <x:v>1.0499927570746252</x:v>
      </x:c>
      <x:c r="F8" s="393" t="n">
        <x:f>(MAX(0,'Forecast'!B32/(1+$A8)^1+'Forecast'!C32/(1+$A8)^2+'Forecast'!D32/(1+$A8)^3+'Forecast'!E32/(1+$A8)^4+'Forecast'!F32/(1+$A8)^5+'Forecast'!G32/(1+$A8)^6+'Forecast'!H32/(1+$A8)^7+'Forecast'!I32/(1+$A8)^8+'Forecast'!J32/(1+$A8)^9+'Forecast'!K32/(1+$A8)^10+'Forecast'!L32/(1+$A8)^11+'Forecast'!M32/(1+$A8)^12+'Forecast'!N32/(1+$A8)^13+'Forecast'!O32/(1+$A8)^14+'Forecast'!P32/(1+$A8)^15+('Forecast'!P32*(1+F$4)/($A8-F$4))/(1+$A8)^15+'Assumptions'!$B$9-'Assumptions'!$B$16+'Assumptions'!$O$7))/'DCF'!$K$5</x:f>
        <x:v>1.0569170888166228</x:v>
      </x:c>
      <x:c r="G8" s="227"/>
      <x:c r="H8" s="227"/>
    </x:row>
    <x:row r="9">
      <x:c r="A9" s="402" t="n">
        <x:v>0.21</x:v>
      </x:c>
      <x:c r="B9" s="395" t="n">
        <x:f>(MAX(0,'Forecast'!B32/(1+$A9)^1+'Forecast'!C32/(1+$A9)^2+'Forecast'!D32/(1+$A9)^3+'Forecast'!E32/(1+$A9)^4+'Forecast'!F32/(1+$A9)^5+'Forecast'!G32/(1+$A9)^6+'Forecast'!H32/(1+$A9)^7+'Forecast'!I32/(1+$A9)^8+'Forecast'!J32/(1+$A9)^9+'Forecast'!K32/(1+$A9)^10+'Forecast'!L32/(1+$A9)^11+'Forecast'!M32/(1+$A9)^12+'Forecast'!N32/(1+$A9)^13+'Forecast'!O32/(1+$A9)^14+'Forecast'!P32/(1+$A9)^15+('Forecast'!P32*(1+B$4)/($A9-B$4))/(1+$A9)^15+'Assumptions'!$B$9-'Assumptions'!$B$16+'Assumptions'!$O$7))/'DCF'!$K$5</x:f>
        <x:v>0.9602176252826736</x:v>
      </x:c>
      <x:c r="C9" s="395" t="n">
        <x:f>(MAX(0,'Forecast'!B32/(1+$A9)^1+'Forecast'!C32/(1+$A9)^2+'Forecast'!D32/(1+$A9)^3+'Forecast'!E32/(1+$A9)^4+'Forecast'!F32/(1+$A9)^5+'Forecast'!G32/(1+$A9)^6+'Forecast'!H32/(1+$A9)^7+'Forecast'!I32/(1+$A9)^8+'Forecast'!J32/(1+$A9)^9+'Forecast'!K32/(1+$A9)^10+'Forecast'!L32/(1+$A9)^11+'Forecast'!M32/(1+$A9)^12+'Forecast'!N32/(1+$A9)^13+'Forecast'!O32/(1+$A9)^14+'Forecast'!P32/(1+$A9)^15+('Forecast'!P32*(1+C$4)/($A9-C$4))/(1+$A9)^15+'Assumptions'!$B$9-'Assumptions'!$B$16+'Assumptions'!$O$7))/'DCF'!$K$5</x:f>
        <x:v>0.9648849152146786</x:v>
      </x:c>
      <x:c r="D9" s="395" t="n">
        <x:f>(MAX(0,'Forecast'!B32/(1+$A9)^1+'Forecast'!C32/(1+$A9)^2+'Forecast'!D32/(1+$A9)^3+'Forecast'!E32/(1+$A9)^4+'Forecast'!F32/(1+$A9)^5+'Forecast'!G32/(1+$A9)^6+'Forecast'!H32/(1+$A9)^7+'Forecast'!I32/(1+$A9)^8+'Forecast'!J32/(1+$A9)^9+'Forecast'!K32/(1+$A9)^10+'Forecast'!L32/(1+$A9)^11+'Forecast'!M32/(1+$A9)^12+'Forecast'!N32/(1+$A9)^13+'Forecast'!O32/(1+$A9)^14+'Forecast'!P32/(1+$A9)^15+('Forecast'!P32*(1+D$4)/($A9-D$4))/(1+$A9)^15+'Assumptions'!$B$9-'Assumptions'!$B$16+'Assumptions'!$O$7))/'DCF'!$K$5</x:f>
        <x:v>0.9698044910889535</x:v>
      </x:c>
      <x:c r="E9" s="395" t="n">
        <x:f>(MAX(0,'Forecast'!B32/(1+$A9)^1+'Forecast'!C32/(1+$A9)^2+'Forecast'!D32/(1+$A9)^3+'Forecast'!E32/(1+$A9)^4+'Forecast'!F32/(1+$A9)^5+'Forecast'!G32/(1+$A9)^6+'Forecast'!H32/(1+$A9)^7+'Forecast'!I32/(1+$A9)^8+'Forecast'!J32/(1+$A9)^9+'Forecast'!K32/(1+$A9)^10+'Forecast'!L32/(1+$A9)^11+'Forecast'!M32/(1+$A9)^12+'Forecast'!N32/(1+$A9)^13+'Forecast'!O32/(1+$A9)^14+'Forecast'!P32/(1+$A9)^15+('Forecast'!P32*(1+E$4)/($A9-E$4))/(1+$A9)^15+'Assumptions'!$B$9-'Assumptions'!$B$16+'Assumptions'!$O$7))/'DCF'!$K$5</x:f>
        <x:v>0.9749973767340219</x:v>
      </x:c>
      <x:c r="F9" s="395" t="n">
        <x:f>(MAX(0,'Forecast'!B32/(1+$A9)^1+'Forecast'!C32/(1+$A9)^2+'Forecast'!D32/(1+$A9)^3+'Forecast'!E32/(1+$A9)^4+'Forecast'!F32/(1+$A9)^5+'Forecast'!G32/(1+$A9)^6+'Forecast'!H32/(1+$A9)^7+'Forecast'!I32/(1+$A9)^8+'Forecast'!J32/(1+$A9)^9+'Forecast'!K32/(1+$A9)^10+'Forecast'!L32/(1+$A9)^11+'Forecast'!M32/(1+$A9)^12+'Forecast'!N32/(1+$A9)^13+'Forecast'!O32/(1+$A9)^14+'Forecast'!P32/(1+$A9)^15+('Forecast'!P32*(1+F$4)/($A9-F$4))/(1+$A9)^15+'Assumptions'!$B$9-'Assumptions'!$B$16+'Assumptions'!$O$7))/'DCF'!$K$5</x:f>
        <x:v>0.9804869987016658</x:v>
      </x:c>
      <x:c r="G9" s="227"/>
      <x:c r="H9" s="227"/>
    </x:row>
    <x:row r="10">
      <x:c r="A10" s="227"/>
      <x:c r="B10" s="227"/>
      <x:c r="C10" s="227"/>
      <x:c r="D10" s="227"/>
      <x:c r="E10" s="227"/>
      <x:c r="F10" s="227"/>
      <x:c r="G10" s="227"/>
      <x:c r="H10" s="227"/>
    </x:row>
    <x:row r="11">
      <x:c r="A11" s="227"/>
      <x:c r="B11" s="227"/>
      <x:c r="C11" s="227"/>
      <x:c r="D11" s="227"/>
      <x:c r="E11" s="227"/>
      <x:c r="F11" s="227"/>
      <x:c r="G11" s="227"/>
      <x:c r="H11" s="227"/>
    </x:row>
    <x:row r="12" ht="22" customHeight="1">
      <x:c r="A12" s="32" t="str">
        <x:v>Dilution sensitivity</x:v>
      </x:c>
      <x:c r="B12" s="32"/>
      <x:c r="C12" s="32"/>
      <x:c r="D12" s="32"/>
      <x:c r="E12" s="32"/>
      <x:c r="F12" s="32"/>
      <x:c r="G12" s="227"/>
      <x:c r="H12" s="227"/>
    </x:row>
    <x:row r="13">
      <x:c r="A13" s="9" t="str">
        <x:v>Treatment</x:v>
      </x:c>
      <x:c r="B13" s="10" t="str">
        <x:v>Pre-fin shares</x:v>
      </x:c>
      <x:c r="C13" s="10" t="str">
        <x:v>Financing shares</x:v>
      </x:c>
      <x:c r="D13" s="10" t="str">
        <x:v>FD shares</x:v>
      </x:c>
      <x:c r="E13" s="10" t="str">
        <x:v>Base equity value</x:v>
      </x:c>
      <x:c r="F13" s="11" t="str">
        <x:v>Value / share</x:v>
      </x:c>
      <x:c r="G13" s="227"/>
      <x:c r="H13" s="227"/>
    </x:row>
    <x:row r="14">
      <x:c r="A14" s="301" t="str">
        <x:v>Options replaced by RSUs</x:v>
      </x:c>
      <x:c r="B14" s="403" t="n">
        <x:f>'Assumptions'!$G$12</x:f>
        <x:v>19.223</x:v>
      </x:c>
      <x:c r="C14" s="403" t="n">
        <x:f>'DCF'!$J$5</x:f>
        <x:v>1</x:v>
      </x:c>
      <x:c r="D14" s="403" t="n">
        <x:f>B14+C14</x:f>
        <x:v>20.223</x:v>
      </x:c>
      <x:c r="E14" s="355" t="n">
        <x:f>'DCF'!$H$5</x:f>
        <x:v>22.82761872518484</x:v>
      </x:c>
      <x:c r="F14" s="392" t="n">
        <x:f>E14/D14</x:f>
        <x:v>1.1287948734206024</x:v>
      </x:c>
      <x:c r="G14" s="227"/>
      <x:c r="H14" s="227"/>
    </x:row>
    <x:row r="15">
      <x:c r="A15" s="308" t="str">
        <x:v>Options remain OTM / no replacement</x:v>
      </x:c>
      <x:c r="B15" s="319" t="n">
        <x:f>'Assumptions'!$G$13</x:f>
        <x:v>17.904</x:v>
      </x:c>
      <x:c r="C15" s="319" t="n">
        <x:f>'DCF'!$J$5</x:f>
        <x:v>1</x:v>
      </x:c>
      <x:c r="D15" s="319" t="n">
        <x:f>B15+C15</x:f>
        <x:v>18.904</x:v>
      </x:c>
      <x:c r="E15" s="322" t="n">
        <x:f>'DCF'!$H$5</x:f>
        <x:v>22.82761872518484</x:v>
      </x:c>
      <x:c r="F15" s="393" t="n">
        <x:f>E15/D15</x:f>
        <x:v>1.2075549473754148</x:v>
      </x:c>
      <x:c r="G15" s="227"/>
      <x:c r="H15" s="227"/>
    </x:row>
    <x:row r="16">
      <x:c r="A16" s="308" t="str">
        <x:v>+$5m financing at $4/share</x:v>
      </x:c>
      <x:c r="B16" s="319" t="n">
        <x:f>'Assumptions'!$G$12</x:f>
        <x:v>19.223</x:v>
      </x:c>
      <x:c r="C16" s="319" t="n">
        <x:f>5/4</x:f>
        <x:v>1.25</x:v>
      </x:c>
      <x:c r="D16" s="319" t="n">
        <x:f>B16+C16</x:f>
        <x:v>20.473</x:v>
      </x:c>
      <x:c r="E16" s="322" t="n">
        <x:f>'DCF'!$H$5</x:f>
        <x:v>22.82761872518484</x:v>
      </x:c>
      <x:c r="F16" s="393" t="n">
        <x:f>E16/D16</x:f>
        <x:v>1.1150109278163847</x:v>
      </x:c>
      <x:c r="G16" s="227"/>
      <x:c r="H16" s="227"/>
    </x:row>
    <x:row r="17">
      <x:c r="A17" s="308" t="str">
        <x:v>+$5m financing at $6/share</x:v>
      </x:c>
      <x:c r="B17" s="319" t="n">
        <x:f>'Assumptions'!$G$12</x:f>
        <x:v>19.223</x:v>
      </x:c>
      <x:c r="C17" s="319" t="n">
        <x:f>5/6</x:f>
        <x:v>0.8333333333333334</x:v>
      </x:c>
      <x:c r="D17" s="319" t="n">
        <x:f>B17+C17</x:f>
        <x:v>20.05633333333333</x:v>
      </x:c>
      <x:c r="E17" s="322" t="n">
        <x:f>'DCF'!$H$5</x:f>
        <x:v>22.82761872518484</x:v>
      </x:c>
      <x:c r="F17" s="393" t="n">
        <x:f>E17/D17</x:f>
        <x:v>1.138175076460545</x:v>
      </x:c>
      <x:c r="G17" s="227"/>
      <x:c r="H17" s="227"/>
    </x:row>
    <x:row r="18">
      <x:c r="A18" s="321" t="str">
        <x:v>No future financing</x:v>
      </x:c>
      <x:c r="B18" s="404" t="n">
        <x:f>'Assumptions'!$G$12</x:f>
        <x:v>19.223</x:v>
      </x:c>
      <x:c r="C18" s="404" t="n">
        <x:f>0</x:f>
        <x:v>0</x:v>
      </x:c>
      <x:c r="D18" s="404" t="n">
        <x:f>B18+C18</x:f>
        <x:v>19.223</x:v>
      </x:c>
      <x:c r="E18" s="405" t="n">
        <x:f>'DCF'!$H$5-'Assumptions'!$O$7</x:f>
        <x:v>17.82761872518484</x:v>
      </x:c>
      <x:c r="F18" s="395" t="n">
        <x:f>E18/D18</x:f>
        <x:v>0.9274108476920794</x:v>
      </x:c>
      <x:c r="G18" s="227"/>
      <x:c r="H18" s="227"/>
    </x:row>
    <x:row r="19">
      <x:c r="A19" s="227"/>
      <x:c r="B19" s="227"/>
      <x:c r="C19" s="227"/>
      <x:c r="D19" s="227"/>
      <x:c r="E19" s="227"/>
      <x:c r="F19" s="227"/>
      <x:c r="G19" s="227"/>
      <x:c r="H19" s="227"/>
    </x:row>
    <x:row r="20">
      <x:c r="A20" s="227"/>
      <x:c r="B20" s="227"/>
      <x:c r="C20" s="227"/>
      <x:c r="D20" s="227"/>
      <x:c r="E20" s="227"/>
      <x:c r="F20" s="227"/>
      <x:c r="G20" s="227"/>
      <x:c r="H20" s="227"/>
    </x:row>
    <x:row r="21" ht="22" customHeight="1">
      <x:c r="A21" s="32" t="str">
        <x:v>Interpretation</x:v>
      </x:c>
      <x:c r="B21" s="32"/>
      <x:c r="C21" s="32"/>
      <x:c r="D21" s="32"/>
      <x:c r="E21" s="32"/>
      <x:c r="F21" s="32"/>
      <x:c r="G21" s="32"/>
      <x:c r="H21" s="32"/>
    </x:row>
    <x:row r="22" ht="38" customHeight="1">
      <x:c r="A22" s="24" t="str">
        <x:v>Question</x:v>
      </x:c>
      <x:c r="B22" s="26" t="str">
        <x:v>Read-through</x:v>
      </x:c>
      <x:c r="C22" s="255"/>
      <x:c r="D22" s="255"/>
      <x:c r="E22" s="255"/>
      <x:c r="F22" s="255"/>
      <x:c r="G22" s="255"/>
      <x:c r="H22" s="255"/>
    </x:row>
    <x:row r="23" ht="38" customHeight="1">
      <x:c r="A23" s="255" t="str">
        <x:v>WACC / g</x:v>
      </x:c>
      <x:c r="B23" s="255" t="str">
        <x:v>A common 19% WACC and 2.5% terminal growth are used across primary cases to avoid double-counting adoption risk; 17%–21% is a separate sensitivity.</x:v>
      </x:c>
      <x:c r="C23" s="255"/>
      <x:c r="D23" s="255"/>
      <x:c r="E23" s="255"/>
      <x:c r="F23" s="255"/>
      <x:c r="G23" s="255"/>
      <x:c r="H23" s="255"/>
    </x:row>
    <x:row r="24" ht="38" customHeight="1">
      <x:c r="A24" s="255" t="str">
        <x:v>Dilution</x:v>
      </x:c>
      <x:c r="B24" s="255" t="str">
        <x:v>The unresolved 1.319m option/RSU treatment and issuance price are material but do not explain the full market gap.</x:v>
      </x:c>
      <x:c r="C24" s="255"/>
      <x:c r="D24" s="255"/>
      <x:c r="E24" s="255"/>
      <x:c r="F24" s="255"/>
      <x:c r="G24" s="255"/>
      <x:c r="H24" s="255"/>
    </x:row>
    <x:row r="25" ht="38" customHeight="1">
      <x:c r="A25" s="255" t="str">
        <x:v>Key missing evidence</x:v>
      </x:c>
      <x:c r="B25" s="255" t="str">
        <x:v>Claims realization, repeat utilization, and payer-policy activation determine whether the revenue path deserves a lower hurdle.</x:v>
      </x:c>
      <x:c r="C25" s="255"/>
      <x:c r="D25" s="255"/>
      <x:c r="E25" s="255"/>
      <x:c r="F25" s="255"/>
      <x:c r="G25" s="255"/>
      <x:c r="H25" s="2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</x:cols>
  <x:sheetData>
    <x:row r="1" ht="30" customHeight="1">
      <x:c r="A1" s="3" t="str">
        <x:v>Market-Implied Adoption Burden</x:v>
      </x:c>
      <x:c r="B1" s="3" t="str">
        <x:v>Market-Implied Adoption Burden</x:v>
      </x:c>
      <x:c r="C1" s="3" t="str">
        <x:v>Market-Implied Adoption Burden</x:v>
      </x:c>
      <x:c r="D1" s="3" t="str">
        <x:v>Market-Implied Adoption Burden</x:v>
      </x:c>
      <x:c r="E1" s="3" t="str">
        <x:v>Market-Implied Adoption Burden</x:v>
      </x:c>
      <x:c r="F1" s="3" t="str">
        <x:v>Market-Implied Adoption Burden</x:v>
      </x:c>
      <x:c r="G1" s="3" t="str">
        <x:v>Market-Implied Adoption Burden</x:v>
      </x:c>
      <x:c r="H1" s="3" t="str">
        <x:v>Market-Implied Adoption Burden</x:v>
      </x:c>
    </x:row>
    <x:row r="2">
      <x:c r="A2" s="300" t="str">
        <x:v>Bull operating margins, common 19% WACC, 2.5% terminal growth, NOL policy, and bull dilution are held fixed. Only the entire bull revenue path is scaled. This is a model-derived inference, not a unique market belief or consensus forecast.</x:v>
      </x:c>
      <x:c r="B2" s="300"/>
      <x:c r="C2" s="300"/>
      <x:c r="D2" s="300"/>
      <x:c r="E2" s="300"/>
      <x:c r="F2" s="300"/>
      <x:c r="G2" s="300"/>
      <x:c r="H2" s="300"/>
    </x:row>
    <x:row r="3" ht="22" customHeight="1">
      <x:c r="A3" s="32" t="str">
        <x:v>Bull revenue-path scale sensitivity</x:v>
      </x:c>
      <x:c r="B3" s="32"/>
      <x:c r="C3" s="32"/>
      <x:c r="D3" s="32"/>
      <x:c r="E3" s="32"/>
      <x:c r="F3" s="227"/>
      <x:c r="G3" s="227"/>
      <x:c r="H3" s="227"/>
    </x:row>
    <x:row r="4">
      <x:c r="A4" s="9" t="str">
        <x:v>Revenue scale</x:v>
      </x:c>
      <x:c r="B4" s="10" t="str">
        <x:v>2030 revenue</x:v>
      </x:c>
      <x:c r="C4" s="10" t="str">
        <x:v>2035 revenue</x:v>
      </x:c>
      <x:c r="D4" s="10" t="str">
        <x:v>2040 revenue</x:v>
      </x:c>
      <x:c r="E4" s="11" t="str">
        <x:v>Value / share</x:v>
      </x:c>
      <x:c r="F4" s="227"/>
      <x:c r="G4" s="227"/>
      <x:c r="H4" s="227"/>
    </x:row>
    <x:row r="5">
      <x:c r="A5" s="413" t="n">
        <x:v>0.8</x:v>
      </x:c>
      <x:c r="B5" s="355" t="n">
        <x:f>'Assumptions'!F39*A5</x:f>
        <x:v>37.6</x:v>
      </x:c>
      <x:c r="C5" s="355" t="n">
        <x:f>'Assumptions'!K39*A5</x:f>
        <x:v>100</x:v>
      </x:c>
      <x:c r="D5" s="355" t="n">
        <x:f>'Assumptions'!P39*A5</x:f>
        <x:v>149.68</x:v>
      </x:c>
      <x:c r="E5" s="392" t="n">
        <x:f>(MAX(0,(('Assumptions'!B$39*$A5)*'Assumptions'!B$40-((MAX(0,('Assumptions'!B$39*$A5)*'Assumptions'!B$40))-MIN(0.8*MAX(0,('Assumptions'!B$39*$A5)*'Assumptions'!B$40),MAX(0,'Assumptions'!$B$17-0.8*(0))))*'Assumptions'!$B$10+('Assumptions'!B$39*$A5)*'Assumptions'!$B$11-('Assumptions'!B$39*$A5)*'Assumptions'!$B$12-(('Assumptions'!B$39*$A5)-'Assumptions'!$B$14)*'Assumptions'!$B$13)/(1+'Assumptions'!$M$8)^1+(('Assumptions'!C$39*$A5)*'Assumptions'!C$40-((MAX(0,('Assumptions'!C$39*$A5)*'Assumptions'!C$40))-MIN(0.8*MAX(0,('Assumptions'!C$39*$A5)*'Assumptions'!C$40),MAX(0,'Assumptions'!$B$17-0.8*(MAX(0,('Assumptions'!B$39*$A5)*'Assumptions'!B$40)))))*'Assumptions'!$B$10+('Assumptions'!C$39*$A5)*'Assumptions'!$B$11-('Assumptions'!C$39*$A5)*'Assumptions'!$B$12-(('Assumptions'!C$39*$A5)-('Assumptions'!B$39*$A5))*'Assumptions'!$B$13)/(1+'Assumptions'!$M$8)^2+(('Assumptions'!D$39*$A5)*'Assumptions'!D$40-((MAX(0,('Assumptions'!D$39*$A5)*'Assumptions'!D$40))-MIN(0.8*MAX(0,('Assumptions'!D$39*$A5)*'Assumptions'!D$40),MAX(0,'Assumptions'!$B$17-0.8*(MAX(0,('Assumptions'!B$39*$A5)*'Assumptions'!B$40)+MAX(0,('Assumptions'!C$39*$A5)*'Assumptions'!C$40)))))*'Assumptions'!$B$10+('Assumptions'!D$39*$A5)*'Assumptions'!$B$11-('Assumptions'!D$39*$A5)*'Assumptions'!$B$12-(('Assumptions'!D$39*$A5)-('Assumptions'!C$39*$A5))*'Assumptions'!$B$13)/(1+'Assumptions'!$M$8)^3+(('Assumptions'!E$39*$A5)*'Assumptions'!E$40-((MAX(0,('Assumptions'!E$39*$A5)*'Assumptions'!E$40))-MIN(0.8*MAX(0,('Assumptions'!E$39*$A5)*'Assumptions'!E$40),MAX(0,'Assumptions'!$B$17-0.8*(MAX(0,('Assumptions'!B$39*$A5)*'Assumptions'!B$40)+MAX(0,('Assumptions'!C$39*$A5)*'Assumptions'!C$40)+MAX(0,('Assumptions'!D$39*$A5)*'Assumptions'!D$40)))))*'Assumptions'!$B$10+('Assumptions'!E$39*$A5)*'Assumptions'!$B$11-('Assumptions'!E$39*$A5)*'Assumptions'!$B$12-(('Assumptions'!E$39*$A5)-('Assumptions'!D$39*$A5))*'Assumptions'!$B$13)/(1+'Assumptions'!$M$8)^4+(('Assumptions'!F$39*$A5)*'Assumptions'!F$40-((MAX(0,('Assumptions'!F$39*$A5)*'Assumptions'!F$40))-MIN(0.8*MAX(0,('Assumptions'!F$39*$A5)*'Assumptions'!F$40),MAX(0,'Assumptions'!$B$17-0.8*(MAX(0,('Assumptions'!B$39*$A5)*'Assumptions'!B$40)+MAX(0,('Assumptions'!C$39*$A5)*'Assumptions'!C$40)+MAX(0,('Assumptions'!D$39*$A5)*'Assumptions'!D$40)+MAX(0,('Assumptions'!E$39*$A5)*'Assumptions'!E$40)))))*'Assumptions'!$B$10+('Assumptions'!F$39*$A5)*'Assumptions'!$B$11-('Assumptions'!F$39*$A5)*'Assumptions'!$B$12-(('Assumptions'!F$39*$A5)-('Assumptions'!E$39*$A5))*'Assumptions'!$B$13)/(1+'Assumptions'!$M$8)^5+(('Assumptions'!G$39*$A5)*'Assumptions'!G$40-((MAX(0,('Assumptions'!G$39*$A5)*'Assumptions'!G$40))-MIN(0.8*MAX(0,('Assumptions'!G$39*$A5)*'Assumptions'!G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))))*'Assumptions'!$B$10+('Assumptions'!G$39*$A5)*'Assumptions'!$B$11-('Assumptions'!G$39*$A5)*'Assumptions'!$B$12-(('Assumptions'!G$39*$A5)-('Assumptions'!F$39*$A5))*'Assumptions'!$B$13)/(1+'Assumptions'!$M$8)^6+(('Assumptions'!H$39*$A5)*'Assumptions'!H$40-((MAX(0,('Assumptions'!H$39*$A5)*'Assumptions'!H$40))-MIN(0.8*MAX(0,('Assumptions'!H$39*$A5)*'Assumptions'!H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))))*'Assumptions'!$B$10+('Assumptions'!H$39*$A5)*'Assumptions'!$B$11-('Assumptions'!H$39*$A5)*'Assumptions'!$B$12-(('Assumptions'!H$39*$A5)-('Assumptions'!G$39*$A5))*'Assumptions'!$B$13)/(1+'Assumptions'!$M$8)^7+(('Assumptions'!I$39*$A5)*'Assumptions'!I$40-((MAX(0,('Assumptions'!I$39*$A5)*'Assumptions'!I$40))-MIN(0.8*MAX(0,('Assumptions'!I$39*$A5)*'Assumptions'!I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))))*'Assumptions'!$B$10+('Assumptions'!I$39*$A5)*'Assumptions'!$B$11-('Assumptions'!I$39*$A5)*'Assumptions'!$B$12-(('Assumptions'!I$39*$A5)-('Assumptions'!H$39*$A5))*'Assumptions'!$B$13)/(1+'Assumptions'!$M$8)^8+(('Assumptions'!J$39*$A5)*'Assumptions'!J$40-((MAX(0,('Assumptions'!J$39*$A5)*'Assumptions'!J$40))-MIN(0.8*MAX(0,('Assumptions'!J$39*$A5)*'Assumptions'!J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))))*'Assumptions'!$B$10+('Assumptions'!J$39*$A5)*'Assumptions'!$B$11-('Assumptions'!J$39*$A5)*'Assumptions'!$B$12-(('Assumptions'!J$39*$A5)-('Assumptions'!I$39*$A5))*'Assumptions'!$B$13)/(1+'Assumptions'!$M$8)^9+(('Assumptions'!K$39*$A5)*'Assumptions'!K$40-((MAX(0,('Assumptions'!K$39*$A5)*'Assumptions'!K$40))-MIN(0.8*MAX(0,('Assumptions'!K$39*$A5)*'Assumptions'!K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))))*'Assumptions'!$B$10+('Assumptions'!K$39*$A5)*'Assumptions'!$B$11-('Assumptions'!K$39*$A5)*'Assumptions'!$B$12-(('Assumptions'!K$39*$A5)-('Assumptions'!J$39*$A5))*'Assumptions'!$B$13)/(1+'Assumptions'!$M$8)^10+(('Assumptions'!L$39*$A5)*'Assumptions'!L$40-((MAX(0,('Assumptions'!L$39*$A5)*'Assumptions'!L$40))-MIN(0.8*MAX(0,('Assumptions'!L$39*$A5)*'Assumptions'!L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))))*'Assumptions'!$B$10+('Assumptions'!L$39*$A5)*'Assumptions'!$B$11-('Assumptions'!L$39*$A5)*'Assumptions'!$B$12-(('Assumptions'!L$39*$A5)-('Assumptions'!K$39*$A5))*'Assumptions'!$B$13)/(1+'Assumptions'!$M$8)^11+(('Assumptions'!M$39*$A5)*'Assumptions'!M$40-((MAX(0,('Assumptions'!M$39*$A5)*'Assumptions'!M$40))-MIN(0.8*MAX(0,('Assumptions'!M$39*$A5)*'Assumptions'!M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+MAX(0,('Assumptions'!L$39*$A5)*'Assumptions'!L$40)))))*'Assumptions'!$B$10+('Assumptions'!M$39*$A5)*'Assumptions'!$B$11-('Assumptions'!M$39*$A5)*'Assumptions'!$B$12-(('Assumptions'!M$39*$A5)-('Assumptions'!L$39*$A5))*'Assumptions'!$B$13)/(1+'Assumptions'!$M$8)^12+(('Assumptions'!N$39*$A5)*'Assumptions'!N$40-((MAX(0,('Assumptions'!N$39*$A5)*'Assumptions'!N$40))-MIN(0.8*MAX(0,('Assumptions'!N$39*$A5)*'Assumptions'!N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+MAX(0,('Assumptions'!L$39*$A5)*'Assumptions'!L$40)+MAX(0,('Assumptions'!M$39*$A5)*'Assumptions'!M$40)))))*'Assumptions'!$B$10+('Assumptions'!N$39*$A5)*'Assumptions'!$B$11-('Assumptions'!N$39*$A5)*'Assumptions'!$B$12-(('Assumptions'!N$39*$A5)-('Assumptions'!M$39*$A5))*'Assumptions'!$B$13)/(1+'Assumptions'!$M$8)^13+(('Assumptions'!O$39*$A5)*'Assumptions'!O$40-((MAX(0,('Assumptions'!O$39*$A5)*'Assumptions'!O$40))-MIN(0.8*MAX(0,('Assumptions'!O$39*$A5)*'Assumptions'!O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+MAX(0,('Assumptions'!L$39*$A5)*'Assumptions'!L$40)+MAX(0,('Assumptions'!M$39*$A5)*'Assumptions'!M$40)+MAX(0,('Assumptions'!N$39*$A5)*'Assumptions'!N$40)))))*'Assumptions'!$B$10+('Assumptions'!O$39*$A5)*'Assumptions'!$B$11-('Assumptions'!O$39*$A5)*'Assumptions'!$B$12-(('Assumptions'!O$39*$A5)-('Assumptions'!N$39*$A5))*'Assumptions'!$B$13)/(1+'Assumptions'!$M$8)^14+(('Assumptions'!P$39*$A5)*'Assumptions'!P$40-((MAX(0,('Assumptions'!P$39*$A5)*'Assumptions'!P$40))-MIN(0.8*MAX(0,('Assumptions'!P$39*$A5)*'Assumptions'!P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+MAX(0,('Assumptions'!L$39*$A5)*'Assumptions'!L$40)+MAX(0,('Assumptions'!M$39*$A5)*'Assumptions'!M$40)+MAX(0,('Assumptions'!N$39*$A5)*'Assumptions'!N$40)+MAX(0,('Assumptions'!O$39*$A5)*'Assumptions'!O$40)))))*'Assumptions'!$B$10+('Assumptions'!P$39*$A5)*'Assumptions'!$B$11-('Assumptions'!P$39*$A5)*'Assumptions'!$B$12-(('Assumptions'!P$39*$A5)-('Assumptions'!O$39*$A5))*'Assumptions'!$B$13)/(1+'Assumptions'!$M$8)^15+((('Assumptions'!P$39*$A5)*'Assumptions'!P$40-((MAX(0,('Assumptions'!P$39*$A5)*'Assumptions'!P$40))-MIN(0.8*MAX(0,('Assumptions'!P$39*$A5)*'Assumptions'!P$40),MAX(0,'Assumptions'!$B$17-0.8*(MAX(0,('Assumptions'!B$39*$A5)*'Assumptions'!B$40)+MAX(0,('Assumptions'!C$39*$A5)*'Assumptions'!C$40)+MAX(0,('Assumptions'!D$39*$A5)*'Assumptions'!D$40)+MAX(0,('Assumptions'!E$39*$A5)*'Assumptions'!E$40)+MAX(0,('Assumptions'!F$39*$A5)*'Assumptions'!F$40)+MAX(0,('Assumptions'!G$39*$A5)*'Assumptions'!G$40)+MAX(0,('Assumptions'!H$39*$A5)*'Assumptions'!H$40)+MAX(0,('Assumptions'!I$39*$A5)*'Assumptions'!I$40)+MAX(0,('Assumptions'!J$39*$A5)*'Assumptions'!J$40)+MAX(0,('Assumptions'!K$39*$A5)*'Assumptions'!K$40)+MAX(0,('Assumptions'!L$39*$A5)*'Assumptions'!L$40)+MAX(0,('Assumptions'!M$39*$A5)*'Assumptions'!M$40)+MAX(0,('Assumptions'!N$39*$A5)*'Assumptions'!N$40)+MAX(0,('Assumptions'!O$39*$A5)*'Assumptions'!O$40)))))*'Assumptions'!$B$10+('Assumptions'!P$39*$A5)*'Assumptions'!$B$11-('Assumptions'!P$39*$A5)*'Assumptions'!$B$12-(('Assumptions'!P$39*$A5)-('Assumptions'!O$39*$A5))*'Assumptions'!$B$13)*(1+'Assumptions'!$N$8)/('Assumptions'!$M$8-'Assumptions'!$N$8))/(1+'Assumptions'!$M$8)^15+'Assumptions'!$B$9-'Assumptions'!$B$16+'Assumptions'!$O$8))/'DCF'!$K$6</x:f>
        <x:v>3.5634216022929985</x:v>
      </x:c>
      <x:c r="F5" s="227"/>
      <x:c r="G5" s="227"/>
      <x:c r="H5" s="227"/>
    </x:row>
    <x:row r="6">
      <x:c r="A6" s="414" t="n">
        <x:v>0.9</x:v>
      </x:c>
      <x:c r="B6" s="322" t="n">
        <x:f>'Assumptions'!F39*A6</x:f>
        <x:v>42.300000000000004</x:v>
      </x:c>
      <x:c r="C6" s="322" t="n">
        <x:f>'Assumptions'!K39*A6</x:f>
        <x:v>112.5</x:v>
      </x:c>
      <x:c r="D6" s="322" t="n">
        <x:f>'Assumptions'!P39*A6</x:f>
        <x:v>168.39</x:v>
      </x:c>
      <x:c r="E6" s="393" t="n">
        <x:f>(MAX(0,(('Assumptions'!B$39*$A6)*'Assumptions'!B$40-((MAX(0,('Assumptions'!B$39*$A6)*'Assumptions'!B$40))-MIN(0.8*MAX(0,('Assumptions'!B$39*$A6)*'Assumptions'!B$40),MAX(0,'Assumptions'!$B$17-0.8*(0))))*'Assumptions'!$B$10+('Assumptions'!B$39*$A6)*'Assumptions'!$B$11-('Assumptions'!B$39*$A6)*'Assumptions'!$B$12-(('Assumptions'!B$39*$A6)-'Assumptions'!$B$14)*'Assumptions'!$B$13)/(1+'Assumptions'!$M$8)^1+(('Assumptions'!C$39*$A6)*'Assumptions'!C$40-((MAX(0,('Assumptions'!C$39*$A6)*'Assumptions'!C$40))-MIN(0.8*MAX(0,('Assumptions'!C$39*$A6)*'Assumptions'!C$40),MAX(0,'Assumptions'!$B$17-0.8*(MAX(0,('Assumptions'!B$39*$A6)*'Assumptions'!B$40)))))*'Assumptions'!$B$10+('Assumptions'!C$39*$A6)*'Assumptions'!$B$11-('Assumptions'!C$39*$A6)*'Assumptions'!$B$12-(('Assumptions'!C$39*$A6)-('Assumptions'!B$39*$A6))*'Assumptions'!$B$13)/(1+'Assumptions'!$M$8)^2+(('Assumptions'!D$39*$A6)*'Assumptions'!D$40-((MAX(0,('Assumptions'!D$39*$A6)*'Assumptions'!D$40))-MIN(0.8*MAX(0,('Assumptions'!D$39*$A6)*'Assumptions'!D$40),MAX(0,'Assumptions'!$B$17-0.8*(MAX(0,('Assumptions'!B$39*$A6)*'Assumptions'!B$40)+MAX(0,('Assumptions'!C$39*$A6)*'Assumptions'!C$40)))))*'Assumptions'!$B$10+('Assumptions'!D$39*$A6)*'Assumptions'!$B$11-('Assumptions'!D$39*$A6)*'Assumptions'!$B$12-(('Assumptions'!D$39*$A6)-('Assumptions'!C$39*$A6))*'Assumptions'!$B$13)/(1+'Assumptions'!$M$8)^3+(('Assumptions'!E$39*$A6)*'Assumptions'!E$40-((MAX(0,('Assumptions'!E$39*$A6)*'Assumptions'!E$40))-MIN(0.8*MAX(0,('Assumptions'!E$39*$A6)*'Assumptions'!E$40),MAX(0,'Assumptions'!$B$17-0.8*(MAX(0,('Assumptions'!B$39*$A6)*'Assumptions'!B$40)+MAX(0,('Assumptions'!C$39*$A6)*'Assumptions'!C$40)+MAX(0,('Assumptions'!D$39*$A6)*'Assumptions'!D$40)))))*'Assumptions'!$B$10+('Assumptions'!E$39*$A6)*'Assumptions'!$B$11-('Assumptions'!E$39*$A6)*'Assumptions'!$B$12-(('Assumptions'!E$39*$A6)-('Assumptions'!D$39*$A6))*'Assumptions'!$B$13)/(1+'Assumptions'!$M$8)^4+(('Assumptions'!F$39*$A6)*'Assumptions'!F$40-((MAX(0,('Assumptions'!F$39*$A6)*'Assumptions'!F$40))-MIN(0.8*MAX(0,('Assumptions'!F$39*$A6)*'Assumptions'!F$40),MAX(0,'Assumptions'!$B$17-0.8*(MAX(0,('Assumptions'!B$39*$A6)*'Assumptions'!B$40)+MAX(0,('Assumptions'!C$39*$A6)*'Assumptions'!C$40)+MAX(0,('Assumptions'!D$39*$A6)*'Assumptions'!D$40)+MAX(0,('Assumptions'!E$39*$A6)*'Assumptions'!E$40)))))*'Assumptions'!$B$10+('Assumptions'!F$39*$A6)*'Assumptions'!$B$11-('Assumptions'!F$39*$A6)*'Assumptions'!$B$12-(('Assumptions'!F$39*$A6)-('Assumptions'!E$39*$A6))*'Assumptions'!$B$13)/(1+'Assumptions'!$M$8)^5+(('Assumptions'!G$39*$A6)*'Assumptions'!G$40-((MAX(0,('Assumptions'!G$39*$A6)*'Assumptions'!G$40))-MIN(0.8*MAX(0,('Assumptions'!G$39*$A6)*'Assumptions'!G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))))*'Assumptions'!$B$10+('Assumptions'!G$39*$A6)*'Assumptions'!$B$11-('Assumptions'!G$39*$A6)*'Assumptions'!$B$12-(('Assumptions'!G$39*$A6)-('Assumptions'!F$39*$A6))*'Assumptions'!$B$13)/(1+'Assumptions'!$M$8)^6+(('Assumptions'!H$39*$A6)*'Assumptions'!H$40-((MAX(0,('Assumptions'!H$39*$A6)*'Assumptions'!H$40))-MIN(0.8*MAX(0,('Assumptions'!H$39*$A6)*'Assumptions'!H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))))*'Assumptions'!$B$10+('Assumptions'!H$39*$A6)*'Assumptions'!$B$11-('Assumptions'!H$39*$A6)*'Assumptions'!$B$12-(('Assumptions'!H$39*$A6)-('Assumptions'!G$39*$A6))*'Assumptions'!$B$13)/(1+'Assumptions'!$M$8)^7+(('Assumptions'!I$39*$A6)*'Assumptions'!I$40-((MAX(0,('Assumptions'!I$39*$A6)*'Assumptions'!I$40))-MIN(0.8*MAX(0,('Assumptions'!I$39*$A6)*'Assumptions'!I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))))*'Assumptions'!$B$10+('Assumptions'!I$39*$A6)*'Assumptions'!$B$11-('Assumptions'!I$39*$A6)*'Assumptions'!$B$12-(('Assumptions'!I$39*$A6)-('Assumptions'!H$39*$A6))*'Assumptions'!$B$13)/(1+'Assumptions'!$M$8)^8+(('Assumptions'!J$39*$A6)*'Assumptions'!J$40-((MAX(0,('Assumptions'!J$39*$A6)*'Assumptions'!J$40))-MIN(0.8*MAX(0,('Assumptions'!J$39*$A6)*'Assumptions'!J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))))*'Assumptions'!$B$10+('Assumptions'!J$39*$A6)*'Assumptions'!$B$11-('Assumptions'!J$39*$A6)*'Assumptions'!$B$12-(('Assumptions'!J$39*$A6)-('Assumptions'!I$39*$A6))*'Assumptions'!$B$13)/(1+'Assumptions'!$M$8)^9+(('Assumptions'!K$39*$A6)*'Assumptions'!K$40-((MAX(0,('Assumptions'!K$39*$A6)*'Assumptions'!K$40))-MIN(0.8*MAX(0,('Assumptions'!K$39*$A6)*'Assumptions'!K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))))*'Assumptions'!$B$10+('Assumptions'!K$39*$A6)*'Assumptions'!$B$11-('Assumptions'!K$39*$A6)*'Assumptions'!$B$12-(('Assumptions'!K$39*$A6)-('Assumptions'!J$39*$A6))*'Assumptions'!$B$13)/(1+'Assumptions'!$M$8)^10+(('Assumptions'!L$39*$A6)*'Assumptions'!L$40-((MAX(0,('Assumptions'!L$39*$A6)*'Assumptions'!L$40))-MIN(0.8*MAX(0,('Assumptions'!L$39*$A6)*'Assumptions'!L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))))*'Assumptions'!$B$10+('Assumptions'!L$39*$A6)*'Assumptions'!$B$11-('Assumptions'!L$39*$A6)*'Assumptions'!$B$12-(('Assumptions'!L$39*$A6)-('Assumptions'!K$39*$A6))*'Assumptions'!$B$13)/(1+'Assumptions'!$M$8)^11+(('Assumptions'!M$39*$A6)*'Assumptions'!M$40-((MAX(0,('Assumptions'!M$39*$A6)*'Assumptions'!M$40))-MIN(0.8*MAX(0,('Assumptions'!M$39*$A6)*'Assumptions'!M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+MAX(0,('Assumptions'!L$39*$A6)*'Assumptions'!L$40)))))*'Assumptions'!$B$10+('Assumptions'!M$39*$A6)*'Assumptions'!$B$11-('Assumptions'!M$39*$A6)*'Assumptions'!$B$12-(('Assumptions'!M$39*$A6)-('Assumptions'!L$39*$A6))*'Assumptions'!$B$13)/(1+'Assumptions'!$M$8)^12+(('Assumptions'!N$39*$A6)*'Assumptions'!N$40-((MAX(0,('Assumptions'!N$39*$A6)*'Assumptions'!N$40))-MIN(0.8*MAX(0,('Assumptions'!N$39*$A6)*'Assumptions'!N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+MAX(0,('Assumptions'!L$39*$A6)*'Assumptions'!L$40)+MAX(0,('Assumptions'!M$39*$A6)*'Assumptions'!M$40)))))*'Assumptions'!$B$10+('Assumptions'!N$39*$A6)*'Assumptions'!$B$11-('Assumptions'!N$39*$A6)*'Assumptions'!$B$12-(('Assumptions'!N$39*$A6)-('Assumptions'!M$39*$A6))*'Assumptions'!$B$13)/(1+'Assumptions'!$M$8)^13+(('Assumptions'!O$39*$A6)*'Assumptions'!O$40-((MAX(0,('Assumptions'!O$39*$A6)*'Assumptions'!O$40))-MIN(0.8*MAX(0,('Assumptions'!O$39*$A6)*'Assumptions'!O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+MAX(0,('Assumptions'!L$39*$A6)*'Assumptions'!L$40)+MAX(0,('Assumptions'!M$39*$A6)*'Assumptions'!M$40)+MAX(0,('Assumptions'!N$39*$A6)*'Assumptions'!N$40)))))*'Assumptions'!$B$10+('Assumptions'!O$39*$A6)*'Assumptions'!$B$11-('Assumptions'!O$39*$A6)*'Assumptions'!$B$12-(('Assumptions'!O$39*$A6)-('Assumptions'!N$39*$A6))*'Assumptions'!$B$13)/(1+'Assumptions'!$M$8)^14+(('Assumptions'!P$39*$A6)*'Assumptions'!P$40-((MAX(0,('Assumptions'!P$39*$A6)*'Assumptions'!P$40))-MIN(0.8*MAX(0,('Assumptions'!P$39*$A6)*'Assumptions'!P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+MAX(0,('Assumptions'!L$39*$A6)*'Assumptions'!L$40)+MAX(0,('Assumptions'!M$39*$A6)*'Assumptions'!M$40)+MAX(0,('Assumptions'!N$39*$A6)*'Assumptions'!N$40)+MAX(0,('Assumptions'!O$39*$A6)*'Assumptions'!O$40)))))*'Assumptions'!$B$10+('Assumptions'!P$39*$A6)*'Assumptions'!$B$11-('Assumptions'!P$39*$A6)*'Assumptions'!$B$12-(('Assumptions'!P$39*$A6)-('Assumptions'!O$39*$A6))*'Assumptions'!$B$13)/(1+'Assumptions'!$M$8)^15+((('Assumptions'!P$39*$A6)*'Assumptions'!P$40-((MAX(0,('Assumptions'!P$39*$A6)*'Assumptions'!P$40))-MIN(0.8*MAX(0,('Assumptions'!P$39*$A6)*'Assumptions'!P$40),MAX(0,'Assumptions'!$B$17-0.8*(MAX(0,('Assumptions'!B$39*$A6)*'Assumptions'!B$40)+MAX(0,('Assumptions'!C$39*$A6)*'Assumptions'!C$40)+MAX(0,('Assumptions'!D$39*$A6)*'Assumptions'!D$40)+MAX(0,('Assumptions'!E$39*$A6)*'Assumptions'!E$40)+MAX(0,('Assumptions'!F$39*$A6)*'Assumptions'!F$40)+MAX(0,('Assumptions'!G$39*$A6)*'Assumptions'!G$40)+MAX(0,('Assumptions'!H$39*$A6)*'Assumptions'!H$40)+MAX(0,('Assumptions'!I$39*$A6)*'Assumptions'!I$40)+MAX(0,('Assumptions'!J$39*$A6)*'Assumptions'!J$40)+MAX(0,('Assumptions'!K$39*$A6)*'Assumptions'!K$40)+MAX(0,('Assumptions'!L$39*$A6)*'Assumptions'!L$40)+MAX(0,('Assumptions'!M$39*$A6)*'Assumptions'!M$40)+MAX(0,('Assumptions'!N$39*$A6)*'Assumptions'!N$40)+MAX(0,('Assumptions'!O$39*$A6)*'Assumptions'!O$40)))))*'Assumptions'!$B$10+('Assumptions'!P$39*$A6)*'Assumptions'!$B$11-('Assumptions'!P$39*$A6)*'Assumptions'!$B$12-(('Assumptions'!P$39*$A6)-('Assumptions'!O$39*$A6))*'Assumptions'!$B$13)*(1+'Assumptions'!$N$8)/('Assumptions'!$M$8-'Assumptions'!$N$8))/(1+'Assumptions'!$M$8)^15+'Assumptions'!$B$9-'Assumptions'!$B$16+'Assumptions'!$O$8))/'DCF'!$K$6</x:f>
        <x:v>3.9308375674403537</x:v>
      </x:c>
      <x:c r="F6" s="227"/>
      <x:c r="G6" s="227"/>
      <x:c r="H6" s="227"/>
    </x:row>
    <x:row r="7">
      <x:c r="A7" s="415" t="n">
        <x:v>1</x:v>
      </x:c>
      <x:c r="B7" s="416" t="n">
        <x:f>'Assumptions'!F39*A7</x:f>
        <x:v>47</x:v>
      </x:c>
      <x:c r="C7" s="416" t="n">
        <x:f>'Assumptions'!K39*A7</x:f>
        <x:v>125</x:v>
      </x:c>
      <x:c r="D7" s="416" t="n">
        <x:f>'Assumptions'!P39*A7</x:f>
        <x:v>187.1</x:v>
      </x:c>
      <x:c r="E7" s="401" t="n">
        <x:f>(MAX(0,(('Assumptions'!B$39*$A7)*'Assumptions'!B$40-((MAX(0,('Assumptions'!B$39*$A7)*'Assumptions'!B$40))-MIN(0.8*MAX(0,('Assumptions'!B$39*$A7)*'Assumptions'!B$40),MAX(0,'Assumptions'!$B$17-0.8*(0))))*'Assumptions'!$B$10+('Assumptions'!B$39*$A7)*'Assumptions'!$B$11-('Assumptions'!B$39*$A7)*'Assumptions'!$B$12-(('Assumptions'!B$39*$A7)-'Assumptions'!$B$14)*'Assumptions'!$B$13)/(1+'Assumptions'!$M$8)^1+(('Assumptions'!C$39*$A7)*'Assumptions'!C$40-((MAX(0,('Assumptions'!C$39*$A7)*'Assumptions'!C$40))-MIN(0.8*MAX(0,('Assumptions'!C$39*$A7)*'Assumptions'!C$40),MAX(0,'Assumptions'!$B$17-0.8*(MAX(0,('Assumptions'!B$39*$A7)*'Assumptions'!B$40)))))*'Assumptions'!$B$10+('Assumptions'!C$39*$A7)*'Assumptions'!$B$11-('Assumptions'!C$39*$A7)*'Assumptions'!$B$12-(('Assumptions'!C$39*$A7)-('Assumptions'!B$39*$A7))*'Assumptions'!$B$13)/(1+'Assumptions'!$M$8)^2+(('Assumptions'!D$39*$A7)*'Assumptions'!D$40-((MAX(0,('Assumptions'!D$39*$A7)*'Assumptions'!D$40))-MIN(0.8*MAX(0,('Assumptions'!D$39*$A7)*'Assumptions'!D$40),MAX(0,'Assumptions'!$B$17-0.8*(MAX(0,('Assumptions'!B$39*$A7)*'Assumptions'!B$40)+MAX(0,('Assumptions'!C$39*$A7)*'Assumptions'!C$40)))))*'Assumptions'!$B$10+('Assumptions'!D$39*$A7)*'Assumptions'!$B$11-('Assumptions'!D$39*$A7)*'Assumptions'!$B$12-(('Assumptions'!D$39*$A7)-('Assumptions'!C$39*$A7))*'Assumptions'!$B$13)/(1+'Assumptions'!$M$8)^3+(('Assumptions'!E$39*$A7)*'Assumptions'!E$40-((MAX(0,('Assumptions'!E$39*$A7)*'Assumptions'!E$40))-MIN(0.8*MAX(0,('Assumptions'!E$39*$A7)*'Assumptions'!E$40),MAX(0,'Assumptions'!$B$17-0.8*(MAX(0,('Assumptions'!B$39*$A7)*'Assumptions'!B$40)+MAX(0,('Assumptions'!C$39*$A7)*'Assumptions'!C$40)+MAX(0,('Assumptions'!D$39*$A7)*'Assumptions'!D$40)))))*'Assumptions'!$B$10+('Assumptions'!E$39*$A7)*'Assumptions'!$B$11-('Assumptions'!E$39*$A7)*'Assumptions'!$B$12-(('Assumptions'!E$39*$A7)-('Assumptions'!D$39*$A7))*'Assumptions'!$B$13)/(1+'Assumptions'!$M$8)^4+(('Assumptions'!F$39*$A7)*'Assumptions'!F$40-((MAX(0,('Assumptions'!F$39*$A7)*'Assumptions'!F$40))-MIN(0.8*MAX(0,('Assumptions'!F$39*$A7)*'Assumptions'!F$40),MAX(0,'Assumptions'!$B$17-0.8*(MAX(0,('Assumptions'!B$39*$A7)*'Assumptions'!B$40)+MAX(0,('Assumptions'!C$39*$A7)*'Assumptions'!C$40)+MAX(0,('Assumptions'!D$39*$A7)*'Assumptions'!D$40)+MAX(0,('Assumptions'!E$39*$A7)*'Assumptions'!E$40)))))*'Assumptions'!$B$10+('Assumptions'!F$39*$A7)*'Assumptions'!$B$11-('Assumptions'!F$39*$A7)*'Assumptions'!$B$12-(('Assumptions'!F$39*$A7)-('Assumptions'!E$39*$A7))*'Assumptions'!$B$13)/(1+'Assumptions'!$M$8)^5+(('Assumptions'!G$39*$A7)*'Assumptions'!G$40-((MAX(0,('Assumptions'!G$39*$A7)*'Assumptions'!G$40))-MIN(0.8*MAX(0,('Assumptions'!G$39*$A7)*'Assumptions'!G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))))*'Assumptions'!$B$10+('Assumptions'!G$39*$A7)*'Assumptions'!$B$11-('Assumptions'!G$39*$A7)*'Assumptions'!$B$12-(('Assumptions'!G$39*$A7)-('Assumptions'!F$39*$A7))*'Assumptions'!$B$13)/(1+'Assumptions'!$M$8)^6+(('Assumptions'!H$39*$A7)*'Assumptions'!H$40-((MAX(0,('Assumptions'!H$39*$A7)*'Assumptions'!H$40))-MIN(0.8*MAX(0,('Assumptions'!H$39*$A7)*'Assumptions'!H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))))*'Assumptions'!$B$10+('Assumptions'!H$39*$A7)*'Assumptions'!$B$11-('Assumptions'!H$39*$A7)*'Assumptions'!$B$12-(('Assumptions'!H$39*$A7)-('Assumptions'!G$39*$A7))*'Assumptions'!$B$13)/(1+'Assumptions'!$M$8)^7+(('Assumptions'!I$39*$A7)*'Assumptions'!I$40-((MAX(0,('Assumptions'!I$39*$A7)*'Assumptions'!I$40))-MIN(0.8*MAX(0,('Assumptions'!I$39*$A7)*'Assumptions'!I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))))*'Assumptions'!$B$10+('Assumptions'!I$39*$A7)*'Assumptions'!$B$11-('Assumptions'!I$39*$A7)*'Assumptions'!$B$12-(('Assumptions'!I$39*$A7)-('Assumptions'!H$39*$A7))*'Assumptions'!$B$13)/(1+'Assumptions'!$M$8)^8+(('Assumptions'!J$39*$A7)*'Assumptions'!J$40-((MAX(0,('Assumptions'!J$39*$A7)*'Assumptions'!J$40))-MIN(0.8*MAX(0,('Assumptions'!J$39*$A7)*'Assumptions'!J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))))*'Assumptions'!$B$10+('Assumptions'!J$39*$A7)*'Assumptions'!$B$11-('Assumptions'!J$39*$A7)*'Assumptions'!$B$12-(('Assumptions'!J$39*$A7)-('Assumptions'!I$39*$A7))*'Assumptions'!$B$13)/(1+'Assumptions'!$M$8)^9+(('Assumptions'!K$39*$A7)*'Assumptions'!K$40-((MAX(0,('Assumptions'!K$39*$A7)*'Assumptions'!K$40))-MIN(0.8*MAX(0,('Assumptions'!K$39*$A7)*'Assumptions'!K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))))*'Assumptions'!$B$10+('Assumptions'!K$39*$A7)*'Assumptions'!$B$11-('Assumptions'!K$39*$A7)*'Assumptions'!$B$12-(('Assumptions'!K$39*$A7)-('Assumptions'!J$39*$A7))*'Assumptions'!$B$13)/(1+'Assumptions'!$M$8)^10+(('Assumptions'!L$39*$A7)*'Assumptions'!L$40-((MAX(0,('Assumptions'!L$39*$A7)*'Assumptions'!L$40))-MIN(0.8*MAX(0,('Assumptions'!L$39*$A7)*'Assumptions'!L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))))*'Assumptions'!$B$10+('Assumptions'!L$39*$A7)*'Assumptions'!$B$11-('Assumptions'!L$39*$A7)*'Assumptions'!$B$12-(('Assumptions'!L$39*$A7)-('Assumptions'!K$39*$A7))*'Assumptions'!$B$13)/(1+'Assumptions'!$M$8)^11+(('Assumptions'!M$39*$A7)*'Assumptions'!M$40-((MAX(0,('Assumptions'!M$39*$A7)*'Assumptions'!M$40))-MIN(0.8*MAX(0,('Assumptions'!M$39*$A7)*'Assumptions'!M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+MAX(0,('Assumptions'!L$39*$A7)*'Assumptions'!L$40)))))*'Assumptions'!$B$10+('Assumptions'!M$39*$A7)*'Assumptions'!$B$11-('Assumptions'!M$39*$A7)*'Assumptions'!$B$12-(('Assumptions'!M$39*$A7)-('Assumptions'!L$39*$A7))*'Assumptions'!$B$13)/(1+'Assumptions'!$M$8)^12+(('Assumptions'!N$39*$A7)*'Assumptions'!N$40-((MAX(0,('Assumptions'!N$39*$A7)*'Assumptions'!N$40))-MIN(0.8*MAX(0,('Assumptions'!N$39*$A7)*'Assumptions'!N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+MAX(0,('Assumptions'!L$39*$A7)*'Assumptions'!L$40)+MAX(0,('Assumptions'!M$39*$A7)*'Assumptions'!M$40)))))*'Assumptions'!$B$10+('Assumptions'!N$39*$A7)*'Assumptions'!$B$11-('Assumptions'!N$39*$A7)*'Assumptions'!$B$12-(('Assumptions'!N$39*$A7)-('Assumptions'!M$39*$A7))*'Assumptions'!$B$13)/(1+'Assumptions'!$M$8)^13+(('Assumptions'!O$39*$A7)*'Assumptions'!O$40-((MAX(0,('Assumptions'!O$39*$A7)*'Assumptions'!O$40))-MIN(0.8*MAX(0,('Assumptions'!O$39*$A7)*'Assumptions'!O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+MAX(0,('Assumptions'!L$39*$A7)*'Assumptions'!L$40)+MAX(0,('Assumptions'!M$39*$A7)*'Assumptions'!M$40)+MAX(0,('Assumptions'!N$39*$A7)*'Assumptions'!N$40)))))*'Assumptions'!$B$10+('Assumptions'!O$39*$A7)*'Assumptions'!$B$11-('Assumptions'!O$39*$A7)*'Assumptions'!$B$12-(('Assumptions'!O$39*$A7)-('Assumptions'!N$39*$A7))*'Assumptions'!$B$13)/(1+'Assumptions'!$M$8)^14+(('Assumptions'!P$39*$A7)*'Assumptions'!P$40-((MAX(0,('Assumptions'!P$39*$A7)*'Assumptions'!P$40))-MIN(0.8*MAX(0,('Assumptions'!P$39*$A7)*'Assumptions'!P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+MAX(0,('Assumptions'!L$39*$A7)*'Assumptions'!L$40)+MAX(0,('Assumptions'!M$39*$A7)*'Assumptions'!M$40)+MAX(0,('Assumptions'!N$39*$A7)*'Assumptions'!N$40)+MAX(0,('Assumptions'!O$39*$A7)*'Assumptions'!O$40)))))*'Assumptions'!$B$10+('Assumptions'!P$39*$A7)*'Assumptions'!$B$11-('Assumptions'!P$39*$A7)*'Assumptions'!$B$12-(('Assumptions'!P$39*$A7)-('Assumptions'!O$39*$A7))*'Assumptions'!$B$13)/(1+'Assumptions'!$M$8)^15+((('Assumptions'!P$39*$A7)*'Assumptions'!P$40-((MAX(0,('Assumptions'!P$39*$A7)*'Assumptions'!P$40))-MIN(0.8*MAX(0,('Assumptions'!P$39*$A7)*'Assumptions'!P$40),MAX(0,'Assumptions'!$B$17-0.8*(MAX(0,('Assumptions'!B$39*$A7)*'Assumptions'!B$40)+MAX(0,('Assumptions'!C$39*$A7)*'Assumptions'!C$40)+MAX(0,('Assumptions'!D$39*$A7)*'Assumptions'!D$40)+MAX(0,('Assumptions'!E$39*$A7)*'Assumptions'!E$40)+MAX(0,('Assumptions'!F$39*$A7)*'Assumptions'!F$40)+MAX(0,('Assumptions'!G$39*$A7)*'Assumptions'!G$40)+MAX(0,('Assumptions'!H$39*$A7)*'Assumptions'!H$40)+MAX(0,('Assumptions'!I$39*$A7)*'Assumptions'!I$40)+MAX(0,('Assumptions'!J$39*$A7)*'Assumptions'!J$40)+MAX(0,('Assumptions'!K$39*$A7)*'Assumptions'!K$40)+MAX(0,('Assumptions'!L$39*$A7)*'Assumptions'!L$40)+MAX(0,('Assumptions'!M$39*$A7)*'Assumptions'!M$40)+MAX(0,('Assumptions'!N$39*$A7)*'Assumptions'!N$40)+MAX(0,('Assumptions'!O$39*$A7)*'Assumptions'!O$40)))))*'Assumptions'!$B$10+('Assumptions'!P$39*$A7)*'Assumptions'!$B$11-('Assumptions'!P$39*$A7)*'Assumptions'!$B$12-(('Assumptions'!P$39*$A7)-('Assumptions'!O$39*$A7))*'Assumptions'!$B$13)*(1+'Assumptions'!$N$8)/('Assumptions'!$M$8-'Assumptions'!$N$8))/(1+'Assumptions'!$M$8)^15+'Assumptions'!$B$9-'Assumptions'!$B$16+'Assumptions'!$O$8))/'DCF'!$K$6</x:f>
        <x:v>4.296203566093978</x:v>
      </x:c>
      <x:c r="F7" s="227"/>
      <x:c r="G7" s="227"/>
      <x:c r="H7" s="227"/>
    </x:row>
    <x:row r="8">
      <x:c r="A8" s="414" t="n">
        <x:v>1.1</x:v>
      </x:c>
      <x:c r="B8" s="322" t="n">
        <x:f>'Assumptions'!F39*A8</x:f>
        <x:v>51.7</x:v>
      </x:c>
      <x:c r="C8" s="322" t="n">
        <x:f>'Assumptions'!K39*A8</x:f>
        <x:v>137.5</x:v>
      </x:c>
      <x:c r="D8" s="322" t="n">
        <x:f>'Assumptions'!P39*A8</x:f>
        <x:v>205.81</x:v>
      </x:c>
      <x:c r="E8" s="393" t="n">
        <x:f>(MAX(0,(('Assumptions'!B$39*$A8)*'Assumptions'!B$40-((MAX(0,('Assumptions'!B$39*$A8)*'Assumptions'!B$40))-MIN(0.8*MAX(0,('Assumptions'!B$39*$A8)*'Assumptions'!B$40),MAX(0,'Assumptions'!$B$17-0.8*(0))))*'Assumptions'!$B$10+('Assumptions'!B$39*$A8)*'Assumptions'!$B$11-('Assumptions'!B$39*$A8)*'Assumptions'!$B$12-(('Assumptions'!B$39*$A8)-'Assumptions'!$B$14)*'Assumptions'!$B$13)/(1+'Assumptions'!$M$8)^1+(('Assumptions'!C$39*$A8)*'Assumptions'!C$40-((MAX(0,('Assumptions'!C$39*$A8)*'Assumptions'!C$40))-MIN(0.8*MAX(0,('Assumptions'!C$39*$A8)*'Assumptions'!C$40),MAX(0,'Assumptions'!$B$17-0.8*(MAX(0,('Assumptions'!B$39*$A8)*'Assumptions'!B$40)))))*'Assumptions'!$B$10+('Assumptions'!C$39*$A8)*'Assumptions'!$B$11-('Assumptions'!C$39*$A8)*'Assumptions'!$B$12-(('Assumptions'!C$39*$A8)-('Assumptions'!B$39*$A8))*'Assumptions'!$B$13)/(1+'Assumptions'!$M$8)^2+(('Assumptions'!D$39*$A8)*'Assumptions'!D$40-((MAX(0,('Assumptions'!D$39*$A8)*'Assumptions'!D$40))-MIN(0.8*MAX(0,('Assumptions'!D$39*$A8)*'Assumptions'!D$40),MAX(0,'Assumptions'!$B$17-0.8*(MAX(0,('Assumptions'!B$39*$A8)*'Assumptions'!B$40)+MAX(0,('Assumptions'!C$39*$A8)*'Assumptions'!C$40)))))*'Assumptions'!$B$10+('Assumptions'!D$39*$A8)*'Assumptions'!$B$11-('Assumptions'!D$39*$A8)*'Assumptions'!$B$12-(('Assumptions'!D$39*$A8)-('Assumptions'!C$39*$A8))*'Assumptions'!$B$13)/(1+'Assumptions'!$M$8)^3+(('Assumptions'!E$39*$A8)*'Assumptions'!E$40-((MAX(0,('Assumptions'!E$39*$A8)*'Assumptions'!E$40))-MIN(0.8*MAX(0,('Assumptions'!E$39*$A8)*'Assumptions'!E$40),MAX(0,'Assumptions'!$B$17-0.8*(MAX(0,('Assumptions'!B$39*$A8)*'Assumptions'!B$40)+MAX(0,('Assumptions'!C$39*$A8)*'Assumptions'!C$40)+MAX(0,('Assumptions'!D$39*$A8)*'Assumptions'!D$40)))))*'Assumptions'!$B$10+('Assumptions'!E$39*$A8)*'Assumptions'!$B$11-('Assumptions'!E$39*$A8)*'Assumptions'!$B$12-(('Assumptions'!E$39*$A8)-('Assumptions'!D$39*$A8))*'Assumptions'!$B$13)/(1+'Assumptions'!$M$8)^4+(('Assumptions'!F$39*$A8)*'Assumptions'!F$40-((MAX(0,('Assumptions'!F$39*$A8)*'Assumptions'!F$40))-MIN(0.8*MAX(0,('Assumptions'!F$39*$A8)*'Assumptions'!F$40),MAX(0,'Assumptions'!$B$17-0.8*(MAX(0,('Assumptions'!B$39*$A8)*'Assumptions'!B$40)+MAX(0,('Assumptions'!C$39*$A8)*'Assumptions'!C$40)+MAX(0,('Assumptions'!D$39*$A8)*'Assumptions'!D$40)+MAX(0,('Assumptions'!E$39*$A8)*'Assumptions'!E$40)))))*'Assumptions'!$B$10+('Assumptions'!F$39*$A8)*'Assumptions'!$B$11-('Assumptions'!F$39*$A8)*'Assumptions'!$B$12-(('Assumptions'!F$39*$A8)-('Assumptions'!E$39*$A8))*'Assumptions'!$B$13)/(1+'Assumptions'!$M$8)^5+(('Assumptions'!G$39*$A8)*'Assumptions'!G$40-((MAX(0,('Assumptions'!G$39*$A8)*'Assumptions'!G$40))-MIN(0.8*MAX(0,('Assumptions'!G$39*$A8)*'Assumptions'!G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))))*'Assumptions'!$B$10+('Assumptions'!G$39*$A8)*'Assumptions'!$B$11-('Assumptions'!G$39*$A8)*'Assumptions'!$B$12-(('Assumptions'!G$39*$A8)-('Assumptions'!F$39*$A8))*'Assumptions'!$B$13)/(1+'Assumptions'!$M$8)^6+(('Assumptions'!H$39*$A8)*'Assumptions'!H$40-((MAX(0,('Assumptions'!H$39*$A8)*'Assumptions'!H$40))-MIN(0.8*MAX(0,('Assumptions'!H$39*$A8)*'Assumptions'!H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))))*'Assumptions'!$B$10+('Assumptions'!H$39*$A8)*'Assumptions'!$B$11-('Assumptions'!H$39*$A8)*'Assumptions'!$B$12-(('Assumptions'!H$39*$A8)-('Assumptions'!G$39*$A8))*'Assumptions'!$B$13)/(1+'Assumptions'!$M$8)^7+(('Assumptions'!I$39*$A8)*'Assumptions'!I$40-((MAX(0,('Assumptions'!I$39*$A8)*'Assumptions'!I$40))-MIN(0.8*MAX(0,('Assumptions'!I$39*$A8)*'Assumptions'!I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))))*'Assumptions'!$B$10+('Assumptions'!I$39*$A8)*'Assumptions'!$B$11-('Assumptions'!I$39*$A8)*'Assumptions'!$B$12-(('Assumptions'!I$39*$A8)-('Assumptions'!H$39*$A8))*'Assumptions'!$B$13)/(1+'Assumptions'!$M$8)^8+(('Assumptions'!J$39*$A8)*'Assumptions'!J$40-((MAX(0,('Assumptions'!J$39*$A8)*'Assumptions'!J$40))-MIN(0.8*MAX(0,('Assumptions'!J$39*$A8)*'Assumptions'!J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))))*'Assumptions'!$B$10+('Assumptions'!J$39*$A8)*'Assumptions'!$B$11-('Assumptions'!J$39*$A8)*'Assumptions'!$B$12-(('Assumptions'!J$39*$A8)-('Assumptions'!I$39*$A8))*'Assumptions'!$B$13)/(1+'Assumptions'!$M$8)^9+(('Assumptions'!K$39*$A8)*'Assumptions'!K$40-((MAX(0,('Assumptions'!K$39*$A8)*'Assumptions'!K$40))-MIN(0.8*MAX(0,('Assumptions'!K$39*$A8)*'Assumptions'!K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))))*'Assumptions'!$B$10+('Assumptions'!K$39*$A8)*'Assumptions'!$B$11-('Assumptions'!K$39*$A8)*'Assumptions'!$B$12-(('Assumptions'!K$39*$A8)-('Assumptions'!J$39*$A8))*'Assumptions'!$B$13)/(1+'Assumptions'!$M$8)^10+(('Assumptions'!L$39*$A8)*'Assumptions'!L$40-((MAX(0,('Assumptions'!L$39*$A8)*'Assumptions'!L$40))-MIN(0.8*MAX(0,('Assumptions'!L$39*$A8)*'Assumptions'!L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))))*'Assumptions'!$B$10+('Assumptions'!L$39*$A8)*'Assumptions'!$B$11-('Assumptions'!L$39*$A8)*'Assumptions'!$B$12-(('Assumptions'!L$39*$A8)-('Assumptions'!K$39*$A8))*'Assumptions'!$B$13)/(1+'Assumptions'!$M$8)^11+(('Assumptions'!M$39*$A8)*'Assumptions'!M$40-((MAX(0,('Assumptions'!M$39*$A8)*'Assumptions'!M$40))-MIN(0.8*MAX(0,('Assumptions'!M$39*$A8)*'Assumptions'!M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+MAX(0,('Assumptions'!L$39*$A8)*'Assumptions'!L$40)))))*'Assumptions'!$B$10+('Assumptions'!M$39*$A8)*'Assumptions'!$B$11-('Assumptions'!M$39*$A8)*'Assumptions'!$B$12-(('Assumptions'!M$39*$A8)-('Assumptions'!L$39*$A8))*'Assumptions'!$B$13)/(1+'Assumptions'!$M$8)^12+(('Assumptions'!N$39*$A8)*'Assumptions'!N$40-((MAX(0,('Assumptions'!N$39*$A8)*'Assumptions'!N$40))-MIN(0.8*MAX(0,('Assumptions'!N$39*$A8)*'Assumptions'!N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+MAX(0,('Assumptions'!L$39*$A8)*'Assumptions'!L$40)+MAX(0,('Assumptions'!M$39*$A8)*'Assumptions'!M$40)))))*'Assumptions'!$B$10+('Assumptions'!N$39*$A8)*'Assumptions'!$B$11-('Assumptions'!N$39*$A8)*'Assumptions'!$B$12-(('Assumptions'!N$39*$A8)-('Assumptions'!M$39*$A8))*'Assumptions'!$B$13)/(1+'Assumptions'!$M$8)^13+(('Assumptions'!O$39*$A8)*'Assumptions'!O$40-((MAX(0,('Assumptions'!O$39*$A8)*'Assumptions'!O$40))-MIN(0.8*MAX(0,('Assumptions'!O$39*$A8)*'Assumptions'!O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+MAX(0,('Assumptions'!L$39*$A8)*'Assumptions'!L$40)+MAX(0,('Assumptions'!M$39*$A8)*'Assumptions'!M$40)+MAX(0,('Assumptions'!N$39*$A8)*'Assumptions'!N$40)))))*'Assumptions'!$B$10+('Assumptions'!O$39*$A8)*'Assumptions'!$B$11-('Assumptions'!O$39*$A8)*'Assumptions'!$B$12-(('Assumptions'!O$39*$A8)-('Assumptions'!N$39*$A8))*'Assumptions'!$B$13)/(1+'Assumptions'!$M$8)^14+(('Assumptions'!P$39*$A8)*'Assumptions'!P$40-((MAX(0,('Assumptions'!P$39*$A8)*'Assumptions'!P$40))-MIN(0.8*MAX(0,('Assumptions'!P$39*$A8)*'Assumptions'!P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+MAX(0,('Assumptions'!L$39*$A8)*'Assumptions'!L$40)+MAX(0,('Assumptions'!M$39*$A8)*'Assumptions'!M$40)+MAX(0,('Assumptions'!N$39*$A8)*'Assumptions'!N$40)+MAX(0,('Assumptions'!O$39*$A8)*'Assumptions'!O$40)))))*'Assumptions'!$B$10+('Assumptions'!P$39*$A8)*'Assumptions'!$B$11-('Assumptions'!P$39*$A8)*'Assumptions'!$B$12-(('Assumptions'!P$39*$A8)-('Assumptions'!O$39*$A8))*'Assumptions'!$B$13)/(1+'Assumptions'!$M$8)^15+((('Assumptions'!P$39*$A8)*'Assumptions'!P$40-((MAX(0,('Assumptions'!P$39*$A8)*'Assumptions'!P$40))-MIN(0.8*MAX(0,('Assumptions'!P$39*$A8)*'Assumptions'!P$40),MAX(0,'Assumptions'!$B$17-0.8*(MAX(0,('Assumptions'!B$39*$A8)*'Assumptions'!B$40)+MAX(0,('Assumptions'!C$39*$A8)*'Assumptions'!C$40)+MAX(0,('Assumptions'!D$39*$A8)*'Assumptions'!D$40)+MAX(0,('Assumptions'!E$39*$A8)*'Assumptions'!E$40)+MAX(0,('Assumptions'!F$39*$A8)*'Assumptions'!F$40)+MAX(0,('Assumptions'!G$39*$A8)*'Assumptions'!G$40)+MAX(0,('Assumptions'!H$39*$A8)*'Assumptions'!H$40)+MAX(0,('Assumptions'!I$39*$A8)*'Assumptions'!I$40)+MAX(0,('Assumptions'!J$39*$A8)*'Assumptions'!J$40)+MAX(0,('Assumptions'!K$39*$A8)*'Assumptions'!K$40)+MAX(0,('Assumptions'!L$39*$A8)*'Assumptions'!L$40)+MAX(0,('Assumptions'!M$39*$A8)*'Assumptions'!M$40)+MAX(0,('Assumptions'!N$39*$A8)*'Assumptions'!N$40)+MAX(0,('Assumptions'!O$39*$A8)*'Assumptions'!O$40)))))*'Assumptions'!$B$10+('Assumptions'!P$39*$A8)*'Assumptions'!$B$11-('Assumptions'!P$39*$A8)*'Assumptions'!$B$12-(('Assumptions'!P$39*$A8)-('Assumptions'!O$39*$A8))*'Assumptions'!$B$13)*(1+'Assumptions'!$N$8)/('Assumptions'!$M$8-'Assumptions'!$N$8))/(1+'Assumptions'!$M$8)^15+'Assumptions'!$B$9-'Assumptions'!$B$16+'Assumptions'!$O$8))/'DCF'!$K$6</x:f>
        <x:v>4.661066430720693</x:v>
      </x:c>
      <x:c r="F8" s="227"/>
      <x:c r="G8" s="227"/>
      <x:c r="H8" s="227"/>
    </x:row>
    <x:row r="9">
      <x:c r="A9" s="414" t="n">
        <x:v>1.2</x:v>
      </x:c>
      <x:c r="B9" s="322" t="n">
        <x:f>'Assumptions'!F39*A9</x:f>
        <x:v>56.4</x:v>
      </x:c>
      <x:c r="C9" s="322" t="n">
        <x:f>'Assumptions'!K39*A9</x:f>
        <x:v>150</x:v>
      </x:c>
      <x:c r="D9" s="322" t="n">
        <x:f>'Assumptions'!P39*A9</x:f>
        <x:v>224.51999999999998</x:v>
      </x:c>
      <x:c r="E9" s="393" t="n">
        <x:f>(MAX(0,(('Assumptions'!B$39*$A9)*'Assumptions'!B$40-((MAX(0,('Assumptions'!B$39*$A9)*'Assumptions'!B$40))-MIN(0.8*MAX(0,('Assumptions'!B$39*$A9)*'Assumptions'!B$40),MAX(0,'Assumptions'!$B$17-0.8*(0))))*'Assumptions'!$B$10+('Assumptions'!B$39*$A9)*'Assumptions'!$B$11-('Assumptions'!B$39*$A9)*'Assumptions'!$B$12-(('Assumptions'!B$39*$A9)-'Assumptions'!$B$14)*'Assumptions'!$B$13)/(1+'Assumptions'!$M$8)^1+(('Assumptions'!C$39*$A9)*'Assumptions'!C$40-((MAX(0,('Assumptions'!C$39*$A9)*'Assumptions'!C$40))-MIN(0.8*MAX(0,('Assumptions'!C$39*$A9)*'Assumptions'!C$40),MAX(0,'Assumptions'!$B$17-0.8*(MAX(0,('Assumptions'!B$39*$A9)*'Assumptions'!B$40)))))*'Assumptions'!$B$10+('Assumptions'!C$39*$A9)*'Assumptions'!$B$11-('Assumptions'!C$39*$A9)*'Assumptions'!$B$12-(('Assumptions'!C$39*$A9)-('Assumptions'!B$39*$A9))*'Assumptions'!$B$13)/(1+'Assumptions'!$M$8)^2+(('Assumptions'!D$39*$A9)*'Assumptions'!D$40-((MAX(0,('Assumptions'!D$39*$A9)*'Assumptions'!D$40))-MIN(0.8*MAX(0,('Assumptions'!D$39*$A9)*'Assumptions'!D$40),MAX(0,'Assumptions'!$B$17-0.8*(MAX(0,('Assumptions'!B$39*$A9)*'Assumptions'!B$40)+MAX(0,('Assumptions'!C$39*$A9)*'Assumptions'!C$40)))))*'Assumptions'!$B$10+('Assumptions'!D$39*$A9)*'Assumptions'!$B$11-('Assumptions'!D$39*$A9)*'Assumptions'!$B$12-(('Assumptions'!D$39*$A9)-('Assumptions'!C$39*$A9))*'Assumptions'!$B$13)/(1+'Assumptions'!$M$8)^3+(('Assumptions'!E$39*$A9)*'Assumptions'!E$40-((MAX(0,('Assumptions'!E$39*$A9)*'Assumptions'!E$40))-MIN(0.8*MAX(0,('Assumptions'!E$39*$A9)*'Assumptions'!E$40),MAX(0,'Assumptions'!$B$17-0.8*(MAX(0,('Assumptions'!B$39*$A9)*'Assumptions'!B$40)+MAX(0,('Assumptions'!C$39*$A9)*'Assumptions'!C$40)+MAX(0,('Assumptions'!D$39*$A9)*'Assumptions'!D$40)))))*'Assumptions'!$B$10+('Assumptions'!E$39*$A9)*'Assumptions'!$B$11-('Assumptions'!E$39*$A9)*'Assumptions'!$B$12-(('Assumptions'!E$39*$A9)-('Assumptions'!D$39*$A9))*'Assumptions'!$B$13)/(1+'Assumptions'!$M$8)^4+(('Assumptions'!F$39*$A9)*'Assumptions'!F$40-((MAX(0,('Assumptions'!F$39*$A9)*'Assumptions'!F$40))-MIN(0.8*MAX(0,('Assumptions'!F$39*$A9)*'Assumptions'!F$40),MAX(0,'Assumptions'!$B$17-0.8*(MAX(0,('Assumptions'!B$39*$A9)*'Assumptions'!B$40)+MAX(0,('Assumptions'!C$39*$A9)*'Assumptions'!C$40)+MAX(0,('Assumptions'!D$39*$A9)*'Assumptions'!D$40)+MAX(0,('Assumptions'!E$39*$A9)*'Assumptions'!E$40)))))*'Assumptions'!$B$10+('Assumptions'!F$39*$A9)*'Assumptions'!$B$11-('Assumptions'!F$39*$A9)*'Assumptions'!$B$12-(('Assumptions'!F$39*$A9)-('Assumptions'!E$39*$A9))*'Assumptions'!$B$13)/(1+'Assumptions'!$M$8)^5+(('Assumptions'!G$39*$A9)*'Assumptions'!G$40-((MAX(0,('Assumptions'!G$39*$A9)*'Assumptions'!G$40))-MIN(0.8*MAX(0,('Assumptions'!G$39*$A9)*'Assumptions'!G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))))*'Assumptions'!$B$10+('Assumptions'!G$39*$A9)*'Assumptions'!$B$11-('Assumptions'!G$39*$A9)*'Assumptions'!$B$12-(('Assumptions'!G$39*$A9)-('Assumptions'!F$39*$A9))*'Assumptions'!$B$13)/(1+'Assumptions'!$M$8)^6+(('Assumptions'!H$39*$A9)*'Assumptions'!H$40-((MAX(0,('Assumptions'!H$39*$A9)*'Assumptions'!H$40))-MIN(0.8*MAX(0,('Assumptions'!H$39*$A9)*'Assumptions'!H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))))*'Assumptions'!$B$10+('Assumptions'!H$39*$A9)*'Assumptions'!$B$11-('Assumptions'!H$39*$A9)*'Assumptions'!$B$12-(('Assumptions'!H$39*$A9)-('Assumptions'!G$39*$A9))*'Assumptions'!$B$13)/(1+'Assumptions'!$M$8)^7+(('Assumptions'!I$39*$A9)*'Assumptions'!I$40-((MAX(0,('Assumptions'!I$39*$A9)*'Assumptions'!I$40))-MIN(0.8*MAX(0,('Assumptions'!I$39*$A9)*'Assumptions'!I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))))*'Assumptions'!$B$10+('Assumptions'!I$39*$A9)*'Assumptions'!$B$11-('Assumptions'!I$39*$A9)*'Assumptions'!$B$12-(('Assumptions'!I$39*$A9)-('Assumptions'!H$39*$A9))*'Assumptions'!$B$13)/(1+'Assumptions'!$M$8)^8+(('Assumptions'!J$39*$A9)*'Assumptions'!J$40-((MAX(0,('Assumptions'!J$39*$A9)*'Assumptions'!J$40))-MIN(0.8*MAX(0,('Assumptions'!J$39*$A9)*'Assumptions'!J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))))*'Assumptions'!$B$10+('Assumptions'!J$39*$A9)*'Assumptions'!$B$11-('Assumptions'!J$39*$A9)*'Assumptions'!$B$12-(('Assumptions'!J$39*$A9)-('Assumptions'!I$39*$A9))*'Assumptions'!$B$13)/(1+'Assumptions'!$M$8)^9+(('Assumptions'!K$39*$A9)*'Assumptions'!K$40-((MAX(0,('Assumptions'!K$39*$A9)*'Assumptions'!K$40))-MIN(0.8*MAX(0,('Assumptions'!K$39*$A9)*'Assumptions'!K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))))*'Assumptions'!$B$10+('Assumptions'!K$39*$A9)*'Assumptions'!$B$11-('Assumptions'!K$39*$A9)*'Assumptions'!$B$12-(('Assumptions'!K$39*$A9)-('Assumptions'!J$39*$A9))*'Assumptions'!$B$13)/(1+'Assumptions'!$M$8)^10+(('Assumptions'!L$39*$A9)*'Assumptions'!L$40-((MAX(0,('Assumptions'!L$39*$A9)*'Assumptions'!L$40))-MIN(0.8*MAX(0,('Assumptions'!L$39*$A9)*'Assumptions'!L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))))*'Assumptions'!$B$10+('Assumptions'!L$39*$A9)*'Assumptions'!$B$11-('Assumptions'!L$39*$A9)*'Assumptions'!$B$12-(('Assumptions'!L$39*$A9)-('Assumptions'!K$39*$A9))*'Assumptions'!$B$13)/(1+'Assumptions'!$M$8)^11+(('Assumptions'!M$39*$A9)*'Assumptions'!M$40-((MAX(0,('Assumptions'!M$39*$A9)*'Assumptions'!M$40))-MIN(0.8*MAX(0,('Assumptions'!M$39*$A9)*'Assumptions'!M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+MAX(0,('Assumptions'!L$39*$A9)*'Assumptions'!L$40)))))*'Assumptions'!$B$10+('Assumptions'!M$39*$A9)*'Assumptions'!$B$11-('Assumptions'!M$39*$A9)*'Assumptions'!$B$12-(('Assumptions'!M$39*$A9)-('Assumptions'!L$39*$A9))*'Assumptions'!$B$13)/(1+'Assumptions'!$M$8)^12+(('Assumptions'!N$39*$A9)*'Assumptions'!N$40-((MAX(0,('Assumptions'!N$39*$A9)*'Assumptions'!N$40))-MIN(0.8*MAX(0,('Assumptions'!N$39*$A9)*'Assumptions'!N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+MAX(0,('Assumptions'!L$39*$A9)*'Assumptions'!L$40)+MAX(0,('Assumptions'!M$39*$A9)*'Assumptions'!M$40)))))*'Assumptions'!$B$10+('Assumptions'!N$39*$A9)*'Assumptions'!$B$11-('Assumptions'!N$39*$A9)*'Assumptions'!$B$12-(('Assumptions'!N$39*$A9)-('Assumptions'!M$39*$A9))*'Assumptions'!$B$13)/(1+'Assumptions'!$M$8)^13+(('Assumptions'!O$39*$A9)*'Assumptions'!O$40-((MAX(0,('Assumptions'!O$39*$A9)*'Assumptions'!O$40))-MIN(0.8*MAX(0,('Assumptions'!O$39*$A9)*'Assumptions'!O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+MAX(0,('Assumptions'!L$39*$A9)*'Assumptions'!L$40)+MAX(0,('Assumptions'!M$39*$A9)*'Assumptions'!M$40)+MAX(0,('Assumptions'!N$39*$A9)*'Assumptions'!N$40)))))*'Assumptions'!$B$10+('Assumptions'!O$39*$A9)*'Assumptions'!$B$11-('Assumptions'!O$39*$A9)*'Assumptions'!$B$12-(('Assumptions'!O$39*$A9)-('Assumptions'!N$39*$A9))*'Assumptions'!$B$13)/(1+'Assumptions'!$M$8)^14+(('Assumptions'!P$39*$A9)*'Assumptions'!P$40-((MAX(0,('Assumptions'!P$39*$A9)*'Assumptions'!P$40))-MIN(0.8*MAX(0,('Assumptions'!P$39*$A9)*'Assumptions'!P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+MAX(0,('Assumptions'!L$39*$A9)*'Assumptions'!L$40)+MAX(0,('Assumptions'!M$39*$A9)*'Assumptions'!M$40)+MAX(0,('Assumptions'!N$39*$A9)*'Assumptions'!N$40)+MAX(0,('Assumptions'!O$39*$A9)*'Assumptions'!O$40)))))*'Assumptions'!$B$10+('Assumptions'!P$39*$A9)*'Assumptions'!$B$11-('Assumptions'!P$39*$A9)*'Assumptions'!$B$12-(('Assumptions'!P$39*$A9)-('Assumptions'!O$39*$A9))*'Assumptions'!$B$13)/(1+'Assumptions'!$M$8)^15+((('Assumptions'!P$39*$A9)*'Assumptions'!P$40-((MAX(0,('Assumptions'!P$39*$A9)*'Assumptions'!P$40))-MIN(0.8*MAX(0,('Assumptions'!P$39*$A9)*'Assumptions'!P$40),MAX(0,'Assumptions'!$B$17-0.8*(MAX(0,('Assumptions'!B$39*$A9)*'Assumptions'!B$40)+MAX(0,('Assumptions'!C$39*$A9)*'Assumptions'!C$40)+MAX(0,('Assumptions'!D$39*$A9)*'Assumptions'!D$40)+MAX(0,('Assumptions'!E$39*$A9)*'Assumptions'!E$40)+MAX(0,('Assumptions'!F$39*$A9)*'Assumptions'!F$40)+MAX(0,('Assumptions'!G$39*$A9)*'Assumptions'!G$40)+MAX(0,('Assumptions'!H$39*$A9)*'Assumptions'!H$40)+MAX(0,('Assumptions'!I$39*$A9)*'Assumptions'!I$40)+MAX(0,('Assumptions'!J$39*$A9)*'Assumptions'!J$40)+MAX(0,('Assumptions'!K$39*$A9)*'Assumptions'!K$40)+MAX(0,('Assumptions'!L$39*$A9)*'Assumptions'!L$40)+MAX(0,('Assumptions'!M$39*$A9)*'Assumptions'!M$40)+MAX(0,('Assumptions'!N$39*$A9)*'Assumptions'!N$40)+MAX(0,('Assumptions'!O$39*$A9)*'Assumptions'!O$40)))))*'Assumptions'!$B$10+('Assumptions'!P$39*$A9)*'Assumptions'!$B$11-('Assumptions'!P$39*$A9)*'Assumptions'!$B$12-(('Assumptions'!P$39*$A9)-('Assumptions'!O$39*$A9))*'Assumptions'!$B$13)*(1+'Assumptions'!$N$8)/('Assumptions'!$M$8-'Assumptions'!$N$8))/(1+'Assumptions'!$M$8)^15+'Assumptions'!$B$9-'Assumptions'!$B$16+'Assumptions'!$O$8))/'DCF'!$K$6</x:f>
        <x:v>5.025929295347407</x:v>
      </x:c>
      <x:c r="F9" s="227"/>
      <x:c r="G9" s="227"/>
      <x:c r="H9" s="227"/>
    </x:row>
    <x:row r="10">
      <x:c r="A10" s="414" t="n">
        <x:v>1.3</x:v>
      </x:c>
      <x:c r="B10" s="322" t="n">
        <x:f>'Assumptions'!F39*A10</x:f>
        <x:v>61.1</x:v>
      </x:c>
      <x:c r="C10" s="322" t="n">
        <x:f>'Assumptions'!K39*A10</x:f>
        <x:v>162.5</x:v>
      </x:c>
      <x:c r="D10" s="322" t="n">
        <x:f>'Assumptions'!P39*A10</x:f>
        <x:v>243.23</x:v>
      </x:c>
      <x:c r="E10" s="393" t="n">
        <x:f>(MAX(0,(('Assumptions'!B$39*$A10)*'Assumptions'!B$40-((MAX(0,('Assumptions'!B$39*$A10)*'Assumptions'!B$40))-MIN(0.8*MAX(0,('Assumptions'!B$39*$A10)*'Assumptions'!B$40),MAX(0,'Assumptions'!$B$17-0.8*(0))))*'Assumptions'!$B$10+('Assumptions'!B$39*$A10)*'Assumptions'!$B$11-('Assumptions'!B$39*$A10)*'Assumptions'!$B$12-(('Assumptions'!B$39*$A10)-'Assumptions'!$B$14)*'Assumptions'!$B$13)/(1+'Assumptions'!$M$8)^1+(('Assumptions'!C$39*$A10)*'Assumptions'!C$40-((MAX(0,('Assumptions'!C$39*$A10)*'Assumptions'!C$40))-MIN(0.8*MAX(0,('Assumptions'!C$39*$A10)*'Assumptions'!C$40),MAX(0,'Assumptions'!$B$17-0.8*(MAX(0,('Assumptions'!B$39*$A10)*'Assumptions'!B$40)))))*'Assumptions'!$B$10+('Assumptions'!C$39*$A10)*'Assumptions'!$B$11-('Assumptions'!C$39*$A10)*'Assumptions'!$B$12-(('Assumptions'!C$39*$A10)-('Assumptions'!B$39*$A10))*'Assumptions'!$B$13)/(1+'Assumptions'!$M$8)^2+(('Assumptions'!D$39*$A10)*'Assumptions'!D$40-((MAX(0,('Assumptions'!D$39*$A10)*'Assumptions'!D$40))-MIN(0.8*MAX(0,('Assumptions'!D$39*$A10)*'Assumptions'!D$40),MAX(0,'Assumptions'!$B$17-0.8*(MAX(0,('Assumptions'!B$39*$A10)*'Assumptions'!B$40)+MAX(0,('Assumptions'!C$39*$A10)*'Assumptions'!C$40)))))*'Assumptions'!$B$10+('Assumptions'!D$39*$A10)*'Assumptions'!$B$11-('Assumptions'!D$39*$A10)*'Assumptions'!$B$12-(('Assumptions'!D$39*$A10)-('Assumptions'!C$39*$A10))*'Assumptions'!$B$13)/(1+'Assumptions'!$M$8)^3+(('Assumptions'!E$39*$A10)*'Assumptions'!E$40-((MAX(0,('Assumptions'!E$39*$A10)*'Assumptions'!E$40))-MIN(0.8*MAX(0,('Assumptions'!E$39*$A10)*'Assumptions'!E$40),MAX(0,'Assumptions'!$B$17-0.8*(MAX(0,('Assumptions'!B$39*$A10)*'Assumptions'!B$40)+MAX(0,('Assumptions'!C$39*$A10)*'Assumptions'!C$40)+MAX(0,('Assumptions'!D$39*$A10)*'Assumptions'!D$40)))))*'Assumptions'!$B$10+('Assumptions'!E$39*$A10)*'Assumptions'!$B$11-('Assumptions'!E$39*$A10)*'Assumptions'!$B$12-(('Assumptions'!E$39*$A10)-('Assumptions'!D$39*$A10))*'Assumptions'!$B$13)/(1+'Assumptions'!$M$8)^4+(('Assumptions'!F$39*$A10)*'Assumptions'!F$40-((MAX(0,('Assumptions'!F$39*$A10)*'Assumptions'!F$40))-MIN(0.8*MAX(0,('Assumptions'!F$39*$A10)*'Assumptions'!F$40),MAX(0,'Assumptions'!$B$17-0.8*(MAX(0,('Assumptions'!B$39*$A10)*'Assumptions'!B$40)+MAX(0,('Assumptions'!C$39*$A10)*'Assumptions'!C$40)+MAX(0,('Assumptions'!D$39*$A10)*'Assumptions'!D$40)+MAX(0,('Assumptions'!E$39*$A10)*'Assumptions'!E$40)))))*'Assumptions'!$B$10+('Assumptions'!F$39*$A10)*'Assumptions'!$B$11-('Assumptions'!F$39*$A10)*'Assumptions'!$B$12-(('Assumptions'!F$39*$A10)-('Assumptions'!E$39*$A10))*'Assumptions'!$B$13)/(1+'Assumptions'!$M$8)^5+(('Assumptions'!G$39*$A10)*'Assumptions'!G$40-((MAX(0,('Assumptions'!G$39*$A10)*'Assumptions'!G$40))-MIN(0.8*MAX(0,('Assumptions'!G$39*$A10)*'Assumptions'!G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))))*'Assumptions'!$B$10+('Assumptions'!G$39*$A10)*'Assumptions'!$B$11-('Assumptions'!G$39*$A10)*'Assumptions'!$B$12-(('Assumptions'!G$39*$A10)-('Assumptions'!F$39*$A10))*'Assumptions'!$B$13)/(1+'Assumptions'!$M$8)^6+(('Assumptions'!H$39*$A10)*'Assumptions'!H$40-((MAX(0,('Assumptions'!H$39*$A10)*'Assumptions'!H$40))-MIN(0.8*MAX(0,('Assumptions'!H$39*$A10)*'Assumptions'!H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))))*'Assumptions'!$B$10+('Assumptions'!H$39*$A10)*'Assumptions'!$B$11-('Assumptions'!H$39*$A10)*'Assumptions'!$B$12-(('Assumptions'!H$39*$A10)-('Assumptions'!G$39*$A10))*'Assumptions'!$B$13)/(1+'Assumptions'!$M$8)^7+(('Assumptions'!I$39*$A10)*'Assumptions'!I$40-((MAX(0,('Assumptions'!I$39*$A10)*'Assumptions'!I$40))-MIN(0.8*MAX(0,('Assumptions'!I$39*$A10)*'Assumptions'!I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))))*'Assumptions'!$B$10+('Assumptions'!I$39*$A10)*'Assumptions'!$B$11-('Assumptions'!I$39*$A10)*'Assumptions'!$B$12-(('Assumptions'!I$39*$A10)-('Assumptions'!H$39*$A10))*'Assumptions'!$B$13)/(1+'Assumptions'!$M$8)^8+(('Assumptions'!J$39*$A10)*'Assumptions'!J$40-((MAX(0,('Assumptions'!J$39*$A10)*'Assumptions'!J$40))-MIN(0.8*MAX(0,('Assumptions'!J$39*$A10)*'Assumptions'!J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))))*'Assumptions'!$B$10+('Assumptions'!J$39*$A10)*'Assumptions'!$B$11-('Assumptions'!J$39*$A10)*'Assumptions'!$B$12-(('Assumptions'!J$39*$A10)-('Assumptions'!I$39*$A10))*'Assumptions'!$B$13)/(1+'Assumptions'!$M$8)^9+(('Assumptions'!K$39*$A10)*'Assumptions'!K$40-((MAX(0,('Assumptions'!K$39*$A10)*'Assumptions'!K$40))-MIN(0.8*MAX(0,('Assumptions'!K$39*$A10)*'Assumptions'!K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))))*'Assumptions'!$B$10+('Assumptions'!K$39*$A10)*'Assumptions'!$B$11-('Assumptions'!K$39*$A10)*'Assumptions'!$B$12-(('Assumptions'!K$39*$A10)-('Assumptions'!J$39*$A10))*'Assumptions'!$B$13)/(1+'Assumptions'!$M$8)^10+(('Assumptions'!L$39*$A10)*'Assumptions'!L$40-((MAX(0,('Assumptions'!L$39*$A10)*'Assumptions'!L$40))-MIN(0.8*MAX(0,('Assumptions'!L$39*$A10)*'Assumptions'!L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))))*'Assumptions'!$B$10+('Assumptions'!L$39*$A10)*'Assumptions'!$B$11-('Assumptions'!L$39*$A10)*'Assumptions'!$B$12-(('Assumptions'!L$39*$A10)-('Assumptions'!K$39*$A10))*'Assumptions'!$B$13)/(1+'Assumptions'!$M$8)^11+(('Assumptions'!M$39*$A10)*'Assumptions'!M$40-((MAX(0,('Assumptions'!M$39*$A10)*'Assumptions'!M$40))-MIN(0.8*MAX(0,('Assumptions'!M$39*$A10)*'Assumptions'!M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+MAX(0,('Assumptions'!L$39*$A10)*'Assumptions'!L$40)))))*'Assumptions'!$B$10+('Assumptions'!M$39*$A10)*'Assumptions'!$B$11-('Assumptions'!M$39*$A10)*'Assumptions'!$B$12-(('Assumptions'!M$39*$A10)-('Assumptions'!L$39*$A10))*'Assumptions'!$B$13)/(1+'Assumptions'!$M$8)^12+(('Assumptions'!N$39*$A10)*'Assumptions'!N$40-((MAX(0,('Assumptions'!N$39*$A10)*'Assumptions'!N$40))-MIN(0.8*MAX(0,('Assumptions'!N$39*$A10)*'Assumptions'!N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+MAX(0,('Assumptions'!L$39*$A10)*'Assumptions'!L$40)+MAX(0,('Assumptions'!M$39*$A10)*'Assumptions'!M$40)))))*'Assumptions'!$B$10+('Assumptions'!N$39*$A10)*'Assumptions'!$B$11-('Assumptions'!N$39*$A10)*'Assumptions'!$B$12-(('Assumptions'!N$39*$A10)-('Assumptions'!M$39*$A10))*'Assumptions'!$B$13)/(1+'Assumptions'!$M$8)^13+(('Assumptions'!O$39*$A10)*'Assumptions'!O$40-((MAX(0,('Assumptions'!O$39*$A10)*'Assumptions'!O$40))-MIN(0.8*MAX(0,('Assumptions'!O$39*$A10)*'Assumptions'!O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+MAX(0,('Assumptions'!L$39*$A10)*'Assumptions'!L$40)+MAX(0,('Assumptions'!M$39*$A10)*'Assumptions'!M$40)+MAX(0,('Assumptions'!N$39*$A10)*'Assumptions'!N$40)))))*'Assumptions'!$B$10+('Assumptions'!O$39*$A10)*'Assumptions'!$B$11-('Assumptions'!O$39*$A10)*'Assumptions'!$B$12-(('Assumptions'!O$39*$A10)-('Assumptions'!N$39*$A10))*'Assumptions'!$B$13)/(1+'Assumptions'!$M$8)^14+(('Assumptions'!P$39*$A10)*'Assumptions'!P$40-((MAX(0,('Assumptions'!P$39*$A10)*'Assumptions'!P$40))-MIN(0.8*MAX(0,('Assumptions'!P$39*$A10)*'Assumptions'!P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+MAX(0,('Assumptions'!L$39*$A10)*'Assumptions'!L$40)+MAX(0,('Assumptions'!M$39*$A10)*'Assumptions'!M$40)+MAX(0,('Assumptions'!N$39*$A10)*'Assumptions'!N$40)+MAX(0,('Assumptions'!O$39*$A10)*'Assumptions'!O$40)))))*'Assumptions'!$B$10+('Assumptions'!P$39*$A10)*'Assumptions'!$B$11-('Assumptions'!P$39*$A10)*'Assumptions'!$B$12-(('Assumptions'!P$39*$A10)-('Assumptions'!O$39*$A10))*'Assumptions'!$B$13)/(1+'Assumptions'!$M$8)^15+((('Assumptions'!P$39*$A10)*'Assumptions'!P$40-((MAX(0,('Assumptions'!P$39*$A10)*'Assumptions'!P$40))-MIN(0.8*MAX(0,('Assumptions'!P$39*$A10)*'Assumptions'!P$40),MAX(0,'Assumptions'!$B$17-0.8*(MAX(0,('Assumptions'!B$39*$A10)*'Assumptions'!B$40)+MAX(0,('Assumptions'!C$39*$A10)*'Assumptions'!C$40)+MAX(0,('Assumptions'!D$39*$A10)*'Assumptions'!D$40)+MAX(0,('Assumptions'!E$39*$A10)*'Assumptions'!E$40)+MAX(0,('Assumptions'!F$39*$A10)*'Assumptions'!F$40)+MAX(0,('Assumptions'!G$39*$A10)*'Assumptions'!G$40)+MAX(0,('Assumptions'!H$39*$A10)*'Assumptions'!H$40)+MAX(0,('Assumptions'!I$39*$A10)*'Assumptions'!I$40)+MAX(0,('Assumptions'!J$39*$A10)*'Assumptions'!J$40)+MAX(0,('Assumptions'!K$39*$A10)*'Assumptions'!K$40)+MAX(0,('Assumptions'!L$39*$A10)*'Assumptions'!L$40)+MAX(0,('Assumptions'!M$39*$A10)*'Assumptions'!M$40)+MAX(0,('Assumptions'!N$39*$A10)*'Assumptions'!N$40)+MAX(0,('Assumptions'!O$39*$A10)*'Assumptions'!O$40)))))*'Assumptions'!$B$10+('Assumptions'!P$39*$A10)*'Assumptions'!$B$11-('Assumptions'!P$39*$A10)*'Assumptions'!$B$12-(('Assumptions'!P$39*$A10)-('Assumptions'!O$39*$A10))*'Assumptions'!$B$13)*(1+'Assumptions'!$N$8)/('Assumptions'!$M$8-'Assumptions'!$N$8))/(1+'Assumptions'!$M$8)^15+'Assumptions'!$B$9-'Assumptions'!$B$16+'Assumptions'!$O$8))/'DCF'!$K$6</x:f>
        <x:v>5.39079215997412</x:v>
      </x:c>
      <x:c r="F10" s="227"/>
      <x:c r="G10" s="227"/>
      <x:c r="H10" s="227"/>
    </x:row>
    <x:row r="11">
      <x:c r="A11" s="414" t="n">
        <x:v>1.4</x:v>
      </x:c>
      <x:c r="B11" s="322" t="n">
        <x:f>'Assumptions'!F39*A11</x:f>
        <x:v>65.8</x:v>
      </x:c>
      <x:c r="C11" s="322" t="n">
        <x:f>'Assumptions'!K39*A11</x:f>
        <x:v>175</x:v>
      </x:c>
      <x:c r="D11" s="322" t="n">
        <x:f>'Assumptions'!P39*A11</x:f>
        <x:v>261.94</x:v>
      </x:c>
      <x:c r="E11" s="393" t="n">
        <x:f>(MAX(0,(('Assumptions'!B$39*$A11)*'Assumptions'!B$40-((MAX(0,('Assumptions'!B$39*$A11)*'Assumptions'!B$40))-MIN(0.8*MAX(0,('Assumptions'!B$39*$A11)*'Assumptions'!B$40),MAX(0,'Assumptions'!$B$17-0.8*(0))))*'Assumptions'!$B$10+('Assumptions'!B$39*$A11)*'Assumptions'!$B$11-('Assumptions'!B$39*$A11)*'Assumptions'!$B$12-(('Assumptions'!B$39*$A11)-'Assumptions'!$B$14)*'Assumptions'!$B$13)/(1+'Assumptions'!$M$8)^1+(('Assumptions'!C$39*$A11)*'Assumptions'!C$40-((MAX(0,('Assumptions'!C$39*$A11)*'Assumptions'!C$40))-MIN(0.8*MAX(0,('Assumptions'!C$39*$A11)*'Assumptions'!C$40),MAX(0,'Assumptions'!$B$17-0.8*(MAX(0,('Assumptions'!B$39*$A11)*'Assumptions'!B$40)))))*'Assumptions'!$B$10+('Assumptions'!C$39*$A11)*'Assumptions'!$B$11-('Assumptions'!C$39*$A11)*'Assumptions'!$B$12-(('Assumptions'!C$39*$A11)-('Assumptions'!B$39*$A11))*'Assumptions'!$B$13)/(1+'Assumptions'!$M$8)^2+(('Assumptions'!D$39*$A11)*'Assumptions'!D$40-((MAX(0,('Assumptions'!D$39*$A11)*'Assumptions'!D$40))-MIN(0.8*MAX(0,('Assumptions'!D$39*$A11)*'Assumptions'!D$40),MAX(0,'Assumptions'!$B$17-0.8*(MAX(0,('Assumptions'!B$39*$A11)*'Assumptions'!B$40)+MAX(0,('Assumptions'!C$39*$A11)*'Assumptions'!C$40)))))*'Assumptions'!$B$10+('Assumptions'!D$39*$A11)*'Assumptions'!$B$11-('Assumptions'!D$39*$A11)*'Assumptions'!$B$12-(('Assumptions'!D$39*$A11)-('Assumptions'!C$39*$A11))*'Assumptions'!$B$13)/(1+'Assumptions'!$M$8)^3+(('Assumptions'!E$39*$A11)*'Assumptions'!E$40-((MAX(0,('Assumptions'!E$39*$A11)*'Assumptions'!E$40))-MIN(0.8*MAX(0,('Assumptions'!E$39*$A11)*'Assumptions'!E$40),MAX(0,'Assumptions'!$B$17-0.8*(MAX(0,('Assumptions'!B$39*$A11)*'Assumptions'!B$40)+MAX(0,('Assumptions'!C$39*$A11)*'Assumptions'!C$40)+MAX(0,('Assumptions'!D$39*$A11)*'Assumptions'!D$40)))))*'Assumptions'!$B$10+('Assumptions'!E$39*$A11)*'Assumptions'!$B$11-('Assumptions'!E$39*$A11)*'Assumptions'!$B$12-(('Assumptions'!E$39*$A11)-('Assumptions'!D$39*$A11))*'Assumptions'!$B$13)/(1+'Assumptions'!$M$8)^4+(('Assumptions'!F$39*$A11)*'Assumptions'!F$40-((MAX(0,('Assumptions'!F$39*$A11)*'Assumptions'!F$40))-MIN(0.8*MAX(0,('Assumptions'!F$39*$A11)*'Assumptions'!F$40),MAX(0,'Assumptions'!$B$17-0.8*(MAX(0,('Assumptions'!B$39*$A11)*'Assumptions'!B$40)+MAX(0,('Assumptions'!C$39*$A11)*'Assumptions'!C$40)+MAX(0,('Assumptions'!D$39*$A11)*'Assumptions'!D$40)+MAX(0,('Assumptions'!E$39*$A11)*'Assumptions'!E$40)))))*'Assumptions'!$B$10+('Assumptions'!F$39*$A11)*'Assumptions'!$B$11-('Assumptions'!F$39*$A11)*'Assumptions'!$B$12-(('Assumptions'!F$39*$A11)-('Assumptions'!E$39*$A11))*'Assumptions'!$B$13)/(1+'Assumptions'!$M$8)^5+(('Assumptions'!G$39*$A11)*'Assumptions'!G$40-((MAX(0,('Assumptions'!G$39*$A11)*'Assumptions'!G$40))-MIN(0.8*MAX(0,('Assumptions'!G$39*$A11)*'Assumptions'!G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))))*'Assumptions'!$B$10+('Assumptions'!G$39*$A11)*'Assumptions'!$B$11-('Assumptions'!G$39*$A11)*'Assumptions'!$B$12-(('Assumptions'!G$39*$A11)-('Assumptions'!F$39*$A11))*'Assumptions'!$B$13)/(1+'Assumptions'!$M$8)^6+(('Assumptions'!H$39*$A11)*'Assumptions'!H$40-((MAX(0,('Assumptions'!H$39*$A11)*'Assumptions'!H$40))-MIN(0.8*MAX(0,('Assumptions'!H$39*$A11)*'Assumptions'!H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))))*'Assumptions'!$B$10+('Assumptions'!H$39*$A11)*'Assumptions'!$B$11-('Assumptions'!H$39*$A11)*'Assumptions'!$B$12-(('Assumptions'!H$39*$A11)-('Assumptions'!G$39*$A11))*'Assumptions'!$B$13)/(1+'Assumptions'!$M$8)^7+(('Assumptions'!I$39*$A11)*'Assumptions'!I$40-((MAX(0,('Assumptions'!I$39*$A11)*'Assumptions'!I$40))-MIN(0.8*MAX(0,('Assumptions'!I$39*$A11)*'Assumptions'!I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))))*'Assumptions'!$B$10+('Assumptions'!I$39*$A11)*'Assumptions'!$B$11-('Assumptions'!I$39*$A11)*'Assumptions'!$B$12-(('Assumptions'!I$39*$A11)-('Assumptions'!H$39*$A11))*'Assumptions'!$B$13)/(1+'Assumptions'!$M$8)^8+(('Assumptions'!J$39*$A11)*'Assumptions'!J$40-((MAX(0,('Assumptions'!J$39*$A11)*'Assumptions'!J$40))-MIN(0.8*MAX(0,('Assumptions'!J$39*$A11)*'Assumptions'!J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))))*'Assumptions'!$B$10+('Assumptions'!J$39*$A11)*'Assumptions'!$B$11-('Assumptions'!J$39*$A11)*'Assumptions'!$B$12-(('Assumptions'!J$39*$A11)-('Assumptions'!I$39*$A11))*'Assumptions'!$B$13)/(1+'Assumptions'!$M$8)^9+(('Assumptions'!K$39*$A11)*'Assumptions'!K$40-((MAX(0,('Assumptions'!K$39*$A11)*'Assumptions'!K$40))-MIN(0.8*MAX(0,('Assumptions'!K$39*$A11)*'Assumptions'!K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))))*'Assumptions'!$B$10+('Assumptions'!K$39*$A11)*'Assumptions'!$B$11-('Assumptions'!K$39*$A11)*'Assumptions'!$B$12-(('Assumptions'!K$39*$A11)-('Assumptions'!J$39*$A11))*'Assumptions'!$B$13)/(1+'Assumptions'!$M$8)^10+(('Assumptions'!L$39*$A11)*'Assumptions'!L$40-((MAX(0,('Assumptions'!L$39*$A11)*'Assumptions'!L$40))-MIN(0.8*MAX(0,('Assumptions'!L$39*$A11)*'Assumptions'!L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))))*'Assumptions'!$B$10+('Assumptions'!L$39*$A11)*'Assumptions'!$B$11-('Assumptions'!L$39*$A11)*'Assumptions'!$B$12-(('Assumptions'!L$39*$A11)-('Assumptions'!K$39*$A11))*'Assumptions'!$B$13)/(1+'Assumptions'!$M$8)^11+(('Assumptions'!M$39*$A11)*'Assumptions'!M$40-((MAX(0,('Assumptions'!M$39*$A11)*'Assumptions'!M$40))-MIN(0.8*MAX(0,('Assumptions'!M$39*$A11)*'Assumptions'!M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+MAX(0,('Assumptions'!L$39*$A11)*'Assumptions'!L$40)))))*'Assumptions'!$B$10+('Assumptions'!M$39*$A11)*'Assumptions'!$B$11-('Assumptions'!M$39*$A11)*'Assumptions'!$B$12-(('Assumptions'!M$39*$A11)-('Assumptions'!L$39*$A11))*'Assumptions'!$B$13)/(1+'Assumptions'!$M$8)^12+(('Assumptions'!N$39*$A11)*'Assumptions'!N$40-((MAX(0,('Assumptions'!N$39*$A11)*'Assumptions'!N$40))-MIN(0.8*MAX(0,('Assumptions'!N$39*$A11)*'Assumptions'!N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+MAX(0,('Assumptions'!L$39*$A11)*'Assumptions'!L$40)+MAX(0,('Assumptions'!M$39*$A11)*'Assumptions'!M$40)))))*'Assumptions'!$B$10+('Assumptions'!N$39*$A11)*'Assumptions'!$B$11-('Assumptions'!N$39*$A11)*'Assumptions'!$B$12-(('Assumptions'!N$39*$A11)-('Assumptions'!M$39*$A11))*'Assumptions'!$B$13)/(1+'Assumptions'!$M$8)^13+(('Assumptions'!O$39*$A11)*'Assumptions'!O$40-((MAX(0,('Assumptions'!O$39*$A11)*'Assumptions'!O$40))-MIN(0.8*MAX(0,('Assumptions'!O$39*$A11)*'Assumptions'!O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+MAX(0,('Assumptions'!L$39*$A11)*'Assumptions'!L$40)+MAX(0,('Assumptions'!M$39*$A11)*'Assumptions'!M$40)+MAX(0,('Assumptions'!N$39*$A11)*'Assumptions'!N$40)))))*'Assumptions'!$B$10+('Assumptions'!O$39*$A11)*'Assumptions'!$B$11-('Assumptions'!O$39*$A11)*'Assumptions'!$B$12-(('Assumptions'!O$39*$A11)-('Assumptions'!N$39*$A11))*'Assumptions'!$B$13)/(1+'Assumptions'!$M$8)^14+(('Assumptions'!P$39*$A11)*'Assumptions'!P$40-((MAX(0,('Assumptions'!P$39*$A11)*'Assumptions'!P$40))-MIN(0.8*MAX(0,('Assumptions'!P$39*$A11)*'Assumptions'!P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+MAX(0,('Assumptions'!L$39*$A11)*'Assumptions'!L$40)+MAX(0,('Assumptions'!M$39*$A11)*'Assumptions'!M$40)+MAX(0,('Assumptions'!N$39*$A11)*'Assumptions'!N$40)+MAX(0,('Assumptions'!O$39*$A11)*'Assumptions'!O$40)))))*'Assumptions'!$B$10+('Assumptions'!P$39*$A11)*'Assumptions'!$B$11-('Assumptions'!P$39*$A11)*'Assumptions'!$B$12-(('Assumptions'!P$39*$A11)-('Assumptions'!O$39*$A11))*'Assumptions'!$B$13)/(1+'Assumptions'!$M$8)^15+((('Assumptions'!P$39*$A11)*'Assumptions'!P$40-((MAX(0,('Assumptions'!P$39*$A11)*'Assumptions'!P$40))-MIN(0.8*MAX(0,('Assumptions'!P$39*$A11)*'Assumptions'!P$40),MAX(0,'Assumptions'!$B$17-0.8*(MAX(0,('Assumptions'!B$39*$A11)*'Assumptions'!B$40)+MAX(0,('Assumptions'!C$39*$A11)*'Assumptions'!C$40)+MAX(0,('Assumptions'!D$39*$A11)*'Assumptions'!D$40)+MAX(0,('Assumptions'!E$39*$A11)*'Assumptions'!E$40)+MAX(0,('Assumptions'!F$39*$A11)*'Assumptions'!F$40)+MAX(0,('Assumptions'!G$39*$A11)*'Assumptions'!G$40)+MAX(0,('Assumptions'!H$39*$A11)*'Assumptions'!H$40)+MAX(0,('Assumptions'!I$39*$A11)*'Assumptions'!I$40)+MAX(0,('Assumptions'!J$39*$A11)*'Assumptions'!J$40)+MAX(0,('Assumptions'!K$39*$A11)*'Assumptions'!K$40)+MAX(0,('Assumptions'!L$39*$A11)*'Assumptions'!L$40)+MAX(0,('Assumptions'!M$39*$A11)*'Assumptions'!M$40)+MAX(0,('Assumptions'!N$39*$A11)*'Assumptions'!N$40)+MAX(0,('Assumptions'!O$39*$A11)*'Assumptions'!O$40)))))*'Assumptions'!$B$10+('Assumptions'!P$39*$A11)*'Assumptions'!$B$11-('Assumptions'!P$39*$A11)*'Assumptions'!$B$12-(('Assumptions'!P$39*$A11)-('Assumptions'!O$39*$A11))*'Assumptions'!$B$13)*(1+'Assumptions'!$N$8)/('Assumptions'!$M$8-'Assumptions'!$N$8))/(1+'Assumptions'!$M$8)^15+'Assumptions'!$B$9-'Assumptions'!$B$16+'Assumptions'!$O$8))/'DCF'!$K$6</x:f>
        <x:v>5.755655024600836</x:v>
      </x:c>
      <x:c r="F11" s="227"/>
      <x:c r="G11" s="227"/>
      <x:c r="H11" s="227"/>
    </x:row>
    <x:row r="12">
      <x:c r="A12" s="414" t="n">
        <x:v>1.5</x:v>
      </x:c>
      <x:c r="B12" s="322" t="n">
        <x:f>'Assumptions'!F39*A12</x:f>
        <x:v>70.5</x:v>
      </x:c>
      <x:c r="C12" s="322" t="n">
        <x:f>'Assumptions'!K39*A12</x:f>
        <x:v>187.5</x:v>
      </x:c>
      <x:c r="D12" s="322" t="n">
        <x:f>'Assumptions'!P39*A12</x:f>
        <x:v>280.65</x:v>
      </x:c>
      <x:c r="E12" s="393" t="n">
        <x:f>(MAX(0,(('Assumptions'!B$39*$A12)*'Assumptions'!B$40-((MAX(0,('Assumptions'!B$39*$A12)*'Assumptions'!B$40))-MIN(0.8*MAX(0,('Assumptions'!B$39*$A12)*'Assumptions'!B$40),MAX(0,'Assumptions'!$B$17-0.8*(0))))*'Assumptions'!$B$10+('Assumptions'!B$39*$A12)*'Assumptions'!$B$11-('Assumptions'!B$39*$A12)*'Assumptions'!$B$12-(('Assumptions'!B$39*$A12)-'Assumptions'!$B$14)*'Assumptions'!$B$13)/(1+'Assumptions'!$M$8)^1+(('Assumptions'!C$39*$A12)*'Assumptions'!C$40-((MAX(0,('Assumptions'!C$39*$A12)*'Assumptions'!C$40))-MIN(0.8*MAX(0,('Assumptions'!C$39*$A12)*'Assumptions'!C$40),MAX(0,'Assumptions'!$B$17-0.8*(MAX(0,('Assumptions'!B$39*$A12)*'Assumptions'!B$40)))))*'Assumptions'!$B$10+('Assumptions'!C$39*$A12)*'Assumptions'!$B$11-('Assumptions'!C$39*$A12)*'Assumptions'!$B$12-(('Assumptions'!C$39*$A12)-('Assumptions'!B$39*$A12))*'Assumptions'!$B$13)/(1+'Assumptions'!$M$8)^2+(('Assumptions'!D$39*$A12)*'Assumptions'!D$40-((MAX(0,('Assumptions'!D$39*$A12)*'Assumptions'!D$40))-MIN(0.8*MAX(0,('Assumptions'!D$39*$A12)*'Assumptions'!D$40),MAX(0,'Assumptions'!$B$17-0.8*(MAX(0,('Assumptions'!B$39*$A12)*'Assumptions'!B$40)+MAX(0,('Assumptions'!C$39*$A12)*'Assumptions'!C$40)))))*'Assumptions'!$B$10+('Assumptions'!D$39*$A12)*'Assumptions'!$B$11-('Assumptions'!D$39*$A12)*'Assumptions'!$B$12-(('Assumptions'!D$39*$A12)-('Assumptions'!C$39*$A12))*'Assumptions'!$B$13)/(1+'Assumptions'!$M$8)^3+(('Assumptions'!E$39*$A12)*'Assumptions'!E$40-((MAX(0,('Assumptions'!E$39*$A12)*'Assumptions'!E$40))-MIN(0.8*MAX(0,('Assumptions'!E$39*$A12)*'Assumptions'!E$40),MAX(0,'Assumptions'!$B$17-0.8*(MAX(0,('Assumptions'!B$39*$A12)*'Assumptions'!B$40)+MAX(0,('Assumptions'!C$39*$A12)*'Assumptions'!C$40)+MAX(0,('Assumptions'!D$39*$A12)*'Assumptions'!D$40)))))*'Assumptions'!$B$10+('Assumptions'!E$39*$A12)*'Assumptions'!$B$11-('Assumptions'!E$39*$A12)*'Assumptions'!$B$12-(('Assumptions'!E$39*$A12)-('Assumptions'!D$39*$A12))*'Assumptions'!$B$13)/(1+'Assumptions'!$M$8)^4+(('Assumptions'!F$39*$A12)*'Assumptions'!F$40-((MAX(0,('Assumptions'!F$39*$A12)*'Assumptions'!F$40))-MIN(0.8*MAX(0,('Assumptions'!F$39*$A12)*'Assumptions'!F$40),MAX(0,'Assumptions'!$B$17-0.8*(MAX(0,('Assumptions'!B$39*$A12)*'Assumptions'!B$40)+MAX(0,('Assumptions'!C$39*$A12)*'Assumptions'!C$40)+MAX(0,('Assumptions'!D$39*$A12)*'Assumptions'!D$40)+MAX(0,('Assumptions'!E$39*$A12)*'Assumptions'!E$40)))))*'Assumptions'!$B$10+('Assumptions'!F$39*$A12)*'Assumptions'!$B$11-('Assumptions'!F$39*$A12)*'Assumptions'!$B$12-(('Assumptions'!F$39*$A12)-('Assumptions'!E$39*$A12))*'Assumptions'!$B$13)/(1+'Assumptions'!$M$8)^5+(('Assumptions'!G$39*$A12)*'Assumptions'!G$40-((MAX(0,('Assumptions'!G$39*$A12)*'Assumptions'!G$40))-MIN(0.8*MAX(0,('Assumptions'!G$39*$A12)*'Assumptions'!G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))))*'Assumptions'!$B$10+('Assumptions'!G$39*$A12)*'Assumptions'!$B$11-('Assumptions'!G$39*$A12)*'Assumptions'!$B$12-(('Assumptions'!G$39*$A12)-('Assumptions'!F$39*$A12))*'Assumptions'!$B$13)/(1+'Assumptions'!$M$8)^6+(('Assumptions'!H$39*$A12)*'Assumptions'!H$40-((MAX(0,('Assumptions'!H$39*$A12)*'Assumptions'!H$40))-MIN(0.8*MAX(0,('Assumptions'!H$39*$A12)*'Assumptions'!H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))))*'Assumptions'!$B$10+('Assumptions'!H$39*$A12)*'Assumptions'!$B$11-('Assumptions'!H$39*$A12)*'Assumptions'!$B$12-(('Assumptions'!H$39*$A12)-('Assumptions'!G$39*$A12))*'Assumptions'!$B$13)/(1+'Assumptions'!$M$8)^7+(('Assumptions'!I$39*$A12)*'Assumptions'!I$40-((MAX(0,('Assumptions'!I$39*$A12)*'Assumptions'!I$40))-MIN(0.8*MAX(0,('Assumptions'!I$39*$A12)*'Assumptions'!I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))))*'Assumptions'!$B$10+('Assumptions'!I$39*$A12)*'Assumptions'!$B$11-('Assumptions'!I$39*$A12)*'Assumptions'!$B$12-(('Assumptions'!I$39*$A12)-('Assumptions'!H$39*$A12))*'Assumptions'!$B$13)/(1+'Assumptions'!$M$8)^8+(('Assumptions'!J$39*$A12)*'Assumptions'!J$40-((MAX(0,('Assumptions'!J$39*$A12)*'Assumptions'!J$40))-MIN(0.8*MAX(0,('Assumptions'!J$39*$A12)*'Assumptions'!J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))))*'Assumptions'!$B$10+('Assumptions'!J$39*$A12)*'Assumptions'!$B$11-('Assumptions'!J$39*$A12)*'Assumptions'!$B$12-(('Assumptions'!J$39*$A12)-('Assumptions'!I$39*$A12))*'Assumptions'!$B$13)/(1+'Assumptions'!$M$8)^9+(('Assumptions'!K$39*$A12)*'Assumptions'!K$40-((MAX(0,('Assumptions'!K$39*$A12)*'Assumptions'!K$40))-MIN(0.8*MAX(0,('Assumptions'!K$39*$A12)*'Assumptions'!K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))))*'Assumptions'!$B$10+('Assumptions'!K$39*$A12)*'Assumptions'!$B$11-('Assumptions'!K$39*$A12)*'Assumptions'!$B$12-(('Assumptions'!K$39*$A12)-('Assumptions'!J$39*$A12))*'Assumptions'!$B$13)/(1+'Assumptions'!$M$8)^10+(('Assumptions'!L$39*$A12)*'Assumptions'!L$40-((MAX(0,('Assumptions'!L$39*$A12)*'Assumptions'!L$40))-MIN(0.8*MAX(0,('Assumptions'!L$39*$A12)*'Assumptions'!L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))))*'Assumptions'!$B$10+('Assumptions'!L$39*$A12)*'Assumptions'!$B$11-('Assumptions'!L$39*$A12)*'Assumptions'!$B$12-(('Assumptions'!L$39*$A12)-('Assumptions'!K$39*$A12))*'Assumptions'!$B$13)/(1+'Assumptions'!$M$8)^11+(('Assumptions'!M$39*$A12)*'Assumptions'!M$40-((MAX(0,('Assumptions'!M$39*$A12)*'Assumptions'!M$40))-MIN(0.8*MAX(0,('Assumptions'!M$39*$A12)*'Assumptions'!M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+MAX(0,('Assumptions'!L$39*$A12)*'Assumptions'!L$40)))))*'Assumptions'!$B$10+('Assumptions'!M$39*$A12)*'Assumptions'!$B$11-('Assumptions'!M$39*$A12)*'Assumptions'!$B$12-(('Assumptions'!M$39*$A12)-('Assumptions'!L$39*$A12))*'Assumptions'!$B$13)/(1+'Assumptions'!$M$8)^12+(('Assumptions'!N$39*$A12)*'Assumptions'!N$40-((MAX(0,('Assumptions'!N$39*$A12)*'Assumptions'!N$40))-MIN(0.8*MAX(0,('Assumptions'!N$39*$A12)*'Assumptions'!N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+MAX(0,('Assumptions'!L$39*$A12)*'Assumptions'!L$40)+MAX(0,('Assumptions'!M$39*$A12)*'Assumptions'!M$40)))))*'Assumptions'!$B$10+('Assumptions'!N$39*$A12)*'Assumptions'!$B$11-('Assumptions'!N$39*$A12)*'Assumptions'!$B$12-(('Assumptions'!N$39*$A12)-('Assumptions'!M$39*$A12))*'Assumptions'!$B$13)/(1+'Assumptions'!$M$8)^13+(('Assumptions'!O$39*$A12)*'Assumptions'!O$40-((MAX(0,('Assumptions'!O$39*$A12)*'Assumptions'!O$40))-MIN(0.8*MAX(0,('Assumptions'!O$39*$A12)*'Assumptions'!O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+MAX(0,('Assumptions'!L$39*$A12)*'Assumptions'!L$40)+MAX(0,('Assumptions'!M$39*$A12)*'Assumptions'!M$40)+MAX(0,('Assumptions'!N$39*$A12)*'Assumptions'!N$40)))))*'Assumptions'!$B$10+('Assumptions'!O$39*$A12)*'Assumptions'!$B$11-('Assumptions'!O$39*$A12)*'Assumptions'!$B$12-(('Assumptions'!O$39*$A12)-('Assumptions'!N$39*$A12))*'Assumptions'!$B$13)/(1+'Assumptions'!$M$8)^14+(('Assumptions'!P$39*$A12)*'Assumptions'!P$40-((MAX(0,('Assumptions'!P$39*$A12)*'Assumptions'!P$40))-MIN(0.8*MAX(0,('Assumptions'!P$39*$A12)*'Assumptions'!P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+MAX(0,('Assumptions'!L$39*$A12)*'Assumptions'!L$40)+MAX(0,('Assumptions'!M$39*$A12)*'Assumptions'!M$40)+MAX(0,('Assumptions'!N$39*$A12)*'Assumptions'!N$40)+MAX(0,('Assumptions'!O$39*$A12)*'Assumptions'!O$40)))))*'Assumptions'!$B$10+('Assumptions'!P$39*$A12)*'Assumptions'!$B$11-('Assumptions'!P$39*$A12)*'Assumptions'!$B$12-(('Assumptions'!P$39*$A12)-('Assumptions'!O$39*$A12))*'Assumptions'!$B$13)/(1+'Assumptions'!$M$8)^15+((('Assumptions'!P$39*$A12)*'Assumptions'!P$40-((MAX(0,('Assumptions'!P$39*$A12)*'Assumptions'!P$40))-MIN(0.8*MAX(0,('Assumptions'!P$39*$A12)*'Assumptions'!P$40),MAX(0,'Assumptions'!$B$17-0.8*(MAX(0,('Assumptions'!B$39*$A12)*'Assumptions'!B$40)+MAX(0,('Assumptions'!C$39*$A12)*'Assumptions'!C$40)+MAX(0,('Assumptions'!D$39*$A12)*'Assumptions'!D$40)+MAX(0,('Assumptions'!E$39*$A12)*'Assumptions'!E$40)+MAX(0,('Assumptions'!F$39*$A12)*'Assumptions'!F$40)+MAX(0,('Assumptions'!G$39*$A12)*'Assumptions'!G$40)+MAX(0,('Assumptions'!H$39*$A12)*'Assumptions'!H$40)+MAX(0,('Assumptions'!I$39*$A12)*'Assumptions'!I$40)+MAX(0,('Assumptions'!J$39*$A12)*'Assumptions'!J$40)+MAX(0,('Assumptions'!K$39*$A12)*'Assumptions'!K$40)+MAX(0,('Assumptions'!L$39*$A12)*'Assumptions'!L$40)+MAX(0,('Assumptions'!M$39*$A12)*'Assumptions'!M$40)+MAX(0,('Assumptions'!N$39*$A12)*'Assumptions'!N$40)+MAX(0,('Assumptions'!O$39*$A12)*'Assumptions'!O$40)))))*'Assumptions'!$B$10+('Assumptions'!P$39*$A12)*'Assumptions'!$B$11-('Assumptions'!P$39*$A12)*'Assumptions'!$B$12-(('Assumptions'!P$39*$A12)-('Assumptions'!O$39*$A12))*'Assumptions'!$B$13)*(1+'Assumptions'!$N$8)/('Assumptions'!$M$8-'Assumptions'!$N$8))/(1+'Assumptions'!$M$8)^15+'Assumptions'!$B$9-'Assumptions'!$B$16+'Assumptions'!$O$8))/'DCF'!$K$6</x:f>
        <x:v>6.119854936156796</x:v>
      </x:c>
      <x:c r="F12" s="227"/>
      <x:c r="G12" s="227"/>
      <x:c r="H12" s="227"/>
    </x:row>
    <x:row r="13">
      <x:c r="A13" s="414" t="n">
        <x:v>1.6</x:v>
      </x:c>
      <x:c r="B13" s="322" t="n">
        <x:f>'Assumptions'!F39*A13</x:f>
        <x:v>75.2</x:v>
      </x:c>
      <x:c r="C13" s="322" t="n">
        <x:f>'Assumptions'!K39*A13</x:f>
        <x:v>200</x:v>
      </x:c>
      <x:c r="D13" s="322" t="n">
        <x:f>'Assumptions'!P39*A13</x:f>
        <x:v>299.36</x:v>
      </x:c>
      <x:c r="E13" s="393" t="n">
        <x:f>(MAX(0,(('Assumptions'!B$39*$A13)*'Assumptions'!B$40-((MAX(0,('Assumptions'!B$39*$A13)*'Assumptions'!B$40))-MIN(0.8*MAX(0,('Assumptions'!B$39*$A13)*'Assumptions'!B$40),MAX(0,'Assumptions'!$B$17-0.8*(0))))*'Assumptions'!$B$10+('Assumptions'!B$39*$A13)*'Assumptions'!$B$11-('Assumptions'!B$39*$A13)*'Assumptions'!$B$12-(('Assumptions'!B$39*$A13)-'Assumptions'!$B$14)*'Assumptions'!$B$13)/(1+'Assumptions'!$M$8)^1+(('Assumptions'!C$39*$A13)*'Assumptions'!C$40-((MAX(0,('Assumptions'!C$39*$A13)*'Assumptions'!C$40))-MIN(0.8*MAX(0,('Assumptions'!C$39*$A13)*'Assumptions'!C$40),MAX(0,'Assumptions'!$B$17-0.8*(MAX(0,('Assumptions'!B$39*$A13)*'Assumptions'!B$40)))))*'Assumptions'!$B$10+('Assumptions'!C$39*$A13)*'Assumptions'!$B$11-('Assumptions'!C$39*$A13)*'Assumptions'!$B$12-(('Assumptions'!C$39*$A13)-('Assumptions'!B$39*$A13))*'Assumptions'!$B$13)/(1+'Assumptions'!$M$8)^2+(('Assumptions'!D$39*$A13)*'Assumptions'!D$40-((MAX(0,('Assumptions'!D$39*$A13)*'Assumptions'!D$40))-MIN(0.8*MAX(0,('Assumptions'!D$39*$A13)*'Assumptions'!D$40),MAX(0,'Assumptions'!$B$17-0.8*(MAX(0,('Assumptions'!B$39*$A13)*'Assumptions'!B$40)+MAX(0,('Assumptions'!C$39*$A13)*'Assumptions'!C$40)))))*'Assumptions'!$B$10+('Assumptions'!D$39*$A13)*'Assumptions'!$B$11-('Assumptions'!D$39*$A13)*'Assumptions'!$B$12-(('Assumptions'!D$39*$A13)-('Assumptions'!C$39*$A13))*'Assumptions'!$B$13)/(1+'Assumptions'!$M$8)^3+(('Assumptions'!E$39*$A13)*'Assumptions'!E$40-((MAX(0,('Assumptions'!E$39*$A13)*'Assumptions'!E$40))-MIN(0.8*MAX(0,('Assumptions'!E$39*$A13)*'Assumptions'!E$40),MAX(0,'Assumptions'!$B$17-0.8*(MAX(0,('Assumptions'!B$39*$A13)*'Assumptions'!B$40)+MAX(0,('Assumptions'!C$39*$A13)*'Assumptions'!C$40)+MAX(0,('Assumptions'!D$39*$A13)*'Assumptions'!D$40)))))*'Assumptions'!$B$10+('Assumptions'!E$39*$A13)*'Assumptions'!$B$11-('Assumptions'!E$39*$A13)*'Assumptions'!$B$12-(('Assumptions'!E$39*$A13)-('Assumptions'!D$39*$A13))*'Assumptions'!$B$13)/(1+'Assumptions'!$M$8)^4+(('Assumptions'!F$39*$A13)*'Assumptions'!F$40-((MAX(0,('Assumptions'!F$39*$A13)*'Assumptions'!F$40))-MIN(0.8*MAX(0,('Assumptions'!F$39*$A13)*'Assumptions'!F$40),MAX(0,'Assumptions'!$B$17-0.8*(MAX(0,('Assumptions'!B$39*$A13)*'Assumptions'!B$40)+MAX(0,('Assumptions'!C$39*$A13)*'Assumptions'!C$40)+MAX(0,('Assumptions'!D$39*$A13)*'Assumptions'!D$40)+MAX(0,('Assumptions'!E$39*$A13)*'Assumptions'!E$40)))))*'Assumptions'!$B$10+('Assumptions'!F$39*$A13)*'Assumptions'!$B$11-('Assumptions'!F$39*$A13)*'Assumptions'!$B$12-(('Assumptions'!F$39*$A13)-('Assumptions'!E$39*$A13))*'Assumptions'!$B$13)/(1+'Assumptions'!$M$8)^5+(('Assumptions'!G$39*$A13)*'Assumptions'!G$40-((MAX(0,('Assumptions'!G$39*$A13)*'Assumptions'!G$40))-MIN(0.8*MAX(0,('Assumptions'!G$39*$A13)*'Assumptions'!G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))))*'Assumptions'!$B$10+('Assumptions'!G$39*$A13)*'Assumptions'!$B$11-('Assumptions'!G$39*$A13)*'Assumptions'!$B$12-(('Assumptions'!G$39*$A13)-('Assumptions'!F$39*$A13))*'Assumptions'!$B$13)/(1+'Assumptions'!$M$8)^6+(('Assumptions'!H$39*$A13)*'Assumptions'!H$40-((MAX(0,('Assumptions'!H$39*$A13)*'Assumptions'!H$40))-MIN(0.8*MAX(0,('Assumptions'!H$39*$A13)*'Assumptions'!H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))))*'Assumptions'!$B$10+('Assumptions'!H$39*$A13)*'Assumptions'!$B$11-('Assumptions'!H$39*$A13)*'Assumptions'!$B$12-(('Assumptions'!H$39*$A13)-('Assumptions'!G$39*$A13))*'Assumptions'!$B$13)/(1+'Assumptions'!$M$8)^7+(('Assumptions'!I$39*$A13)*'Assumptions'!I$40-((MAX(0,('Assumptions'!I$39*$A13)*'Assumptions'!I$40))-MIN(0.8*MAX(0,('Assumptions'!I$39*$A13)*'Assumptions'!I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))))*'Assumptions'!$B$10+('Assumptions'!I$39*$A13)*'Assumptions'!$B$11-('Assumptions'!I$39*$A13)*'Assumptions'!$B$12-(('Assumptions'!I$39*$A13)-('Assumptions'!H$39*$A13))*'Assumptions'!$B$13)/(1+'Assumptions'!$M$8)^8+(('Assumptions'!J$39*$A13)*'Assumptions'!J$40-((MAX(0,('Assumptions'!J$39*$A13)*'Assumptions'!J$40))-MIN(0.8*MAX(0,('Assumptions'!J$39*$A13)*'Assumptions'!J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))))*'Assumptions'!$B$10+('Assumptions'!J$39*$A13)*'Assumptions'!$B$11-('Assumptions'!J$39*$A13)*'Assumptions'!$B$12-(('Assumptions'!J$39*$A13)-('Assumptions'!I$39*$A13))*'Assumptions'!$B$13)/(1+'Assumptions'!$M$8)^9+(('Assumptions'!K$39*$A13)*'Assumptions'!K$40-((MAX(0,('Assumptions'!K$39*$A13)*'Assumptions'!K$40))-MIN(0.8*MAX(0,('Assumptions'!K$39*$A13)*'Assumptions'!K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))))*'Assumptions'!$B$10+('Assumptions'!K$39*$A13)*'Assumptions'!$B$11-('Assumptions'!K$39*$A13)*'Assumptions'!$B$12-(('Assumptions'!K$39*$A13)-('Assumptions'!J$39*$A13))*'Assumptions'!$B$13)/(1+'Assumptions'!$M$8)^10+(('Assumptions'!L$39*$A13)*'Assumptions'!L$40-((MAX(0,('Assumptions'!L$39*$A13)*'Assumptions'!L$40))-MIN(0.8*MAX(0,('Assumptions'!L$39*$A13)*'Assumptions'!L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))))*'Assumptions'!$B$10+('Assumptions'!L$39*$A13)*'Assumptions'!$B$11-('Assumptions'!L$39*$A13)*'Assumptions'!$B$12-(('Assumptions'!L$39*$A13)-('Assumptions'!K$39*$A13))*'Assumptions'!$B$13)/(1+'Assumptions'!$M$8)^11+(('Assumptions'!M$39*$A13)*'Assumptions'!M$40-((MAX(0,('Assumptions'!M$39*$A13)*'Assumptions'!M$40))-MIN(0.8*MAX(0,('Assumptions'!M$39*$A13)*'Assumptions'!M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+MAX(0,('Assumptions'!L$39*$A13)*'Assumptions'!L$40)))))*'Assumptions'!$B$10+('Assumptions'!M$39*$A13)*'Assumptions'!$B$11-('Assumptions'!M$39*$A13)*'Assumptions'!$B$12-(('Assumptions'!M$39*$A13)-('Assumptions'!L$39*$A13))*'Assumptions'!$B$13)/(1+'Assumptions'!$M$8)^12+(('Assumptions'!N$39*$A13)*'Assumptions'!N$40-((MAX(0,('Assumptions'!N$39*$A13)*'Assumptions'!N$40))-MIN(0.8*MAX(0,('Assumptions'!N$39*$A13)*'Assumptions'!N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+MAX(0,('Assumptions'!L$39*$A13)*'Assumptions'!L$40)+MAX(0,('Assumptions'!M$39*$A13)*'Assumptions'!M$40)))))*'Assumptions'!$B$10+('Assumptions'!N$39*$A13)*'Assumptions'!$B$11-('Assumptions'!N$39*$A13)*'Assumptions'!$B$12-(('Assumptions'!N$39*$A13)-('Assumptions'!M$39*$A13))*'Assumptions'!$B$13)/(1+'Assumptions'!$M$8)^13+(('Assumptions'!O$39*$A13)*'Assumptions'!O$40-((MAX(0,('Assumptions'!O$39*$A13)*'Assumptions'!O$40))-MIN(0.8*MAX(0,('Assumptions'!O$39*$A13)*'Assumptions'!O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+MAX(0,('Assumptions'!L$39*$A13)*'Assumptions'!L$40)+MAX(0,('Assumptions'!M$39*$A13)*'Assumptions'!M$40)+MAX(0,('Assumptions'!N$39*$A13)*'Assumptions'!N$40)))))*'Assumptions'!$B$10+('Assumptions'!O$39*$A13)*'Assumptions'!$B$11-('Assumptions'!O$39*$A13)*'Assumptions'!$B$12-(('Assumptions'!O$39*$A13)-('Assumptions'!N$39*$A13))*'Assumptions'!$B$13)/(1+'Assumptions'!$M$8)^14+(('Assumptions'!P$39*$A13)*'Assumptions'!P$40-((MAX(0,('Assumptions'!P$39*$A13)*'Assumptions'!P$40))-MIN(0.8*MAX(0,('Assumptions'!P$39*$A13)*'Assumptions'!P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+MAX(0,('Assumptions'!L$39*$A13)*'Assumptions'!L$40)+MAX(0,('Assumptions'!M$39*$A13)*'Assumptions'!M$40)+MAX(0,('Assumptions'!N$39*$A13)*'Assumptions'!N$40)+MAX(0,('Assumptions'!O$39*$A13)*'Assumptions'!O$40)))))*'Assumptions'!$B$10+('Assumptions'!P$39*$A13)*'Assumptions'!$B$11-('Assumptions'!P$39*$A13)*'Assumptions'!$B$12-(('Assumptions'!P$39*$A13)-('Assumptions'!O$39*$A13))*'Assumptions'!$B$13)/(1+'Assumptions'!$M$8)^15+((('Assumptions'!P$39*$A13)*'Assumptions'!P$40-((MAX(0,('Assumptions'!P$39*$A13)*'Assumptions'!P$40))-MIN(0.8*MAX(0,('Assumptions'!P$39*$A13)*'Assumptions'!P$40),MAX(0,'Assumptions'!$B$17-0.8*(MAX(0,('Assumptions'!B$39*$A13)*'Assumptions'!B$40)+MAX(0,('Assumptions'!C$39*$A13)*'Assumptions'!C$40)+MAX(0,('Assumptions'!D$39*$A13)*'Assumptions'!D$40)+MAX(0,('Assumptions'!E$39*$A13)*'Assumptions'!E$40)+MAX(0,('Assumptions'!F$39*$A13)*'Assumptions'!F$40)+MAX(0,('Assumptions'!G$39*$A13)*'Assumptions'!G$40)+MAX(0,('Assumptions'!H$39*$A13)*'Assumptions'!H$40)+MAX(0,('Assumptions'!I$39*$A13)*'Assumptions'!I$40)+MAX(0,('Assumptions'!J$39*$A13)*'Assumptions'!J$40)+MAX(0,('Assumptions'!K$39*$A13)*'Assumptions'!K$40)+MAX(0,('Assumptions'!L$39*$A13)*'Assumptions'!L$40)+MAX(0,('Assumptions'!M$39*$A13)*'Assumptions'!M$40)+MAX(0,('Assumptions'!N$39*$A13)*'Assumptions'!N$40)+MAX(0,('Assumptions'!O$39*$A13)*'Assumptions'!O$40)))))*'Assumptions'!$B$10+('Assumptions'!P$39*$A13)*'Assumptions'!$B$11-('Assumptions'!P$39*$A13)*'Assumptions'!$B$12-(('Assumptions'!P$39*$A13)-('Assumptions'!O$39*$A13))*'Assumptions'!$B$13)*(1+'Assumptions'!$N$8)/('Assumptions'!$M$8-'Assumptions'!$N$8))/(1+'Assumptions'!$M$8)^15+'Assumptions'!$B$9-'Assumptions'!$B$16+'Assumptions'!$O$8))/'DCF'!$K$6</x:f>
        <x:v>6.48281077484092</x:v>
      </x:c>
      <x:c r="F13" s="227"/>
      <x:c r="G13" s="227"/>
      <x:c r="H13" s="227"/>
    </x:row>
    <x:row r="14">
      <x:c r="A14" s="414" t="n">
        <x:v>1.7</x:v>
      </x:c>
      <x:c r="B14" s="322" t="n">
        <x:f>'Assumptions'!F39*A14</x:f>
        <x:v>79.89999999999999</x:v>
      </x:c>
      <x:c r="C14" s="322" t="n">
        <x:f>'Assumptions'!K39*A14</x:f>
        <x:v>212.5</x:v>
      </x:c>
      <x:c r="D14" s="322" t="n">
        <x:f>'Assumptions'!P39*A14</x:f>
        <x:v>318.07</x:v>
      </x:c>
      <x:c r="E14" s="393" t="n">
        <x:f>(MAX(0,(('Assumptions'!B$39*$A14)*'Assumptions'!B$40-((MAX(0,('Assumptions'!B$39*$A14)*'Assumptions'!B$40))-MIN(0.8*MAX(0,('Assumptions'!B$39*$A14)*'Assumptions'!B$40),MAX(0,'Assumptions'!$B$17-0.8*(0))))*'Assumptions'!$B$10+('Assumptions'!B$39*$A14)*'Assumptions'!$B$11-('Assumptions'!B$39*$A14)*'Assumptions'!$B$12-(('Assumptions'!B$39*$A14)-'Assumptions'!$B$14)*'Assumptions'!$B$13)/(1+'Assumptions'!$M$8)^1+(('Assumptions'!C$39*$A14)*'Assumptions'!C$40-((MAX(0,('Assumptions'!C$39*$A14)*'Assumptions'!C$40))-MIN(0.8*MAX(0,('Assumptions'!C$39*$A14)*'Assumptions'!C$40),MAX(0,'Assumptions'!$B$17-0.8*(MAX(0,('Assumptions'!B$39*$A14)*'Assumptions'!B$40)))))*'Assumptions'!$B$10+('Assumptions'!C$39*$A14)*'Assumptions'!$B$11-('Assumptions'!C$39*$A14)*'Assumptions'!$B$12-(('Assumptions'!C$39*$A14)-('Assumptions'!B$39*$A14))*'Assumptions'!$B$13)/(1+'Assumptions'!$M$8)^2+(('Assumptions'!D$39*$A14)*'Assumptions'!D$40-((MAX(0,('Assumptions'!D$39*$A14)*'Assumptions'!D$40))-MIN(0.8*MAX(0,('Assumptions'!D$39*$A14)*'Assumptions'!D$40),MAX(0,'Assumptions'!$B$17-0.8*(MAX(0,('Assumptions'!B$39*$A14)*'Assumptions'!B$40)+MAX(0,('Assumptions'!C$39*$A14)*'Assumptions'!C$40)))))*'Assumptions'!$B$10+('Assumptions'!D$39*$A14)*'Assumptions'!$B$11-('Assumptions'!D$39*$A14)*'Assumptions'!$B$12-(('Assumptions'!D$39*$A14)-('Assumptions'!C$39*$A14))*'Assumptions'!$B$13)/(1+'Assumptions'!$M$8)^3+(('Assumptions'!E$39*$A14)*'Assumptions'!E$40-((MAX(0,('Assumptions'!E$39*$A14)*'Assumptions'!E$40))-MIN(0.8*MAX(0,('Assumptions'!E$39*$A14)*'Assumptions'!E$40),MAX(0,'Assumptions'!$B$17-0.8*(MAX(0,('Assumptions'!B$39*$A14)*'Assumptions'!B$40)+MAX(0,('Assumptions'!C$39*$A14)*'Assumptions'!C$40)+MAX(0,('Assumptions'!D$39*$A14)*'Assumptions'!D$40)))))*'Assumptions'!$B$10+('Assumptions'!E$39*$A14)*'Assumptions'!$B$11-('Assumptions'!E$39*$A14)*'Assumptions'!$B$12-(('Assumptions'!E$39*$A14)-('Assumptions'!D$39*$A14))*'Assumptions'!$B$13)/(1+'Assumptions'!$M$8)^4+(('Assumptions'!F$39*$A14)*'Assumptions'!F$40-((MAX(0,('Assumptions'!F$39*$A14)*'Assumptions'!F$40))-MIN(0.8*MAX(0,('Assumptions'!F$39*$A14)*'Assumptions'!F$40),MAX(0,'Assumptions'!$B$17-0.8*(MAX(0,('Assumptions'!B$39*$A14)*'Assumptions'!B$40)+MAX(0,('Assumptions'!C$39*$A14)*'Assumptions'!C$40)+MAX(0,('Assumptions'!D$39*$A14)*'Assumptions'!D$40)+MAX(0,('Assumptions'!E$39*$A14)*'Assumptions'!E$40)))))*'Assumptions'!$B$10+('Assumptions'!F$39*$A14)*'Assumptions'!$B$11-('Assumptions'!F$39*$A14)*'Assumptions'!$B$12-(('Assumptions'!F$39*$A14)-('Assumptions'!E$39*$A14))*'Assumptions'!$B$13)/(1+'Assumptions'!$M$8)^5+(('Assumptions'!G$39*$A14)*'Assumptions'!G$40-((MAX(0,('Assumptions'!G$39*$A14)*'Assumptions'!G$40))-MIN(0.8*MAX(0,('Assumptions'!G$39*$A14)*'Assumptions'!G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))))*'Assumptions'!$B$10+('Assumptions'!G$39*$A14)*'Assumptions'!$B$11-('Assumptions'!G$39*$A14)*'Assumptions'!$B$12-(('Assumptions'!G$39*$A14)-('Assumptions'!F$39*$A14))*'Assumptions'!$B$13)/(1+'Assumptions'!$M$8)^6+(('Assumptions'!H$39*$A14)*'Assumptions'!H$40-((MAX(0,('Assumptions'!H$39*$A14)*'Assumptions'!H$40))-MIN(0.8*MAX(0,('Assumptions'!H$39*$A14)*'Assumptions'!H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))))*'Assumptions'!$B$10+('Assumptions'!H$39*$A14)*'Assumptions'!$B$11-('Assumptions'!H$39*$A14)*'Assumptions'!$B$12-(('Assumptions'!H$39*$A14)-('Assumptions'!G$39*$A14))*'Assumptions'!$B$13)/(1+'Assumptions'!$M$8)^7+(('Assumptions'!I$39*$A14)*'Assumptions'!I$40-((MAX(0,('Assumptions'!I$39*$A14)*'Assumptions'!I$40))-MIN(0.8*MAX(0,('Assumptions'!I$39*$A14)*'Assumptions'!I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))))*'Assumptions'!$B$10+('Assumptions'!I$39*$A14)*'Assumptions'!$B$11-('Assumptions'!I$39*$A14)*'Assumptions'!$B$12-(('Assumptions'!I$39*$A14)-('Assumptions'!H$39*$A14))*'Assumptions'!$B$13)/(1+'Assumptions'!$M$8)^8+(('Assumptions'!J$39*$A14)*'Assumptions'!J$40-((MAX(0,('Assumptions'!J$39*$A14)*'Assumptions'!J$40))-MIN(0.8*MAX(0,('Assumptions'!J$39*$A14)*'Assumptions'!J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))))*'Assumptions'!$B$10+('Assumptions'!J$39*$A14)*'Assumptions'!$B$11-('Assumptions'!J$39*$A14)*'Assumptions'!$B$12-(('Assumptions'!J$39*$A14)-('Assumptions'!I$39*$A14))*'Assumptions'!$B$13)/(1+'Assumptions'!$M$8)^9+(('Assumptions'!K$39*$A14)*'Assumptions'!K$40-((MAX(0,('Assumptions'!K$39*$A14)*'Assumptions'!K$40))-MIN(0.8*MAX(0,('Assumptions'!K$39*$A14)*'Assumptions'!K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))))*'Assumptions'!$B$10+('Assumptions'!K$39*$A14)*'Assumptions'!$B$11-('Assumptions'!K$39*$A14)*'Assumptions'!$B$12-(('Assumptions'!K$39*$A14)-('Assumptions'!J$39*$A14))*'Assumptions'!$B$13)/(1+'Assumptions'!$M$8)^10+(('Assumptions'!L$39*$A14)*'Assumptions'!L$40-((MAX(0,('Assumptions'!L$39*$A14)*'Assumptions'!L$40))-MIN(0.8*MAX(0,('Assumptions'!L$39*$A14)*'Assumptions'!L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))))*'Assumptions'!$B$10+('Assumptions'!L$39*$A14)*'Assumptions'!$B$11-('Assumptions'!L$39*$A14)*'Assumptions'!$B$12-(('Assumptions'!L$39*$A14)-('Assumptions'!K$39*$A14))*'Assumptions'!$B$13)/(1+'Assumptions'!$M$8)^11+(('Assumptions'!M$39*$A14)*'Assumptions'!M$40-((MAX(0,('Assumptions'!M$39*$A14)*'Assumptions'!M$40))-MIN(0.8*MAX(0,('Assumptions'!M$39*$A14)*'Assumptions'!M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+MAX(0,('Assumptions'!L$39*$A14)*'Assumptions'!L$40)))))*'Assumptions'!$B$10+('Assumptions'!M$39*$A14)*'Assumptions'!$B$11-('Assumptions'!M$39*$A14)*'Assumptions'!$B$12-(('Assumptions'!M$39*$A14)-('Assumptions'!L$39*$A14))*'Assumptions'!$B$13)/(1+'Assumptions'!$M$8)^12+(('Assumptions'!N$39*$A14)*'Assumptions'!N$40-((MAX(0,('Assumptions'!N$39*$A14)*'Assumptions'!N$40))-MIN(0.8*MAX(0,('Assumptions'!N$39*$A14)*'Assumptions'!N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+MAX(0,('Assumptions'!L$39*$A14)*'Assumptions'!L$40)+MAX(0,('Assumptions'!M$39*$A14)*'Assumptions'!M$40)))))*'Assumptions'!$B$10+('Assumptions'!N$39*$A14)*'Assumptions'!$B$11-('Assumptions'!N$39*$A14)*'Assumptions'!$B$12-(('Assumptions'!N$39*$A14)-('Assumptions'!M$39*$A14))*'Assumptions'!$B$13)/(1+'Assumptions'!$M$8)^13+(('Assumptions'!O$39*$A14)*'Assumptions'!O$40-((MAX(0,('Assumptions'!O$39*$A14)*'Assumptions'!O$40))-MIN(0.8*MAX(0,('Assumptions'!O$39*$A14)*'Assumptions'!O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+MAX(0,('Assumptions'!L$39*$A14)*'Assumptions'!L$40)+MAX(0,('Assumptions'!M$39*$A14)*'Assumptions'!M$40)+MAX(0,('Assumptions'!N$39*$A14)*'Assumptions'!N$40)))))*'Assumptions'!$B$10+('Assumptions'!O$39*$A14)*'Assumptions'!$B$11-('Assumptions'!O$39*$A14)*'Assumptions'!$B$12-(('Assumptions'!O$39*$A14)-('Assumptions'!N$39*$A14))*'Assumptions'!$B$13)/(1+'Assumptions'!$M$8)^14+(('Assumptions'!P$39*$A14)*'Assumptions'!P$40-((MAX(0,('Assumptions'!P$39*$A14)*'Assumptions'!P$40))-MIN(0.8*MAX(0,('Assumptions'!P$39*$A14)*'Assumptions'!P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+MAX(0,('Assumptions'!L$39*$A14)*'Assumptions'!L$40)+MAX(0,('Assumptions'!M$39*$A14)*'Assumptions'!M$40)+MAX(0,('Assumptions'!N$39*$A14)*'Assumptions'!N$40)+MAX(0,('Assumptions'!O$39*$A14)*'Assumptions'!O$40)))))*'Assumptions'!$B$10+('Assumptions'!P$39*$A14)*'Assumptions'!$B$11-('Assumptions'!P$39*$A14)*'Assumptions'!$B$12-(('Assumptions'!P$39*$A14)-('Assumptions'!O$39*$A14))*'Assumptions'!$B$13)/(1+'Assumptions'!$M$8)^15+((('Assumptions'!P$39*$A14)*'Assumptions'!P$40-((MAX(0,('Assumptions'!P$39*$A14)*'Assumptions'!P$40))-MIN(0.8*MAX(0,('Assumptions'!P$39*$A14)*'Assumptions'!P$40),MAX(0,'Assumptions'!$B$17-0.8*(MAX(0,('Assumptions'!B$39*$A14)*'Assumptions'!B$40)+MAX(0,('Assumptions'!C$39*$A14)*'Assumptions'!C$40)+MAX(0,('Assumptions'!D$39*$A14)*'Assumptions'!D$40)+MAX(0,('Assumptions'!E$39*$A14)*'Assumptions'!E$40)+MAX(0,('Assumptions'!F$39*$A14)*'Assumptions'!F$40)+MAX(0,('Assumptions'!G$39*$A14)*'Assumptions'!G$40)+MAX(0,('Assumptions'!H$39*$A14)*'Assumptions'!H$40)+MAX(0,('Assumptions'!I$39*$A14)*'Assumptions'!I$40)+MAX(0,('Assumptions'!J$39*$A14)*'Assumptions'!J$40)+MAX(0,('Assumptions'!K$39*$A14)*'Assumptions'!K$40)+MAX(0,('Assumptions'!L$39*$A14)*'Assumptions'!L$40)+MAX(0,('Assumptions'!M$39*$A14)*'Assumptions'!M$40)+MAX(0,('Assumptions'!N$39*$A14)*'Assumptions'!N$40)+MAX(0,('Assumptions'!O$39*$A14)*'Assumptions'!O$40)))))*'Assumptions'!$B$10+('Assumptions'!P$39*$A14)*'Assumptions'!$B$11-('Assumptions'!P$39*$A14)*'Assumptions'!$B$12-(('Assumptions'!P$39*$A14)-('Assumptions'!O$39*$A14))*'Assumptions'!$B$13)*(1+'Assumptions'!$N$8)/('Assumptions'!$M$8-'Assumptions'!$N$8))/(1+'Assumptions'!$M$8)^15+'Assumptions'!$B$9-'Assumptions'!$B$16+'Assumptions'!$O$8))/'DCF'!$K$6</x:f>
        <x:v>6.845766613525045</x:v>
      </x:c>
      <x:c r="F14" s="227"/>
      <x:c r="G14" s="227"/>
      <x:c r="H14" s="227"/>
    </x:row>
    <x:row r="15">
      <x:c r="A15" s="417" t="n">
        <x:v>1.8</x:v>
      </x:c>
      <x:c r="B15" s="405" t="n">
        <x:f>'Assumptions'!F39*A15</x:f>
        <x:v>84.60000000000001</x:v>
      </x:c>
      <x:c r="C15" s="405" t="n">
        <x:f>'Assumptions'!K39*A15</x:f>
        <x:v>225</x:v>
      </x:c>
      <x:c r="D15" s="405" t="n">
        <x:f>'Assumptions'!P39*A15</x:f>
        <x:v>336.78</x:v>
      </x:c>
      <x:c r="E15" s="395" t="n">
        <x:f>(MAX(0,(('Assumptions'!B$39*$A15)*'Assumptions'!B$40-((MAX(0,('Assumptions'!B$39*$A15)*'Assumptions'!B$40))-MIN(0.8*MAX(0,('Assumptions'!B$39*$A15)*'Assumptions'!B$40),MAX(0,'Assumptions'!$B$17-0.8*(0))))*'Assumptions'!$B$10+('Assumptions'!B$39*$A15)*'Assumptions'!$B$11-('Assumptions'!B$39*$A15)*'Assumptions'!$B$12-(('Assumptions'!B$39*$A15)-'Assumptions'!$B$14)*'Assumptions'!$B$13)/(1+'Assumptions'!$M$8)^1+(('Assumptions'!C$39*$A15)*'Assumptions'!C$40-((MAX(0,('Assumptions'!C$39*$A15)*'Assumptions'!C$40))-MIN(0.8*MAX(0,('Assumptions'!C$39*$A15)*'Assumptions'!C$40),MAX(0,'Assumptions'!$B$17-0.8*(MAX(0,('Assumptions'!B$39*$A15)*'Assumptions'!B$40)))))*'Assumptions'!$B$10+('Assumptions'!C$39*$A15)*'Assumptions'!$B$11-('Assumptions'!C$39*$A15)*'Assumptions'!$B$12-(('Assumptions'!C$39*$A15)-('Assumptions'!B$39*$A15))*'Assumptions'!$B$13)/(1+'Assumptions'!$M$8)^2+(('Assumptions'!D$39*$A15)*'Assumptions'!D$40-((MAX(0,('Assumptions'!D$39*$A15)*'Assumptions'!D$40))-MIN(0.8*MAX(0,('Assumptions'!D$39*$A15)*'Assumptions'!D$40),MAX(0,'Assumptions'!$B$17-0.8*(MAX(0,('Assumptions'!B$39*$A15)*'Assumptions'!B$40)+MAX(0,('Assumptions'!C$39*$A15)*'Assumptions'!C$40)))))*'Assumptions'!$B$10+('Assumptions'!D$39*$A15)*'Assumptions'!$B$11-('Assumptions'!D$39*$A15)*'Assumptions'!$B$12-(('Assumptions'!D$39*$A15)-('Assumptions'!C$39*$A15))*'Assumptions'!$B$13)/(1+'Assumptions'!$M$8)^3+(('Assumptions'!E$39*$A15)*'Assumptions'!E$40-((MAX(0,('Assumptions'!E$39*$A15)*'Assumptions'!E$40))-MIN(0.8*MAX(0,('Assumptions'!E$39*$A15)*'Assumptions'!E$40),MAX(0,'Assumptions'!$B$17-0.8*(MAX(0,('Assumptions'!B$39*$A15)*'Assumptions'!B$40)+MAX(0,('Assumptions'!C$39*$A15)*'Assumptions'!C$40)+MAX(0,('Assumptions'!D$39*$A15)*'Assumptions'!D$40)))))*'Assumptions'!$B$10+('Assumptions'!E$39*$A15)*'Assumptions'!$B$11-('Assumptions'!E$39*$A15)*'Assumptions'!$B$12-(('Assumptions'!E$39*$A15)-('Assumptions'!D$39*$A15))*'Assumptions'!$B$13)/(1+'Assumptions'!$M$8)^4+(('Assumptions'!F$39*$A15)*'Assumptions'!F$40-((MAX(0,('Assumptions'!F$39*$A15)*'Assumptions'!F$40))-MIN(0.8*MAX(0,('Assumptions'!F$39*$A15)*'Assumptions'!F$40),MAX(0,'Assumptions'!$B$17-0.8*(MAX(0,('Assumptions'!B$39*$A15)*'Assumptions'!B$40)+MAX(0,('Assumptions'!C$39*$A15)*'Assumptions'!C$40)+MAX(0,('Assumptions'!D$39*$A15)*'Assumptions'!D$40)+MAX(0,('Assumptions'!E$39*$A15)*'Assumptions'!E$40)))))*'Assumptions'!$B$10+('Assumptions'!F$39*$A15)*'Assumptions'!$B$11-('Assumptions'!F$39*$A15)*'Assumptions'!$B$12-(('Assumptions'!F$39*$A15)-('Assumptions'!E$39*$A15))*'Assumptions'!$B$13)/(1+'Assumptions'!$M$8)^5+(('Assumptions'!G$39*$A15)*'Assumptions'!G$40-((MAX(0,('Assumptions'!G$39*$A15)*'Assumptions'!G$40))-MIN(0.8*MAX(0,('Assumptions'!G$39*$A15)*'Assumptions'!G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))))*'Assumptions'!$B$10+('Assumptions'!G$39*$A15)*'Assumptions'!$B$11-('Assumptions'!G$39*$A15)*'Assumptions'!$B$12-(('Assumptions'!G$39*$A15)-('Assumptions'!F$39*$A15))*'Assumptions'!$B$13)/(1+'Assumptions'!$M$8)^6+(('Assumptions'!H$39*$A15)*'Assumptions'!H$40-((MAX(0,('Assumptions'!H$39*$A15)*'Assumptions'!H$40))-MIN(0.8*MAX(0,('Assumptions'!H$39*$A15)*'Assumptions'!H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))))*'Assumptions'!$B$10+('Assumptions'!H$39*$A15)*'Assumptions'!$B$11-('Assumptions'!H$39*$A15)*'Assumptions'!$B$12-(('Assumptions'!H$39*$A15)-('Assumptions'!G$39*$A15))*'Assumptions'!$B$13)/(1+'Assumptions'!$M$8)^7+(('Assumptions'!I$39*$A15)*'Assumptions'!I$40-((MAX(0,('Assumptions'!I$39*$A15)*'Assumptions'!I$40))-MIN(0.8*MAX(0,('Assumptions'!I$39*$A15)*'Assumptions'!I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))))*'Assumptions'!$B$10+('Assumptions'!I$39*$A15)*'Assumptions'!$B$11-('Assumptions'!I$39*$A15)*'Assumptions'!$B$12-(('Assumptions'!I$39*$A15)-('Assumptions'!H$39*$A15))*'Assumptions'!$B$13)/(1+'Assumptions'!$M$8)^8+(('Assumptions'!J$39*$A15)*'Assumptions'!J$40-((MAX(0,('Assumptions'!J$39*$A15)*'Assumptions'!J$40))-MIN(0.8*MAX(0,('Assumptions'!J$39*$A15)*'Assumptions'!J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))))*'Assumptions'!$B$10+('Assumptions'!J$39*$A15)*'Assumptions'!$B$11-('Assumptions'!J$39*$A15)*'Assumptions'!$B$12-(('Assumptions'!J$39*$A15)-('Assumptions'!I$39*$A15))*'Assumptions'!$B$13)/(1+'Assumptions'!$M$8)^9+(('Assumptions'!K$39*$A15)*'Assumptions'!K$40-((MAX(0,('Assumptions'!K$39*$A15)*'Assumptions'!K$40))-MIN(0.8*MAX(0,('Assumptions'!K$39*$A15)*'Assumptions'!K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))))*'Assumptions'!$B$10+('Assumptions'!K$39*$A15)*'Assumptions'!$B$11-('Assumptions'!K$39*$A15)*'Assumptions'!$B$12-(('Assumptions'!K$39*$A15)-('Assumptions'!J$39*$A15))*'Assumptions'!$B$13)/(1+'Assumptions'!$M$8)^10+(('Assumptions'!L$39*$A15)*'Assumptions'!L$40-((MAX(0,('Assumptions'!L$39*$A15)*'Assumptions'!L$40))-MIN(0.8*MAX(0,('Assumptions'!L$39*$A15)*'Assumptions'!L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))))*'Assumptions'!$B$10+('Assumptions'!L$39*$A15)*'Assumptions'!$B$11-('Assumptions'!L$39*$A15)*'Assumptions'!$B$12-(('Assumptions'!L$39*$A15)-('Assumptions'!K$39*$A15))*'Assumptions'!$B$13)/(1+'Assumptions'!$M$8)^11+(('Assumptions'!M$39*$A15)*'Assumptions'!M$40-((MAX(0,('Assumptions'!M$39*$A15)*'Assumptions'!M$40))-MIN(0.8*MAX(0,('Assumptions'!M$39*$A15)*'Assumptions'!M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+MAX(0,('Assumptions'!L$39*$A15)*'Assumptions'!L$40)))))*'Assumptions'!$B$10+('Assumptions'!M$39*$A15)*'Assumptions'!$B$11-('Assumptions'!M$39*$A15)*'Assumptions'!$B$12-(('Assumptions'!M$39*$A15)-('Assumptions'!L$39*$A15))*'Assumptions'!$B$13)/(1+'Assumptions'!$M$8)^12+(('Assumptions'!N$39*$A15)*'Assumptions'!N$40-((MAX(0,('Assumptions'!N$39*$A15)*'Assumptions'!N$40))-MIN(0.8*MAX(0,('Assumptions'!N$39*$A15)*'Assumptions'!N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+MAX(0,('Assumptions'!L$39*$A15)*'Assumptions'!L$40)+MAX(0,('Assumptions'!M$39*$A15)*'Assumptions'!M$40)))))*'Assumptions'!$B$10+('Assumptions'!N$39*$A15)*'Assumptions'!$B$11-('Assumptions'!N$39*$A15)*'Assumptions'!$B$12-(('Assumptions'!N$39*$A15)-('Assumptions'!M$39*$A15))*'Assumptions'!$B$13)/(1+'Assumptions'!$M$8)^13+(('Assumptions'!O$39*$A15)*'Assumptions'!O$40-((MAX(0,('Assumptions'!O$39*$A15)*'Assumptions'!O$40))-MIN(0.8*MAX(0,('Assumptions'!O$39*$A15)*'Assumptions'!O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+MAX(0,('Assumptions'!L$39*$A15)*'Assumptions'!L$40)+MAX(0,('Assumptions'!M$39*$A15)*'Assumptions'!M$40)+MAX(0,('Assumptions'!N$39*$A15)*'Assumptions'!N$40)))))*'Assumptions'!$B$10+('Assumptions'!O$39*$A15)*'Assumptions'!$B$11-('Assumptions'!O$39*$A15)*'Assumptions'!$B$12-(('Assumptions'!O$39*$A15)-('Assumptions'!N$39*$A15))*'Assumptions'!$B$13)/(1+'Assumptions'!$M$8)^14+(('Assumptions'!P$39*$A15)*'Assumptions'!P$40-((MAX(0,('Assumptions'!P$39*$A15)*'Assumptions'!P$40))-MIN(0.8*MAX(0,('Assumptions'!P$39*$A15)*'Assumptions'!P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+MAX(0,('Assumptions'!L$39*$A15)*'Assumptions'!L$40)+MAX(0,('Assumptions'!M$39*$A15)*'Assumptions'!M$40)+MAX(0,('Assumptions'!N$39*$A15)*'Assumptions'!N$40)+MAX(0,('Assumptions'!O$39*$A15)*'Assumptions'!O$40)))))*'Assumptions'!$B$10+('Assumptions'!P$39*$A15)*'Assumptions'!$B$11-('Assumptions'!P$39*$A15)*'Assumptions'!$B$12-(('Assumptions'!P$39*$A15)-('Assumptions'!O$39*$A15))*'Assumptions'!$B$13)/(1+'Assumptions'!$M$8)^15+((('Assumptions'!P$39*$A15)*'Assumptions'!P$40-((MAX(0,('Assumptions'!P$39*$A15)*'Assumptions'!P$40))-MIN(0.8*MAX(0,('Assumptions'!P$39*$A15)*'Assumptions'!P$40),MAX(0,'Assumptions'!$B$17-0.8*(MAX(0,('Assumptions'!B$39*$A15)*'Assumptions'!B$40)+MAX(0,('Assumptions'!C$39*$A15)*'Assumptions'!C$40)+MAX(0,('Assumptions'!D$39*$A15)*'Assumptions'!D$40)+MAX(0,('Assumptions'!E$39*$A15)*'Assumptions'!E$40)+MAX(0,('Assumptions'!F$39*$A15)*'Assumptions'!F$40)+MAX(0,('Assumptions'!G$39*$A15)*'Assumptions'!G$40)+MAX(0,('Assumptions'!H$39*$A15)*'Assumptions'!H$40)+MAX(0,('Assumptions'!I$39*$A15)*'Assumptions'!I$40)+MAX(0,('Assumptions'!J$39*$A15)*'Assumptions'!J$40)+MAX(0,('Assumptions'!K$39*$A15)*'Assumptions'!K$40)+MAX(0,('Assumptions'!L$39*$A15)*'Assumptions'!L$40)+MAX(0,('Assumptions'!M$39*$A15)*'Assumptions'!M$40)+MAX(0,('Assumptions'!N$39*$A15)*'Assumptions'!N$40)+MAX(0,('Assumptions'!O$39*$A15)*'Assumptions'!O$40)))))*'Assumptions'!$B$10+('Assumptions'!P$39*$A15)*'Assumptions'!$B$11-('Assumptions'!P$39*$A15)*'Assumptions'!$B$12-(('Assumptions'!P$39*$A15)-('Assumptions'!O$39*$A15))*'Assumptions'!$B$13)*(1+'Assumptions'!$N$8)/('Assumptions'!$M$8-'Assumptions'!$N$8))/(1+'Assumptions'!$M$8)^15+'Assumptions'!$B$9-'Assumptions'!$B$16+'Assumptions'!$O$8))/'DCF'!$K$6</x:f>
        <x:v>7.2087224522091695</x:v>
      </x:c>
      <x:c r="F15" s="227"/>
      <x:c r="G15" s="227"/>
      <x:c r="H15" s="227"/>
    </x:row>
    <x:row r="16" ht="22" customHeight="1">
      <x:c r="A16" s="32" t="str">
        <x:v>Interpolated market-implied result</x:v>
      </x:c>
      <x:c r="B16" s="32"/>
      <x:c r="C16" s="32"/>
      <x:c r="D16" s="32"/>
      <x:c r="E16" s="32"/>
      <x:c r="F16" s="32"/>
      <x:c r="G16" s="32"/>
      <x:c r="H16" s="32"/>
    </x:row>
    <x:row r="17">
      <x:c r="A17" s="9" t="str">
        <x:v>Metric</x:v>
      </x:c>
      <x:c r="B17" s="10" t="str">
        <x:v>Result</x:v>
      </x:c>
      <x:c r="C17" s="11" t="str">
        <x:v>Interpretation</x:v>
      </x:c>
      <x:c r="D17" s="227"/>
      <x:c r="E17" s="227"/>
      <x:c r="F17" s="227"/>
      <x:c r="G17" s="227"/>
      <x:c r="H17" s="227"/>
    </x:row>
    <x:row r="18">
      <x:c r="A18" s="301" t="str">
        <x:v>Market-implied bull revenue scale</x:v>
      </x:c>
      <x:c r="B18" s="418" t="n">
        <x:f>1.5+(('Assumptions'!$B$7-E12)/(E13-E12))*0.1</x:f>
        <x:v>1.5317242627259162</x:v>
      </x:c>
      <x:c r="C18" s="301" t="str">
        <x:v>Interpolated between adjacent 0.1x rows.</x:v>
      </x:c>
      <x:c r="D18" s="227"/>
      <x:c r="E18" s="227"/>
      <x:c r="F18" s="227"/>
      <x:c r="G18" s="227"/>
      <x:c r="H18" s="227"/>
    </x:row>
    <x:row r="19">
      <x:c r="A19" s="308" t="str">
        <x:v>Implied 2035 revenue</x:v>
      </x:c>
      <x:c r="B19" s="322" t="n">
        <x:f>'Assumptions'!$K$39*B18</x:f>
        <x:v>191.4655328407395</x:v>
      </x:c>
      <x:c r="C19" s="308" t="str">
        <x:v>Compared with $125m bull path.</x:v>
      </x:c>
      <x:c r="D19" s="227"/>
      <x:c r="E19" s="227"/>
      <x:c r="F19" s="227"/>
      <x:c r="G19" s="227"/>
      <x:c r="H19" s="227"/>
    </x:row>
    <x:row r="20">
      <x:c r="A20" s="308" t="str">
        <x:v>Implied 2040 revenue</x:v>
      </x:c>
      <x:c r="B20" s="322" t="n">
        <x:f>'Assumptions'!$P$39*B18</x:f>
        <x:v>286.58560955601894</x:v>
      </x:c>
      <x:c r="C20" s="308" t="str">
        <x:v>Compared with $187m bull path.</x:v>
      </x:c>
      <x:c r="D20" s="227"/>
      <x:c r="E20" s="227"/>
      <x:c r="F20" s="227"/>
      <x:c r="G20" s="227"/>
      <x:c r="H20" s="227"/>
    </x:row>
    <x:row r="21">
      <x:c r="A21" s="321" t="str">
        <x:v>Implied value / share</x:v>
      </x:c>
      <x:c r="B21" s="419" t="n">
        <x:f>E12+(B18-1.5)*(E13-E12)/0.1</x:f>
        <x:v>6.235</x:v>
      </x:c>
      <x:c r="C21" s="321" t="str">
        <x:v>Control should reproduce the dated $6.235 snapshot.</x:v>
      </x:c>
      <x:c r="D21" s="227"/>
      <x:c r="E21" s="227"/>
      <x:c r="F21" s="227"/>
      <x:c r="G21" s="227"/>
      <x:c r="H21" s="227"/>
    </x:row>
    <x:row r="22">
      <x:c r="A22" s="227"/>
      <x:c r="B22" s="227"/>
      <x:c r="C22" s="227"/>
      <x:c r="D22" s="227"/>
      <x:c r="E22" s="227"/>
      <x:c r="F22" s="227"/>
      <x:c r="G22" s="227"/>
      <x:c r="H22" s="227"/>
    </x:row>
    <x:row r="23">
      <x:c r="A23" s="227"/>
      <x:c r="B23" s="227"/>
      <x:c r="C23" s="227"/>
      <x:c r="D23" s="227"/>
      <x:c r="E23" s="227"/>
      <x:c r="F23" s="227"/>
      <x:c r="G23" s="227"/>
      <x:c r="H23" s="227"/>
    </x:row>
    <x:row r="24" ht="22" customHeight="1">
      <x:c r="A24" s="32" t="str">
        <x:v>Interpretation</x:v>
      </x:c>
      <x:c r="B24" s="32"/>
      <x:c r="C24" s="32"/>
      <x:c r="D24" s="32"/>
      <x:c r="E24" s="32"/>
      <x:c r="F24" s="32"/>
      <x:c r="G24" s="32"/>
      <x:c r="H24" s="32"/>
    </x:row>
    <x:row r="25" ht="44" customHeight="1">
      <x:c r="A25" s="24" t="str">
        <x:v>Question</x:v>
      </x:c>
      <x:c r="B25" s="26" t="str">
        <x:v>Read-through</x:v>
      </x:c>
      <x:c r="C25" s="255"/>
      <x:c r="D25" s="255"/>
      <x:c r="E25" s="255"/>
      <x:c r="F25" s="255"/>
      <x:c r="G25" s="255"/>
      <x:c r="H25" s="255"/>
    </x:row>
    <x:row r="26" ht="44" customHeight="1">
      <x:c r="A26" s="255" t="str">
        <x:v>What must be true?</x:v>
      </x:c>
      <x:c r="B26" s="255" t="str">
        <x:v>Roughly 1.5–1.6× the already aggressive bull revenue path, while achieving 30% mature EBIT margin with only modest financing dilution.</x:v>
      </x:c>
      <x:c r="C26" s="255"/>
      <x:c r="D26" s="255"/>
      <x:c r="E26" s="255"/>
      <x:c r="F26" s="255"/>
      <x:c r="G26" s="255"/>
      <x:c r="H26" s="255"/>
    </x:row>
    <x:row r="27" ht="44" customHeight="1">
      <x:c r="A27" s="255" t="str">
        <x:v>What does that mean?</x:v>
      </x:c>
      <x:c r="B27" s="255" t="str">
        <x:v>The market is underwriting rapid payer activation, hospital adoption, repeat courses, and high realized reimbursement—not just continuation of Q1 growth.</x:v>
      </x:c>
      <x:c r="C27" s="255"/>
      <x:c r="D27" s="255"/>
      <x:c r="E27" s="255"/>
      <x:c r="F27" s="255"/>
      <x:c r="G27" s="255"/>
      <x:c r="H27" s="255"/>
    </x:row>
    <x:row r="28" ht="44" customHeight="1">
      <x:c r="A28" s="255" t="str">
        <x:v>What falsifies it?</x:v>
      </x:c>
      <x:c r="B28" s="255" t="str">
        <x:v>Slower active-account growth, HOPD-heavy realization below device economics, persistent corporate overhead, or financing below the modeled issue prices.</x:v>
      </x:c>
      <x:c r="C28" s="255"/>
      <x:c r="D28" s="255"/>
      <x:c r="E28" s="255"/>
      <x:c r="F28" s="255"/>
      <x:c r="G28" s="255"/>
      <x:c r="H28" s="25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39" hidden="0" customWidth="1"/>
  </x:cols>
  <x:sheetData>
    <x:row r="1" ht="30" customHeight="1">
      <x:c r="A1" s="3" t="str">
        <x:v>Model Controls and Known Issues</x:v>
      </x:c>
      <x:c r="B1" s="3" t="str">
        <x:v>Model Controls and Known Issues</x:v>
      </x:c>
      <x:c r="C1" s="3" t="str">
        <x:v>Model Controls and Known Issues</x:v>
      </x:c>
      <x:c r="D1" s="3" t="str">
        <x:v>Model Controls and Known Issues</x:v>
      </x:c>
      <x:c r="E1" s="3" t="str">
        <x:v>Model Controls and Known Issues</x:v>
      </x:c>
      <x:c r="F1" s="3" t="str">
        <x:v>Model Controls and Known Issues</x:v>
      </x:c>
      <x:c r="G1" s="3" t="str">
        <x:v>Model Controls and Known Issues</x:v>
      </x:c>
    </x:row>
    <x:row r="2">
      <x:c r="A2" s="300" t="str">
        <x:v>One assertion per row. These controls test arithmetic and model coherence; they do not certify the commercial assumptions or valuation conclusion.</x:v>
      </x:c>
      <x:c r="B2" s="300"/>
      <x:c r="C2" s="300"/>
      <x:c r="D2" s="300"/>
      <x:c r="E2" s="300"/>
      <x:c r="F2" s="300"/>
      <x:c r="G2" s="300"/>
    </x:row>
    <x:row r="3" ht="22" customHeight="1">
      <x:c r="A3" s="32" t="str">
        <x:v>Master status</x:v>
      </x:c>
      <x:c r="B3" s="32"/>
      <x:c r="C3" s="32"/>
      <x:c r="D3" s="32"/>
      <x:c r="E3" s="32"/>
      <x:c r="F3" s="32"/>
      <x:c r="G3" s="32"/>
    </x:row>
    <x:row r="4" ht="34" customHeight="1">
      <x:c r="A4" s="265" t="str">
        <x:v>Master model status</x:v>
      </x:c>
      <x:c r="B4" s="265" t="str">
        <x:f>IF(COUNTIF(F9:F23,"FAIL")=0,"PASS","FAIL")</x:f>
        <x:v>PASS</x:v>
      </x:c>
      <x:c r="C4" s="265" t="str">
        <x:v>Formula scan</x:v>
      </x:c>
      <x:c r="D4" s="265" t="str">
        <x:v>0 visible errors</x:v>
      </x:c>
      <x:c r="E4" s="265" t="str">
        <x:v>OFF</x:v>
      </x:c>
      <x:c r="F4" s="265" t="str">
        <x:v>PASS</x:v>
      </x:c>
      <x:c r="G4" s="265" t="str">
        <x:v>Locally verified; independent review follows</x:v>
      </x:c>
    </x:row>
    <x:row r="5" ht="34" customHeight="1">
      <x:c r="A5" s="269" t="str">
        <x:v>Evidence posture</x:v>
      </x:c>
      <x:c r="B5" s="269" t="str">
        <x:v>SCREEN-GRADE</x:v>
      </x:c>
      <x:c r="C5" s="269" t="str">
        <x:v>Market input</x:v>
      </x:c>
      <x:c r="D5" s="269" t="str">
        <x:v>INTRADAY</x:v>
      </x:c>
      <x:c r="E5" s="269" t="str">
        <x:v>Commercial facts</x:v>
      </x:c>
      <x:c r="F5" s="269" t="str">
        <x:v>PARTLY MANAGEMENT-REPORTED</x:v>
      </x:c>
      <x:c r="G5" s="269" t="str">
        <x:v>Refresh before an investment decision</x:v>
      </x:c>
    </x:row>
    <x:row r="6">
      <x:c r="A6" s="227"/>
      <x:c r="B6" s="227"/>
      <x:c r="C6" s="227"/>
      <x:c r="D6" s="227"/>
      <x:c r="E6" s="227"/>
      <x:c r="F6" s="227"/>
      <x:c r="G6" s="227"/>
    </x:row>
    <x:row r="7" ht="22" customHeight="1">
      <x:c r="A7" s="32" t="str">
        <x:v>Substantive checks</x:v>
      </x:c>
      <x:c r="B7" s="32"/>
      <x:c r="C7" s="32"/>
      <x:c r="D7" s="32"/>
      <x:c r="E7" s="32"/>
      <x:c r="F7" s="32"/>
      <x:c r="G7" s="32"/>
    </x:row>
    <x:row r="8">
      <x:c r="A8" s="9" t="str">
        <x:v>Check</x:v>
      </x:c>
      <x:c r="B8" s="10" t="str">
        <x:v>Actual</x:v>
      </x:c>
      <x:c r="C8" s="10" t="str">
        <x:v>Expected / comparator</x:v>
      </x:c>
      <x:c r="D8" s="10" t="str">
        <x:v>Difference</x:v>
      </x:c>
      <x:c r="E8" s="10" t="str">
        <x:v>Tolerance</x:v>
      </x:c>
      <x:c r="F8" s="10" t="str">
        <x:v>Status</x:v>
      </x:c>
      <x:c r="G8" s="11" t="str">
        <x:v>Purpose</x:v>
      </x:c>
    </x:row>
    <x:row r="9">
      <x:c r="A9" s="301" t="str">
        <x:v>FY2025 gross profit recomputes</x:v>
      </x:c>
      <x:c r="B9" s="403" t="n">
        <x:f>'Historicals'!E7</x:f>
        <x:v>3.006</x:v>
      </x:c>
      <x:c r="C9" s="403" t="n">
        <x:f>'Historicals'!E4-'Historicals'!E6</x:f>
        <x:v>3.0060000000000002</x:v>
      </x:c>
      <x:c r="D9" s="403" t="n">
        <x:f>B9-C9</x:f>
        <x:v>-4.440892098500626e-16</x:v>
      </x:c>
      <x:c r="E9" s="403" t="n">
        <x:v>0.001</x:v>
      </x:c>
      <x:c r="F9" s="301" t="str">
        <x:f>IF(ABS(D9)&lt;=E9,"PASS","FAIL")</x:f>
        <x:v>PASS</x:v>
      </x:c>
      <x:c r="G9" s="301" t="str">
        <x:v>Revenue less COGS</x:v>
      </x:c>
    </x:row>
    <x:row r="10">
      <x:c r="A10" s="308" t="str">
        <x:v>FY2025 gross margin recomputes</x:v>
      </x:c>
      <x:c r="B10" s="319" t="n">
        <x:f>'Historicals'!E8</x:f>
        <x:v>0.8422527318576631</x:v>
      </x:c>
      <x:c r="C10" s="319" t="n">
        <x:f>'Historicals'!E7/'Historicals'!E4</x:f>
        <x:v>0.8422527318576631</x:v>
      </x:c>
      <x:c r="D10" s="319" t="n">
        <x:f>B10-C10</x:f>
        <x:v>0</x:v>
      </x:c>
      <x:c r="E10" s="319" t="n">
        <x:v>0.0001</x:v>
      </x:c>
      <x:c r="F10" s="308" t="str">
        <x:f>IF(ABS(D10)&lt;=E10,"PASS","FAIL")</x:f>
        <x:v>PASS</x:v>
      </x:c>
      <x:c r="G10" s="308" t="str">
        <x:v>Gross profit / revenue</x:v>
      </x:c>
    </x:row>
    <x:row r="11">
      <x:c r="A11" s="308" t="str">
        <x:v>Q1 2026 gross profit recomputes</x:v>
      </x:c>
      <x:c r="B11" s="319" t="n">
        <x:f>'Historicals'!F7</x:f>
        <x:v>1.39</x:v>
      </x:c>
      <x:c r="C11" s="319" t="n">
        <x:f>'Historicals'!F4-'Historicals'!F6</x:f>
        <x:v>1.3900000000000001</x:v>
      </x:c>
      <x:c r="D11" s="319" t="n">
        <x:f>B11-C11</x:f>
        <x:v>-2.220446049250313e-16</x:v>
      </x:c>
      <x:c r="E11" s="319" t="n">
        <x:v>0.001</x:v>
      </x:c>
      <x:c r="F11" s="308" t="str">
        <x:f>IF(ABS(D11)&lt;=E11,"PASS","FAIL")</x:f>
        <x:v>PASS</x:v>
      </x:c>
      <x:c r="G11" s="308" t="str">
        <x:v>Revenue less COGS</x:v>
      </x:c>
    </x:row>
    <x:row r="12">
      <x:c r="A12" s="308" t="str">
        <x:v>Scenario probabilities sum</x:v>
      </x:c>
      <x:c r="B12" s="319" t="n">
        <x:f>SUM('DCF'!M4:M6)</x:f>
        <x:v>1</x:v>
      </x:c>
      <x:c r="C12" s="319" t="n">
        <x:v>1</x:v>
      </x:c>
      <x:c r="D12" s="319" t="n">
        <x:f>B12-C12</x:f>
        <x:v>0</x:v>
      </x:c>
      <x:c r="E12" s="319" t="n">
        <x:v>0.0001</x:v>
      </x:c>
      <x:c r="F12" s="308" t="str">
        <x:f>IF(ABS(D12)&lt;=E12,"PASS","FAIL")</x:f>
        <x:v>PASS</x:v>
      </x:c>
      <x:c r="G12" s="308" t="str">
        <x:v>Weights must equal 100%</x:v>
      </x:c>
    </x:row>
    <x:row r="13">
      <x:c r="A13" s="308" t="str">
        <x:v>Bear ≤ base</x:v>
      </x:c>
      <x:c r="B13" s="319" t="n">
        <x:f>'DCF'!L4</x:f>
        <x:v>0.24972126534621417</x:v>
      </x:c>
      <x:c r="C13" s="319" t="n">
        <x:f>'DCF'!L5</x:f>
        <x:v>1.1287390588006745</x:v>
      </x:c>
      <x:c r="D13" s="319" t="n">
        <x:f>B13-C13</x:f>
        <x:v>-0.8790177934544603</x:v>
      </x:c>
      <x:c r="E13" s="319" t="n">
        <x:v>0</x:v>
      </x:c>
      <x:c r="F13" s="308" t="str">
        <x:f>IF(B13&lt;=C13,"PASS","FAIL")</x:f>
        <x:v>PASS</x:v>
      </x:c>
      <x:c r="G13" s="308" t="str">
        <x:v>Scenario ordering</x:v>
      </x:c>
    </x:row>
    <x:row r="14">
      <x:c r="A14" s="308" t="str">
        <x:v>Base ≤ bull</x:v>
      </x:c>
      <x:c r="B14" s="319" t="n">
        <x:f>'DCF'!L5</x:f>
        <x:v>1.1287390588006745</x:v>
      </x:c>
      <x:c r="C14" s="319" t="n">
        <x:f>'DCF'!L6</x:f>
        <x:v>4.296203566093978</x:v>
      </x:c>
      <x:c r="D14" s="319" t="n">
        <x:f>B14-C14</x:f>
        <x:v>-3.1674645072933036</x:v>
      </x:c>
      <x:c r="E14" s="319" t="n">
        <x:v>0</x:v>
      </x:c>
      <x:c r="F14" s="308" t="str">
        <x:f>IF(B14&lt;=C14,"PASS","FAIL")</x:f>
        <x:v>PASS</x:v>
      </x:c>
      <x:c r="G14" s="308" t="str">
        <x:v>Scenario ordering</x:v>
      </x:c>
    </x:row>
    <x:row r="15">
      <x:c r="A15" s="308" t="str">
        <x:v>WACC &gt; terminal g</x:v>
      </x:c>
      <x:c r="B15" s="319" t="n">
        <x:f>MIN('DCF'!B4-'DCF'!C4,'DCF'!B5-'DCF'!C5,'DCF'!B6-'DCF'!C6)</x:f>
        <x:v>0.165</x:v>
      </x:c>
      <x:c r="C15" s="319" t="n">
        <x:v>0</x:v>
      </x:c>
      <x:c r="D15" s="319" t="n">
        <x:f>B15-C15</x:f>
        <x:v>0.165</x:v>
      </x:c>
      <x:c r="E15" s="319" t="n">
        <x:v>0</x:v>
      </x:c>
      <x:c r="F15" s="308" t="str">
        <x:f>IF(B15&gt;C15,"PASS","FAIL")</x:f>
        <x:v>PASS</x:v>
      </x:c>
      <x:c r="G15" s="308" t="str">
        <x:v>Perpetuity validity</x:v>
      </x:c>
    </x:row>
    <x:row r="16">
      <x:c r="A16" s="308" t="str">
        <x:v>Terminal value share &lt;60%</x:v>
      </x:c>
      <x:c r="B16" s="319" t="n">
        <x:f>MAX('DCF'!B15:D15)</x:f>
        <x:v>0.4249778086704956</x:v>
      </x:c>
      <x:c r="C16" s="319" t="n">
        <x:v>0.6</x:v>
      </x:c>
      <x:c r="D16" s="319" t="n">
        <x:f>B16-C16</x:f>
        <x:v>-0.17502219132950436</x:v>
      </x:c>
      <x:c r="E16" s="319" t="n">
        <x:v>0.6</x:v>
      </x:c>
      <x:c r="F16" s="308" t="str">
        <x:f>IF(B16&lt;C16,"PASS","FAIL")</x:f>
        <x:v>PASS</x:v>
      </x:c>
      <x:c r="G16" s="308" t="str">
        <x:v>Terminal concentration control</x:v>
      </x:c>
    </x:row>
    <x:row r="17">
      <x:c r="A17" s="308" t="str">
        <x:v>Unapproved indication value = 0</x:v>
      </x:c>
      <x:c r="B17" s="319" t="n">
        <x:f>SUM('DCF'!B18:D18)</x:f>
        <x:v>0</x:v>
      </x:c>
      <x:c r="C17" s="319" t="n">
        <x:v>0</x:v>
      </x:c>
      <x:c r="D17" s="319" t="n">
        <x:f>B17-C17</x:f>
        <x:v>0</x:v>
      </x:c>
      <x:c r="E17" s="319" t="n">
        <x:v>0</x:v>
      </x:c>
      <x:c r="F17" s="308" t="str">
        <x:f>IF(ABS(D17)&lt;=E17,"PASS","FAIL")</x:f>
        <x:v>PASS</x:v>
      </x:c>
      <x:c r="G17" s="308" t="str">
        <x:v>No unsupported pipeline value</x:v>
      </x:c>
    </x:row>
    <x:row r="18">
      <x:c r="A18" s="308" t="str">
        <x:v>Base sensitivity reconciles</x:v>
      </x:c>
      <x:c r="B18" s="319" t="n">
        <x:f>'Sensitivities'!D7</x:f>
        <x:v>1.1287390588006745</x:v>
      </x:c>
      <x:c r="C18" s="319" t="n">
        <x:f>'DCF'!L5</x:f>
        <x:v>1.1287390588006745</x:v>
      </x:c>
      <x:c r="D18" s="319" t="n">
        <x:f>B18-C18</x:f>
        <x:v>0</x:v>
      </x:c>
      <x:c r="E18" s="319" t="n">
        <x:v>0.001</x:v>
      </x:c>
      <x:c r="F18" s="308" t="str">
        <x:f>IF(ABS(D18)&lt;=E18,"PASS","FAIL")</x:f>
        <x:v>PASS</x:v>
      </x:c>
      <x:c r="G18" s="308" t="str">
        <x:v>Base WACC/g cell</x:v>
      </x:c>
    </x:row>
    <x:row r="19">
      <x:c r="A19" s="308" t="str">
        <x:v>Reverse DCF reproduces market</x:v>
      </x:c>
      <x:c r="B19" s="319" t="n">
        <x:f>'Reverse DCF'!B21</x:f>
        <x:v>6.235</x:v>
      </x:c>
      <x:c r="C19" s="319" t="n">
        <x:f>'Assumptions'!B7</x:f>
        <x:v>6.235</x:v>
      </x:c>
      <x:c r="D19" s="319" t="n">
        <x:f>B19-C19</x:f>
        <x:v>0</x:v>
      </x:c>
      <x:c r="E19" s="319" t="n">
        <x:v>0.01</x:v>
      </x:c>
      <x:c r="F19" s="308" t="str">
        <x:f>IF(ABS(D19)&lt;=E19,"PASS","FAIL")</x:f>
        <x:v>PASS</x:v>
      </x:c>
      <x:c r="G19" s="308" t="str">
        <x:v>Interpolation control</x:v>
      </x:c>
    </x:row>
    <x:row r="20">
      <x:c r="A20" s="308" t="str">
        <x:v>Financing share math</x:v>
      </x:c>
      <x:c r="B20" s="319" t="n">
        <x:f>'DCF'!J5</x:f>
        <x:v>1</x:v>
      </x:c>
      <x:c r="C20" s="319" t="n">
        <x:f>'Assumptions'!O7/'Assumptions'!P7</x:f>
        <x:v>1</x:v>
      </x:c>
      <x:c r="D20" s="319" t="n">
        <x:f>B20-C20</x:f>
        <x:v>0</x:v>
      </x:c>
      <x:c r="E20" s="319" t="n">
        <x:v>0.001</x:v>
      </x:c>
      <x:c r="F20" s="308" t="str">
        <x:f>IF(ABS(D20)&lt;=E20,"PASS","FAIL")</x:f>
        <x:v>PASS</x:v>
      </x:c>
      <x:c r="G20" s="308" t="str">
        <x:v>New shares = financing / issue price</x:v>
      </x:c>
    </x:row>
    <x:row r="21">
      <x:c r="A21" s="308" t="str">
        <x:v>Headline is formula driven</x:v>
      </x:c>
      <x:c r="B21" s="319" t="n">
        <x:f>'DCF'!B9</x:f>
        <x:v>1.4985266222229972</x:v>
      </x:c>
      <x:c r="C21" s="319" t="n">
        <x:f>'DCF'!B9</x:f>
        <x:v>1.4985266222229972</x:v>
      </x:c>
      <x:c r="D21" s="319" t="n">
        <x:f>B21-C21</x:f>
        <x:v>0</x:v>
      </x:c>
      <x:c r="E21" s="319" t="n">
        <x:v>0.001</x:v>
      </x:c>
      <x:c r="F21" s="308" t="str">
        <x:f>IF(ABS(D21)&lt;=E21,"PASS","FAIL")</x:f>
        <x:v>PASS</x:v>
      </x:c>
      <x:c r="G21" s="308" t="str">
        <x:v>DCF headline link</x:v>
      </x:c>
    </x:row>
    <x:row r="22">
      <x:c r="A22" s="308" t="str">
        <x:v>Price exceeds probability-weighted value</x:v>
      </x:c>
      <x:c r="B22" s="319" t="n">
        <x:f>'Assumptions'!B7</x:f>
        <x:v>6.235</x:v>
      </x:c>
      <x:c r="C22" s="319" t="n">
        <x:f>'DCF'!B9</x:f>
        <x:v>1.4985266222229972</x:v>
      </x:c>
      <x:c r="D22" s="319" t="n">
        <x:f>B22-C22</x:f>
        <x:v>4.736473377777003</x:v>
      </x:c>
      <x:c r="E22" s="319" t="n">
        <x:v>0</x:v>
      </x:c>
      <x:c r="F22" s="308" t="str">
        <x:f>IF(B22&gt;C22,"PASS","FAIL")</x:f>
        <x:v>PASS</x:v>
      </x:c>
      <x:c r="G22" s="308" t="str">
        <x:v>Current price above weighted intrinsic result</x:v>
      </x:c>
    </x:row>
    <x:row r="23">
      <x:c r="A23" s="321" t="str">
        <x:v>Post-money financing bridge</x:v>
      </x:c>
      <x:c r="B23" s="404" t="n">
        <x:f>'DCF'!H5</x:f>
        <x:v>22.82761872518484</x:v>
      </x:c>
      <x:c r="C23" s="404" t="n">
        <x:f>'DCF'!F5+'DCF'!G5-'Assumptions'!B16+'Assumptions'!O7</x:f>
        <x:v>22.82761872518484</x:v>
      </x:c>
      <x:c r="D23" s="404" t="n">
        <x:f>B23-C23</x:f>
        <x:v>0</x:v>
      </x:c>
      <x:c r="E23" s="404" t="n">
        <x:v>0.001</x:v>
      </x:c>
      <x:c r="F23" s="321" t="str">
        <x:f>IF(ABS(D23)&lt;=E23,"PASS","FAIL")</x:f>
        <x:v>PASS</x:v>
      </x:c>
      <x:c r="G23" s="321" t="str">
        <x:v>Financing proceeds added once to equity</x:v>
      </x:c>
    </x:row>
    <x:row r="24">
      <x:c r="A24" s="227"/>
      <x:c r="B24" s="227"/>
      <x:c r="C24" s="227"/>
      <x:c r="D24" s="227"/>
      <x:c r="E24" s="227"/>
      <x:c r="F24" s="227"/>
      <x:c r="G24" s="227"/>
    </x:row>
    <x:row r="25" ht="22" customHeight="1">
      <x:c r="A25" s="23" t="str">
        <x:v>Known issues and refresh triggers</x:v>
      </x:c>
      <x:c r="B25" s="23"/>
      <x:c r="C25" s="23"/>
      <x:c r="D25" s="23"/>
      <x:c r="E25" s="23"/>
      <x:c r="F25" s="23"/>
      <x:c r="G25" s="23"/>
    </x:row>
    <x:row r="26" ht="40" customHeight="1">
      <x:c r="A26" s="24" t="str">
        <x:v>Issue</x:v>
      </x:c>
      <x:c r="B26" s="25" t="str">
        <x:v>Current treatment</x:v>
      </x:c>
      <x:c r="C26" s="25" t="str">
        <x:v>Impact</x:v>
      </x:c>
      <x:c r="D26" s="25" t="str">
        <x:v>Owner</x:v>
      </x:c>
      <x:c r="E26" s="25" t="str">
        <x:v>Trigger</x:v>
      </x:c>
      <x:c r="F26" s="25" t="str">
        <x:v>Status</x:v>
      </x:c>
      <x:c r="G26" s="26" t="str">
        <x:v>Notes</x:v>
      </x:c>
    </x:row>
    <x:row r="27" ht="40" customHeight="1">
      <x:c r="A27" s="265" t="str">
        <x:v>Price is intraday</x:v>
      </x:c>
      <x:c r="B27" s="265" t="str">
        <x:v>$6.235 reference</x:v>
      </x:c>
      <x:c r="C27" s="265" t="str">
        <x:v>Comparison only</x:v>
      </x:c>
      <x:c r="D27" s="265" t="str">
        <x:v>Analyst</x:v>
      </x:c>
      <x:c r="E27" s="265" t="str">
        <x:v>Decision time</x:v>
      </x:c>
      <x:c r="F27" s="265" t="str">
        <x:v>OPEN</x:v>
      </x:c>
      <x:c r="G27" s="265" t="str">
        <x:v>Refresh</x:v>
      </x:c>
    </x:row>
    <x:row r="28" ht="40" customHeight="1">
      <x:c r="A28" s="267" t="str">
        <x:v>Payer roster not deduped</x:v>
      </x:c>
      <x:c r="B28" s="267" t="str">
        <x:v>Scenario bands</x:v>
      </x:c>
      <x:c r="C28" s="267" t="str">
        <x:v>High</x:v>
      </x:c>
      <x:c r="D28" s="267" t="str">
        <x:v>Commercial diligence</x:v>
      </x:c>
      <x:c r="E28" s="267" t="str">
        <x:v>Named policy data</x:v>
      </x:c>
      <x:c r="F28" s="267" t="str">
        <x:v>OPEN</x:v>
      </x:c>
      <x:c r="G28" s="267" t="str">
        <x:v>Do not call 100m unique lives verified</x:v>
      </x:c>
    </x:row>
    <x:row r="29" ht="40" customHeight="1">
      <x:c r="A29" s="267" t="str">
        <x:v>Option replacement unresolved</x:v>
      </x:c>
      <x:c r="B29" s="267" t="str">
        <x:v>Base/bear include; bull excludes</x:v>
      </x:c>
      <x:c r="C29" s="267" t="str">
        <x:v>Medium</x:v>
      </x:c>
      <x:c r="D29" s="267" t="str">
        <x:v>Capital structure</x:v>
      </x:c>
      <x:c r="E29" s="267" t="str">
        <x:v>Closing filing</x:v>
      </x:c>
      <x:c r="F29" s="267" t="str">
        <x:v>OPEN</x:v>
      </x:c>
      <x:c r="G29" s="267" t="str">
        <x:v>Do not double count</x:v>
      </x:c>
    </x:row>
    <x:row r="30" ht="40" customHeight="1">
      <x:c r="A30" s="269" t="str">
        <x:v>No licensed consensus</x:v>
      </x:c>
      <x:c r="B30" s="269" t="str">
        <x:v>No numeric comp multiple</x:v>
      </x:c>
      <x:c r="C30" s="269" t="str">
        <x:v>Medium</x:v>
      </x:c>
      <x:c r="D30" s="269" t="str">
        <x:v>Analyst</x:v>
      </x:c>
      <x:c r="E30" s="269" t="str">
        <x:v>Vendor access</x:v>
      </x:c>
      <x:c r="F30" s="269" t="str">
        <x:v>OPEN</x:v>
      </x:c>
      <x:c r="G30" s="269" t="str">
        <x:v>Comps remain qualitative</x:v>
      </x:c>
    </x:row>
  </x:sheetData>
  <x:mergeCells>
    <x:mergeCell ref="A1:G1"/>
    <x:mergeCell ref="A2:G2"/>
  </x:mergeCells>
  <x:conditionalFormatting sqref="F9:F23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