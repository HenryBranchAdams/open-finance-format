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804dfa05e840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8fde9b2782ee4359"/>
    <x:sheet xmlns:r="http://schemas.openxmlformats.org/officeDocument/2006/relationships" name="Historical Inputs" sheetId="2" r:id="R3a9f3a2ba6e54633"/>
    <x:sheet xmlns:r="http://schemas.openxmlformats.org/officeDocument/2006/relationships" name="Assumptions" sheetId="3" r:id="Rb3483500ee784e50"/>
    <x:sheet xmlns:r="http://schemas.openxmlformats.org/officeDocument/2006/relationships" name="Forecast" sheetId="4" r:id="R504bd311ea4740d1"/>
    <x:sheet xmlns:r="http://schemas.openxmlformats.org/officeDocument/2006/relationships" name="Scenarios" sheetId="5" r:id="R6224c7c24401421e"/>
    <x:sheet xmlns:r="http://schemas.openxmlformats.org/officeDocument/2006/relationships" name="Checks" sheetId="6" r:id="Rc7c9b42d61994532"/>
    <x:sheet xmlns:r="http://schemas.openxmlformats.org/officeDocument/2006/relationships" name="Sources &amp; Audit" sheetId="7" r:id="R8b761e8d835a4694"/>
  </x:sheets>
</x:workbook>
</file>

<file path=xl/comments1.xml><?xml version="1.0" encoding="utf-8"?>
<x:comments xmlns:x="http://schemas.openxmlformats.org/spreadsheetml/2006/main">
  <x:authors>
    <x:author>tc={EB628E7A-661D-11A6-BE3B-D1D8369F65DE}</x:author>
    <x:author>tc={5AF0D640-D3B3-7E29-A989-AE19DEB5FC3B}</x:author>
  </x:authors>
  <x:commentList>
    <x:comment ref="F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https://investor.servicenow.com/news/news-details/2026/ServiceNow-Reports-First-Quarter-2026-Financial-Results/default.aspx — Q1 2026 subscription revenue.</x:t>
        </x:r>
      </x:text>
    </x:comment>
    <x:comment ref="D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https://investor.servicenow.com/news/news-details/2025/ServiceNow-Reports-Second-Quarter-2025-Financial-Results/default.aspx — Q2 2025 subscription revenue.</x:t>
        </x:r>
      </x:text>
    </x:comment>
  </x:commentList>
</x:comments>
</file>

<file path=xl/comments2.xml><?xml version="1.0" encoding="utf-8"?>
<x:comments xmlns:x="http://schemas.openxmlformats.org/spreadsheetml/2006/main">
  <x:authors>
    <x:author>tc={B8F3D89C-6418-6030-B214-13FE4AF6463C}</x:author>
    <x:author>tc={50DCBB58-41ED-81F7-2F32-51DF0525F004}</x:author>
    <x:author>tc={AE14E2A6-D5D8-7EC1-867B-25AB471CB41F}</x:author>
    <x:author>tc={35B6A2A3-B668-381B-F3AD-EA22A66FAFBE}</x:author>
  </x:authors>
  <x:commentList>
    <x:comment ref="C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https://investor.servicenow.com/news/news-details/2026/ServiceNow-Reports-First-Quarter-2026-Financial-Results/default.aspx — company disclosed approximately 125 bps of Q2 2026 subscription-growth contribution from Armis.</x:t>
        </x:r>
      </x:text>
    </x:comment>
    <x:comment ref="B17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https://investor.servicenow.com/news/news-details/2026/ServiceNow-Reports-First-Quarter-2026-Financial-Results/default.aspx — Q2 2026 reported cRPO growth guidance of 19.0%.</x:t>
        </x:r>
      </x:text>
    </x:comment>
    <x:comment ref="B18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https://investor.servicenow.com/news/news-details/2026/ServiceNow-Reports-First-Quarter-2026-Financial-Results/default.aspx — Q2 2026 constant-currency cRPO growth guidance of 19.5%; Armis contract terms limit associated cRPO recognition.</x:t>
        </x:r>
      </x:text>
    </x:comment>
    <x:comment ref="B19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https://investor.servicenow.com/news/news-details/2026/ServiceNow-Reports-First-Quarter-2026-Financial-Results/default.aspx — Q2 2026 non-GAAP operating-margin guidance of 26.5%, including approximately 125 bps of Armis headwind.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$#,##0;[Red]($#,##0);-"/>
    <x:numFmt numFmtId="201" formatCode="0.0%;[Red](0.0%);-"/>
    <x:numFmt numFmtId="202" formatCode="#,##0;[Red](#,##0);-"/>
    <x:numFmt numFmtId="203" formatCode="$0.00;[Red]($0.00);-"/>
    <x:numFmt numFmtId="204" formatCode="#,##0&quot; bps&quot;;[Red](#,##0&quot; bps&quot;);-"/>
    <x:numFmt numFmtId="205" formatCode="0.0000"/>
    <x:numFmt numFmtId="206" formatCode="yyyy-mm-dd"/>
    <x:numFmt numFmtId="207" formatCode="0.0%"/>
    <x:numFmt numFmtId="208" formatCode="+0 &quot;bps&quot;;-0 &quot;bps&quot;;-"/>
    <x:numFmt numFmtId="209" formatCode="$0.00"/>
    <x:numFmt numFmtId="210" formatCode="+$0.00;[Red]-$0.00;-"/>
  </x:numFmts>
  <x:fonts count="1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1"/>
      <x:color rgb="FF0B1F33"/>
      <x:name val="Carlito"/>
    </x:font>
    <x:font>
      <x:sz val="11"/>
      <x:color rgb="FF0000FF"/>
      <x:name val="Carlito"/>
    </x:font>
    <x:font>
      <x:sz val="11"/>
      <x:color rgb="FF111827"/>
      <x:name val="Carlito"/>
    </x:font>
    <x:font>
      <x:sz val="11"/>
      <x:color rgb="FF16803C"/>
      <x:name val="Carlito"/>
    </x:font>
    <x:font>
      <x:b/>
      <x:sz val="11"/>
      <x:color rgb="FF0B1F33"/>
      <x:name val="Carlito"/>
    </x:font>
    <x:font>
      <x:b/>
      <x:sz val="11"/>
      <x:color rgb="FF16803C"/>
      <x:name val="Carlito"/>
    </x:font>
    <x:font>
      <x:i/>
      <x:sz val="11"/>
      <x:color rgb="FF0B1F33"/>
      <x:name val="Carlito"/>
    </x:font>
    <x:font>
      <x:b/>
      <x:sz val="15"/>
      <x:color rgb="FFFFFFFF"/>
      <x:name val="Carlito"/>
    </x:font>
    <x:font>
      <x:sz val="10"/>
      <x:color rgb="FF111827"/>
      <x:name val="Carlito"/>
    </x:font>
    <x:font>
      <x:b/>
      <x:sz val="10"/>
      <x:color rgb="FF16803C"/>
      <x:name val="Carlito"/>
    </x:font>
    <x:font>
      <x:b/>
      <x:sz val="10"/>
      <x:color rgb="FF0B1F33"/>
      <x:name val="Carlito"/>
    </x:font>
    <x:font>
      <x:sz val="9"/>
      <x:color rgb="FF0B1F33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EAF2F8"/>
      </x:patternFill>
    </x:fill>
    <x:fill>
      <x:patternFill patternType="solid">
        <x:fgColor rgb="FFE9F6EE"/>
      </x:patternFill>
    </x:fill>
    <x:fill>
      <x:patternFill patternType="solid">
        <x:fgColor rgb="FFFFF4D6"/>
      </x:patternFill>
    </x:fill>
    <x:fill>
      <x:patternFill patternType="solid">
        <x:fgColor rgb="FFFFF7E8"/>
      </x:patternFill>
    </x:fill>
    <x:fill>
      <x:patternFill patternType="solid">
        <x:fgColor rgb="FFFDECEC"/>
      </x:patternFill>
    </x:fill>
    <x:fill>
      <x:patternFill patternType="solid">
        <x:fgColor rgb="FFFFFFFF"/>
      </x:patternFill>
    </x:fill>
    <x:fill>
      <x:patternFill patternType="solid">
        <x:fgColor rgb="FFEEF2FF"/>
      </x:patternFill>
    </x:fill>
    <x:fill>
      <x:patternFill patternType="solid">
        <x:fgColor rgb="FFF8FAFC"/>
      </x:patternFill>
    </x:fill>
  </x:fills>
  <x:borders count="39">
    <x:border/>
    <x:border>
      <x:left style="thin">
        <x:color rgb="FF0B1F33"/>
      </x:left>
      <x:top style="thin">
        <x:color rgb="FF0B1F33"/>
      </x:top>
      <x:bottom style="thin">
        <x:color rgb="FF0B1F33"/>
      </x:bottom>
    </x:border>
    <x:border>
      <x:top style="thin">
        <x:color rgb="FF0B1F33"/>
      </x:top>
      <x:bottom style="thin">
        <x:color rgb="FF0B1F33"/>
      </x:bottom>
    </x:border>
    <x:border>
      <x:right style="thin">
        <x:color rgb="FF0B1F33"/>
      </x:right>
      <x:top style="thin">
        <x:color rgb="FF0B1F33"/>
      </x:top>
      <x:bottom style="thin">
        <x:color rgb="FF0B1F33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left style="thin">
        <x:color rgb="FF0B1F33"/>
      </x:left>
      <x:right style="thin">
        <x:color rgb="FFE2E8F0"/>
      </x:right>
      <x:top style="thin">
        <x:color rgb="FF0B1F33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0B1F33"/>
      </x:top>
      <x:bottom style="thin">
        <x:color rgb="FFE2E8F0"/>
      </x:bottom>
    </x:border>
    <x:border>
      <x:left style="thin">
        <x:color rgb="FFE2E8F0"/>
      </x:left>
      <x:top style="thin">
        <x:color rgb="FF0B1F33"/>
      </x:top>
      <x:bottom style="thin">
        <x:color rgb="FFE2E8F0"/>
      </x:bottom>
    </x:border>
    <x:border>
      <x:left style="thin">
        <x:color rgb="FF0B1F33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0B1F33"/>
      </x:left>
      <x:right style="thin">
        <x:color rgb="FFE2E8F0"/>
      </x:right>
      <x:top style="thin">
        <x:color rgb="FFE2E8F0"/>
      </x:top>
      <x:bottom style="thin">
        <x:color rgb="FF0B1F33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0B1F33"/>
      </x:bottom>
    </x:border>
    <x:border>
      <x:left style="thin">
        <x:color rgb="FFE2E8F0"/>
      </x:left>
      <x:top style="thin">
        <x:color rgb="FFE2E8F0"/>
      </x:top>
      <x:bottom style="thin">
        <x:color rgb="FF0B1F33"/>
      </x:bottom>
    </x:border>
    <x:border>
      <x:left style="medium">
        <x:color rgb="FF16803C"/>
      </x:left>
      <x:top style="medium">
        <x:color rgb="FF16803C"/>
      </x:top>
      <x:bottom style="medium">
        <x:color rgb="FF16803C"/>
      </x:bottom>
    </x:border>
    <x:border>
      <x:top style="medium">
        <x:color rgb="FF16803C"/>
      </x:top>
      <x:bottom style="medium">
        <x:color rgb="FF16803C"/>
      </x:bottom>
    </x:border>
    <x:border>
      <x:right style="medium">
        <x:color rgb="FF16803C"/>
      </x:right>
      <x:top style="medium">
        <x:color rgb="FF16803C"/>
      </x:top>
      <x:bottom style="medium">
        <x:color rgb="FF16803C"/>
      </x:bottom>
    </x:border>
    <x:border>
      <x:left style="medium">
        <x:color rgb="FF1769AA"/>
      </x:left>
      <x:top style="medium">
        <x:color rgb="FF1769AA"/>
      </x:top>
    </x:border>
    <x:border>
      <x:top style="medium">
        <x:color rgb="FF1769AA"/>
      </x:top>
    </x:border>
    <x:border>
      <x:right style="medium">
        <x:color rgb="FF1769AA"/>
      </x:right>
      <x:top style="medium">
        <x:color rgb="FF1769AA"/>
      </x:top>
    </x:border>
    <x:border>
      <x:left style="medium">
        <x:color rgb="FF1769AA"/>
      </x:left>
    </x:border>
    <x:border>
      <x:right style="medium">
        <x:color rgb="FF1769AA"/>
      </x:right>
    </x:border>
    <x:border>
      <x:left style="medium">
        <x:color rgb="FF1769AA"/>
      </x:left>
      <x:bottom style="medium">
        <x:color rgb="FF1769AA"/>
      </x:bottom>
    </x:border>
    <x:border>
      <x:bottom style="medium">
        <x:color rgb="FF1769AA"/>
      </x:bottom>
    </x:border>
    <x:border>
      <x:right style="medium">
        <x:color rgb="FF1769AA"/>
      </x:right>
      <x:bottom style="medium">
        <x:color rgb="FF1769AA"/>
      </x:bottom>
    </x:border>
    <x:border>
      <x:left style="medium">
        <x:color rgb="FF16803C"/>
      </x:left>
      <x:top style="medium">
        <x:color rgb="FF16803C"/>
      </x:top>
    </x:border>
    <x:border>
      <x:top style="medium">
        <x:color rgb="FF16803C"/>
      </x:top>
    </x:border>
    <x:border>
      <x:right style="medium">
        <x:color rgb="FF16803C"/>
      </x:right>
      <x:top style="medium">
        <x:color rgb="FF16803C"/>
      </x:top>
    </x:border>
    <x:border>
      <x:left style="medium">
        <x:color rgb="FF16803C"/>
      </x:left>
    </x:border>
    <x:border>
      <x:right style="medium">
        <x:color rgb="FF16803C"/>
      </x:right>
    </x:border>
    <x:border>
      <x:left style="medium">
        <x:color rgb="FF16803C"/>
      </x:left>
      <x:bottom style="medium">
        <x:color rgb="FF16803C"/>
      </x:bottom>
    </x:border>
    <x:border>
      <x:bottom style="medium">
        <x:color rgb="FF16803C"/>
      </x:bottom>
    </x:border>
    <x:border>
      <x:right style="medium">
        <x:color rgb="FF16803C"/>
      </x:right>
      <x:bottom style="medium">
        <x:color rgb="FF16803C"/>
      </x:bottom>
    </x:border>
  </x:borders>
  <x:cellStyleXfs count="1">
    <x:xf numFmtId="0" fontId="0" fillId="0" borderId="0"/>
  </x:cellStyleXfs>
  <x:cellXfs count="29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4" xfId="0" applyNumberFormat="1" applyFont="1" applyFill="1" applyBorder="1"/>
    <x:xf numFmtId="200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10" xfId="0" applyNumberFormat="1" applyFont="1" applyFill="1" applyBorder="1"/>
    <x:xf numFmtId="201" fontId="0" fillId="0" borderId="11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201" fontId="4" fillId="0" borderId="0" xfId="0" applyNumberFormat="1" applyFont="1" applyFill="1" applyBorder="1"/>
    <x:xf numFmtId="201" fontId="5" fillId="0" borderId="0" xfId="0" applyNumberFormat="1" applyFont="1" applyFill="1" applyBorder="1"/>
    <x:xf numFmtId="200" fontId="4" fillId="0" borderId="0" xfId="0" applyNumberFormat="1" applyFont="1" applyFill="1" applyBorder="1"/>
    <x:xf numFmtId="203" fontId="0" fillId="0" borderId="0" xfId="0" applyNumberFormat="1" applyFont="1" applyFill="1" applyBorder="1"/>
    <x:xf numFmtId="201" fontId="4" fillId="0" borderId="5" xfId="0" applyNumberFormat="1" applyFont="1" applyFill="1" applyBorder="1"/>
    <x:xf numFmtId="201" fontId="4" fillId="0" borderId="8" xfId="0" applyNumberFormat="1" applyFont="1" applyFill="1" applyBorder="1"/>
    <x:xf numFmtId="201" fontId="5" fillId="0" borderId="8" xfId="0" applyNumberFormat="1" applyFont="1" applyFill="1" applyBorder="1"/>
    <x:xf numFmtId="200" fontId="4" fillId="0" borderId="8" xfId="0" applyNumberFormat="1" applyFont="1" applyFill="1" applyBorder="1"/>
    <x:xf numFmtId="203" fontId="0" fillId="0" borderId="11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3" fontId="6" fillId="0" borderId="0" xfId="0" applyNumberFormat="1" applyFont="1" applyFill="1" applyBorder="1"/>
    <x:xf numFmtId="204" fontId="6" fillId="0" borderId="0" xfId="0" applyNumberFormat="1" applyFont="1" applyFill="1" applyBorder="1"/>
    <x:xf numFmtId="200" fontId="6" fillId="0" borderId="5" xfId="0" applyNumberFormat="1" applyFont="1" applyFill="1" applyBorder="1"/>
    <x:xf numFmtId="200" fontId="6" fillId="0" borderId="8" xfId="0" applyNumberFormat="1" applyFont="1" applyFill="1" applyBorder="1"/>
    <x:xf numFmtId="201" fontId="6" fillId="0" borderId="8" xfId="0" applyNumberFormat="1" applyFont="1" applyFill="1" applyBorder="1"/>
    <x:xf numFmtId="203" fontId="6" fillId="0" borderId="8" xfId="0" applyNumberFormat="1" applyFont="1" applyFill="1" applyBorder="1"/>
    <x:xf numFmtId="204" fontId="6" fillId="0" borderId="8" xfId="0" applyNumberFormat="1" applyFont="1" applyFill="1" applyBorder="1"/>
    <x:xf numFmtId="203" fontId="6" fillId="0" borderId="11" xfId="0" applyNumberFormat="1" applyFont="1" applyFill="1" applyBorder="1"/>
    <x:xf numFmtId="0" fontId="2" fillId="2" borderId="13" xfId="0" applyNumberFormat="1" applyFont="1" applyFill="1" applyBorder="1"/>
    <x:xf numFmtId="0" fontId="2" fillId="2" borderId="14" xfId="0" applyNumberFormat="1" applyFont="1" applyFill="1" applyBorder="1"/>
    <x:xf numFmtId="0" fontId="2" fillId="2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203" fontId="6" fillId="0" borderId="18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7" fillId="3" borderId="0" xfId="0" applyNumberFormat="1" applyFont="1" applyFill="1" applyBorder="1"/>
    <x:xf numFmtId="0" fontId="7" fillId="3" borderId="4" xfId="0" applyNumberFormat="1" applyFont="1" applyFill="1" applyBorder="1"/>
    <x:xf numFmtId="0" fontId="7" fillId="3" borderId="5" xfId="0" applyNumberFormat="1" applyFont="1" applyFill="1" applyBorder="1"/>
    <x:xf numFmtId="0" fontId="7" fillId="3" borderId="6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6" borderId="7" xfId="0" applyNumberFormat="1" applyFont="1" applyFill="1" applyBorder="1" applyAlignment="1">
      <x:alignment wrapText="1"/>
    </x:xf>
    <x:xf numFmtId="0" fontId="0" fillId="6" borderId="8" xfId="0" applyNumberFormat="1" applyFont="1" applyFill="1" applyBorder="1" applyAlignment="1">
      <x:alignment wrapText="1"/>
    </x:xf>
    <x:xf numFmtId="0" fontId="0" fillId="6" borderId="9" xfId="0" applyNumberFormat="1" applyFont="1" applyFill="1" applyBorder="1" applyAlignment="1">
      <x:alignment wrapText="1"/>
    </x:xf>
    <x:xf numFmtId="0" fontId="0" fillId="7" borderId="10" xfId="0" applyNumberFormat="1" applyFont="1" applyFill="1" applyBorder="1" applyAlignment="1">
      <x:alignment wrapText="1"/>
    </x:xf>
    <x:xf numFmtId="0" fontId="0" fillId="7" borderId="11" xfId="0" applyNumberFormat="1" applyFont="1" applyFill="1" applyBorder="1" applyAlignment="1">
      <x:alignment wrapText="1"/>
    </x:xf>
    <x:xf numFmtId="0" fontId="0" fillId="7" borderId="12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20" xfId="0" applyNumberFormat="1" applyFont="1" applyFill="1" applyBorder="1"/>
    <x:xf numFmtId="0" fontId="8" fillId="4" borderId="21" xfId="0" applyNumberFormat="1" applyFont="1" applyFill="1" applyBorder="1"/>
    <x:xf numFmtId="0" fontId="8" fillId="4" borderId="22" xfId="0" applyNumberFormat="1" applyFont="1" applyFill="1" applyBorder="1"/>
    <x:xf numFmtId="205" fontId="0" fillId="0" borderId="0" xfId="0" applyNumberFormat="1" applyFont="1" applyFill="1" applyBorder="1"/>
    <x:xf numFmtId="205" fontId="0" fillId="0" borderId="8" xfId="0" applyNumberFormat="1" applyFont="1" applyFill="1" applyBorder="1"/>
    <x:xf numFmtId="205" fontId="0" fillId="0" borderId="18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206" fontId="0" fillId="0" borderId="8" xfId="0" applyNumberFormat="1" applyFont="1" applyFill="1" applyBorder="1"/>
    <x:xf numFmtId="206" fontId="0" fillId="0" borderId="18" xfId="0" applyNumberFormat="1" applyFont="1" applyFill="1" applyBorder="1"/>
    <x:xf numFmtId="206" fontId="0" fillId="0" borderId="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206" fontId="0" fillId="0" borderId="18" xfId="0" applyNumberFormat="1" applyFont="1" applyFill="1" applyBorder="1" applyAlignment="1">
      <x:alignment wrapText="1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horizontal="left"/>
    </x:xf>
    <x:xf numFmtId="0" fontId="10" fillId="2" borderId="0" xfId="0" applyNumberFormat="1" applyFont="1" applyFill="1" applyBorder="1"/>
    <x:xf numFmtId="0" fontId="10" fillId="2" borderId="23" xfId="0" applyNumberFormat="1" applyFont="1" applyFill="1" applyBorder="1"/>
    <x:xf numFmtId="0" fontId="10" fillId="2" borderId="24" xfId="0" applyNumberFormat="1" applyFont="1" applyFill="1" applyBorder="1"/>
    <x:xf numFmtId="0" fontId="10" fillId="2" borderId="25" xfId="0" applyNumberFormat="1" applyFont="1" applyFill="1" applyBorder="1"/>
    <x:xf numFmtId="0" fontId="10" fillId="2" borderId="26" xfId="0" applyNumberFormat="1" applyFont="1" applyFill="1" applyBorder="1"/>
    <x:xf numFmtId="0" fontId="10" fillId="2" borderId="27" xfId="0" applyNumberFormat="1" applyFont="1" applyFill="1" applyBorder="1"/>
    <x:xf numFmtId="0" fontId="10" fillId="2" borderId="28" xfId="0" applyNumberFormat="1" applyFont="1" applyFill="1" applyBorder="1"/>
    <x:xf numFmtId="0" fontId="10" fillId="2" borderId="29" xfId="0" applyNumberFormat="1" applyFont="1" applyFill="1" applyBorder="1"/>
    <x:xf numFmtId="0" fontId="10" fillId="2" borderId="30" xfId="0" applyNumberFormat="1" applyFont="1" applyFill="1" applyBorder="1"/>
    <x:xf numFmtId="0" fontId="10" fillId="2" borderId="23" xfId="0" applyNumberFormat="1" applyFont="1" applyFill="1" applyBorder="1" applyAlignment="1">
      <x:alignment wrapText="1"/>
    </x:xf>
    <x:xf numFmtId="0" fontId="10" fillId="2" borderId="24" xfId="0" applyNumberFormat="1" applyFont="1" applyFill="1" applyBorder="1" applyAlignment="1">
      <x:alignment wrapText="1"/>
    </x:xf>
    <x:xf numFmtId="0" fontId="10" fillId="2" borderId="25" xfId="0" applyNumberFormat="1" applyFont="1" applyFill="1" applyBorder="1" applyAlignment="1">
      <x:alignment wrapText="1"/>
    </x:xf>
    <x:xf numFmtId="0" fontId="10" fillId="2" borderId="26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wrapText="1"/>
    </x:xf>
    <x:xf numFmtId="0" fontId="10" fillId="2" borderId="27" xfId="0" applyNumberFormat="1" applyFont="1" applyFill="1" applyBorder="1" applyAlignment="1">
      <x:alignment wrapText="1"/>
    </x:xf>
    <x:xf numFmtId="0" fontId="10" fillId="2" borderId="28" xfId="0" applyNumberFormat="1" applyFont="1" applyFill="1" applyBorder="1" applyAlignment="1">
      <x:alignment wrapText="1"/>
    </x:xf>
    <x:xf numFmtId="0" fontId="10" fillId="2" borderId="29" xfId="0" applyNumberFormat="1" applyFont="1" applyFill="1" applyBorder="1" applyAlignment="1">
      <x:alignment wrapText="1"/>
    </x:xf>
    <x:xf numFmtId="0" fontId="10" fillId="2" borderId="30" xfId="0" applyNumberFormat="1" applyFont="1" applyFill="1" applyBorder="1" applyAlignment="1">
      <x:alignment wrapText="1"/>
    </x:xf>
    <x:xf numFmtId="0" fontId="10" fillId="2" borderId="23" xfId="0" applyNumberFormat="1" applyFont="1" applyFill="1" applyBorder="1" applyAlignment="1">
      <x:alignment horizontal="left" wrapText="1"/>
    </x:xf>
    <x:xf numFmtId="0" fontId="10" fillId="2" borderId="24" xfId="0" applyNumberFormat="1" applyFont="1" applyFill="1" applyBorder="1" applyAlignment="1">
      <x:alignment horizontal="left" wrapText="1"/>
    </x:xf>
    <x:xf numFmtId="0" fontId="10" fillId="2" borderId="25" xfId="0" applyNumberFormat="1" applyFont="1" applyFill="1" applyBorder="1" applyAlignment="1">
      <x:alignment horizontal="left" wrapText="1"/>
    </x:xf>
    <x:xf numFmtId="0" fontId="10" fillId="2" borderId="26" xfId="0" applyNumberFormat="1" applyFont="1" applyFill="1" applyBorder="1" applyAlignment="1">
      <x:alignment horizontal="left" wrapText="1"/>
    </x:xf>
    <x:xf numFmtId="0" fontId="10" fillId="2" borderId="0" xfId="0" applyNumberFormat="1" applyFont="1" applyFill="1" applyBorder="1" applyAlignment="1">
      <x:alignment horizontal="left" wrapText="1"/>
    </x:xf>
    <x:xf numFmtId="0" fontId="10" fillId="2" borderId="27" xfId="0" applyNumberFormat="1" applyFont="1" applyFill="1" applyBorder="1" applyAlignment="1">
      <x:alignment horizontal="left" wrapText="1"/>
    </x:xf>
    <x:xf numFmtId="0" fontId="10" fillId="2" borderId="28" xfId="0" applyNumberFormat="1" applyFont="1" applyFill="1" applyBorder="1" applyAlignment="1">
      <x:alignment horizontal="left" wrapText="1"/>
    </x:xf>
    <x:xf numFmtId="0" fontId="10" fillId="2" borderId="29" xfId="0" applyNumberFormat="1" applyFont="1" applyFill="1" applyBorder="1" applyAlignment="1">
      <x:alignment horizontal="left" wrapText="1"/>
    </x:xf>
    <x:xf numFmtId="0" fontId="10" fillId="2" borderId="30" xfId="0" applyNumberFormat="1" applyFont="1" applyFill="1" applyBorder="1" applyAlignment="1">
      <x:alignment horizontal="left" wrapText="1"/>
    </x:xf>
    <x:xf numFmtId="0" fontId="10" fillId="2" borderId="23" xfId="0" applyNumberFormat="1" applyFont="1" applyFill="1" applyBorder="1" applyAlignment="1">
      <x:alignment horizontal="left" vertical="center" wrapText="1"/>
    </x:xf>
    <x:xf numFmtId="0" fontId="10" fillId="2" borderId="24" xfId="0" applyNumberFormat="1" applyFont="1" applyFill="1" applyBorder="1" applyAlignment="1">
      <x:alignment horizontal="left" vertical="center" wrapText="1"/>
    </x:xf>
    <x:xf numFmtId="0" fontId="10" fillId="2" borderId="25" xfId="0" applyNumberFormat="1" applyFont="1" applyFill="1" applyBorder="1" applyAlignment="1">
      <x:alignment horizontal="left" vertical="center" wrapText="1"/>
    </x:xf>
    <x:xf numFmtId="0" fontId="10" fillId="2" borderId="26" xfId="0" applyNumberFormat="1" applyFont="1" applyFill="1" applyBorder="1" applyAlignment="1">
      <x:alignment horizontal="left" vertical="center" wrapText="1"/>
    </x:xf>
    <x:xf numFmtId="0" fontId="10" fillId="2" borderId="0" xfId="0" applyNumberFormat="1" applyFont="1" applyFill="1" applyBorder="1" applyAlignment="1">
      <x:alignment horizontal="left" vertical="center" wrapText="1"/>
    </x:xf>
    <x:xf numFmtId="0" fontId="10" fillId="2" borderId="27" xfId="0" applyNumberFormat="1" applyFont="1" applyFill="1" applyBorder="1" applyAlignment="1">
      <x:alignment horizontal="left" vertical="center" wrapText="1"/>
    </x:xf>
    <x:xf numFmtId="0" fontId="10" fillId="2" borderId="28" xfId="0" applyNumberFormat="1" applyFont="1" applyFill="1" applyBorder="1" applyAlignment="1">
      <x:alignment horizontal="left" vertical="center" wrapText="1"/>
    </x:xf>
    <x:xf numFmtId="0" fontId="10" fillId="2" borderId="29" xfId="0" applyNumberFormat="1" applyFont="1" applyFill="1" applyBorder="1" applyAlignment="1">
      <x:alignment horizontal="left" vertical="center" wrapText="1"/>
    </x:xf>
    <x:xf numFmtId="0" fontId="10" fillId="2" borderId="30" xfId="0" applyNumberFormat="1" applyFont="1" applyFill="1" applyBorder="1" applyAlignment="1">
      <x:alignment horizontal="left" vertical="center" wrapText="1"/>
    </x:xf>
    <x:xf numFmtId="0" fontId="7" fillId="3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4" xfId="0" applyNumberFormat="1" applyFont="1" applyFill="1" applyBorder="1"/>
    <x:xf numFmtId="0" fontId="11" fillId="8" borderId="5" xfId="0" applyNumberFormat="1" applyFont="1" applyFill="1" applyBorder="1"/>
    <x:xf numFmtId="0" fontId="11" fillId="8" borderId="6" xfId="0" applyNumberFormat="1" applyFont="1" applyFill="1" applyBorder="1"/>
    <x:xf numFmtId="0" fontId="11" fillId="8" borderId="7" xfId="0" applyNumberFormat="1" applyFont="1" applyFill="1" applyBorder="1"/>
    <x:xf numFmtId="0" fontId="11" fillId="8" borderId="8" xfId="0" applyNumberFormat="1" applyFont="1" applyFill="1" applyBorder="1"/>
    <x:xf numFmtId="0" fontId="11" fillId="8" borderId="9" xfId="0" applyNumberFormat="1" applyFont="1" applyFill="1" applyBorder="1"/>
    <x:xf numFmtId="0" fontId="11" fillId="8" borderId="10" xfId="0" applyNumberFormat="1" applyFont="1" applyFill="1" applyBorder="1"/>
    <x:xf numFmtId="0" fontId="11" fillId="8" borderId="11" xfId="0" applyNumberFormat="1" applyFont="1" applyFill="1" applyBorder="1"/>
    <x:xf numFmtId="0" fontId="11" fillId="8" borderId="12" xfId="0" applyNumberFormat="1" applyFont="1" applyFill="1" applyBorder="1"/>
    <x:xf numFmtId="0" fontId="11" fillId="8" borderId="4" xfId="0" applyNumberFormat="1" applyFont="1" applyFill="1" applyBorder="1" applyAlignment="1">
      <x:alignment vertical="center"/>
    </x:xf>
    <x:xf numFmtId="0" fontId="11" fillId="8" borderId="5" xfId="0" applyNumberFormat="1" applyFont="1" applyFill="1" applyBorder="1" applyAlignment="1">
      <x:alignment vertical="center"/>
    </x:xf>
    <x:xf numFmtId="0" fontId="11" fillId="8" borderId="6" xfId="0" applyNumberFormat="1" applyFont="1" applyFill="1" applyBorder="1" applyAlignment="1">
      <x:alignment vertical="center"/>
    </x:xf>
    <x:xf numFmtId="0" fontId="11" fillId="8" borderId="7" xfId="0" applyNumberFormat="1" applyFont="1" applyFill="1" applyBorder="1" applyAlignment="1">
      <x:alignment vertical="center"/>
    </x:xf>
    <x:xf numFmtId="0" fontId="11" fillId="8" borderId="8" xfId="0" applyNumberFormat="1" applyFont="1" applyFill="1" applyBorder="1" applyAlignment="1">
      <x:alignment vertical="center"/>
    </x:xf>
    <x:xf numFmtId="0" fontId="11" fillId="8" borderId="9" xfId="0" applyNumberFormat="1" applyFont="1" applyFill="1" applyBorder="1" applyAlignment="1">
      <x:alignment vertical="center"/>
    </x:xf>
    <x:xf numFmtId="0" fontId="11" fillId="8" borderId="10" xfId="0" applyNumberFormat="1" applyFont="1" applyFill="1" applyBorder="1" applyAlignment="1">
      <x:alignment vertical="center"/>
    </x:xf>
    <x:xf numFmtId="0" fontId="11" fillId="8" borderId="11" xfId="0" applyNumberFormat="1" applyFont="1" applyFill="1" applyBorder="1" applyAlignment="1">
      <x:alignment vertical="center"/>
    </x:xf>
    <x:xf numFmtId="0" fontId="11" fillId="8" borderId="12" xfId="0" applyNumberFormat="1" applyFont="1" applyFill="1" applyBorder="1" applyAlignment="1">
      <x:alignment vertical="center"/>
    </x:xf>
    <x:xf numFmtId="200" fontId="11" fillId="8" borderId="5" xfId="0" applyNumberFormat="1" applyFont="1" applyFill="1" applyBorder="1" applyAlignment="1">
      <x:alignment vertical="center"/>
    </x:xf>
    <x:xf numFmtId="200" fontId="11" fillId="8" borderId="8" xfId="0" applyNumberFormat="1" applyFont="1" applyFill="1" applyBorder="1" applyAlignment="1">
      <x:alignment vertical="center"/>
    </x:xf>
    <x:xf numFmtId="207" fontId="11" fillId="8" borderId="8" xfId="0" applyNumberFormat="1" applyFont="1" applyFill="1" applyBorder="1" applyAlignment="1">
      <x:alignment vertical="center"/>
    </x:xf>
    <x:xf numFmtId="208" fontId="11" fillId="8" borderId="8" xfId="0" applyNumberFormat="1" applyFont="1" applyFill="1" applyBorder="1" applyAlignment="1">
      <x:alignment vertical="center"/>
    </x:xf>
    <x:xf numFmtId="209" fontId="11" fillId="8" borderId="11" xfId="0" applyNumberFormat="1" applyFont="1" applyFill="1" applyBorder="1" applyAlignment="1">
      <x:alignment vertical="center"/>
    </x:xf>
    <x:xf numFmtId="210" fontId="11" fillId="8" borderId="11" xfId="0" applyNumberFormat="1" applyFont="1" applyFill="1" applyBorder="1" applyAlignment="1">
      <x:alignment vertical="center"/>
    </x:xf>
    <x:xf numFmtId="200" fontId="12" fillId="8" borderId="5" xfId="0" applyNumberFormat="1" applyFont="1" applyFill="1" applyBorder="1" applyAlignment="1">
      <x:alignment vertical="center"/>
    </x:xf>
    <x:xf numFmtId="200" fontId="12" fillId="8" borderId="8" xfId="0" applyNumberFormat="1" applyFont="1" applyFill="1" applyBorder="1" applyAlignment="1">
      <x:alignment vertical="center"/>
    </x:xf>
    <x:xf numFmtId="207" fontId="12" fillId="8" borderId="8" xfId="0" applyNumberFormat="1" applyFont="1" applyFill="1" applyBorder="1" applyAlignment="1">
      <x:alignment vertical="center"/>
    </x:xf>
    <x:xf numFmtId="209" fontId="12" fillId="8" borderId="11" xfId="0" applyNumberFormat="1" applyFont="1" applyFill="1" applyBorder="1" applyAlignment="1">
      <x:alignment vertical="center"/>
    </x:xf>
    <x:xf numFmtId="200" fontId="13" fillId="8" borderId="5" xfId="0" applyNumberFormat="1" applyFont="1" applyFill="1" applyBorder="1" applyAlignment="1">
      <x:alignment vertical="center"/>
    </x:xf>
    <x:xf numFmtId="200" fontId="13" fillId="8" borderId="8" xfId="0" applyNumberFormat="1" applyFont="1" applyFill="1" applyBorder="1" applyAlignment="1">
      <x:alignment vertical="center"/>
    </x:xf>
    <x:xf numFmtId="208" fontId="13" fillId="8" borderId="8" xfId="0" applyNumberFormat="1" applyFont="1" applyFill="1" applyBorder="1" applyAlignment="1">
      <x:alignment vertical="center"/>
    </x:xf>
    <x:xf numFmtId="210" fontId="13" fillId="8" borderId="11" xfId="0" applyNumberFormat="1" applyFont="1" applyFill="1" applyBorder="1" applyAlignment="1">
      <x:alignment vertical="center"/>
    </x:xf>
    <x:xf numFmtId="0" fontId="13" fillId="5" borderId="0" xfId="0" applyNumberFormat="1" applyFont="1" applyFill="1" applyBorder="1"/>
    <x:xf numFmtId="0" fontId="13" fillId="5" borderId="0" xfId="0" applyNumberFormat="1" applyFont="1" applyFill="1" applyBorder="1" applyAlignment="1">
      <x:alignment wrapText="1"/>
    </x:xf>
    <x:xf numFmtId="0" fontId="13" fillId="5" borderId="0" xfId="0" applyNumberFormat="1" applyFont="1" applyFill="1" applyBorder="1" applyAlignment="1">
      <x:alignment vertical="center" wrapText="1"/>
    </x:xf>
    <x:xf numFmtId="0" fontId="12" fillId="4" borderId="0" xfId="0" applyNumberFormat="1" applyFont="1" applyFill="1" applyBorder="1"/>
    <x:xf numFmtId="0" fontId="12" fillId="4" borderId="0" xfId="0" applyNumberFormat="1" applyFont="1" applyFill="1" applyBorder="1" applyAlignment="1">
      <x:alignment wrapText="1"/>
    </x:xf>
    <x:xf numFmtId="0" fontId="12" fillId="4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3" fillId="9" borderId="0" xfId="0" applyNumberFormat="1" applyFont="1" applyFill="1" applyBorder="1"/>
    <x:xf numFmtId="0" fontId="13" fillId="9" borderId="0" xfId="0" applyNumberFormat="1" applyFont="1" applyFill="1" applyBorder="1" applyAlignment="1">
      <x:alignment wrapText="1"/>
    </x:xf>
    <x:xf numFmtId="0" fontId="13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wrapText="1"/>
    </x:xf>
    <x:xf numFmtId="0" fontId="7" fillId="10" borderId="0" xfId="0" applyNumberFormat="1" applyFont="1" applyFill="1" applyBorder="1" applyAlignment="1">
      <x:alignment vertical="center" wrapText="1"/>
    </x:xf>
    <x:xf numFmtId="0" fontId="8" fillId="4" borderId="31" xfId="0" applyNumberFormat="1" applyFont="1" applyFill="1" applyBorder="1"/>
    <x:xf numFmtId="0" fontId="8" fillId="4" borderId="32" xfId="0" applyNumberFormat="1" applyFont="1" applyFill="1" applyBorder="1"/>
    <x:xf numFmtId="0" fontId="8" fillId="4" borderId="33" xfId="0" applyNumberFormat="1" applyFont="1" applyFill="1" applyBorder="1"/>
    <x:xf numFmtId="0" fontId="8" fillId="4" borderId="34" xfId="0" applyNumberFormat="1" applyFont="1" applyFill="1" applyBorder="1"/>
    <x:xf numFmtId="0" fontId="8" fillId="4" borderId="35" xfId="0" applyNumberFormat="1" applyFont="1" applyFill="1" applyBorder="1"/>
    <x:xf numFmtId="0" fontId="8" fillId="4" borderId="36" xfId="0" applyNumberFormat="1" applyFont="1" applyFill="1" applyBorder="1"/>
    <x:xf numFmtId="0" fontId="8" fillId="4" borderId="37" xfId="0" applyNumberFormat="1" applyFont="1" applyFill="1" applyBorder="1"/>
    <x:xf numFmtId="0" fontId="8" fillId="4" borderId="38" xfId="0" applyNumberFormat="1" applyFont="1" applyFill="1" applyBorder="1"/>
    <x:xf numFmtId="0" fontId="8" fillId="4" borderId="31" xfId="0" applyNumberFormat="1" applyFont="1" applyFill="1" applyBorder="1" applyAlignment="1">
      <x:alignment wrapText="1"/>
    </x:xf>
    <x:xf numFmtId="0" fontId="8" fillId="4" borderId="32" xfId="0" applyNumberFormat="1" applyFont="1" applyFill="1" applyBorder="1" applyAlignment="1">
      <x:alignment wrapText="1"/>
    </x:xf>
    <x:xf numFmtId="0" fontId="8" fillId="4" borderId="33" xfId="0" applyNumberFormat="1" applyFont="1" applyFill="1" applyBorder="1" applyAlignment="1">
      <x:alignment wrapText="1"/>
    </x:xf>
    <x:xf numFmtId="0" fontId="8" fillId="4" borderId="34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wrapText="1"/>
    </x:xf>
    <x:xf numFmtId="0" fontId="8" fillId="4" borderId="35" xfId="0" applyNumberFormat="1" applyFont="1" applyFill="1" applyBorder="1" applyAlignment="1">
      <x:alignment wrapText="1"/>
    </x:xf>
    <x:xf numFmtId="0" fontId="8" fillId="4" borderId="36" xfId="0" applyNumberFormat="1" applyFont="1" applyFill="1" applyBorder="1" applyAlignment="1">
      <x:alignment wrapText="1"/>
    </x:xf>
    <x:xf numFmtId="0" fontId="8" fillId="4" borderId="37" xfId="0" applyNumberFormat="1" applyFont="1" applyFill="1" applyBorder="1" applyAlignment="1">
      <x:alignment wrapText="1"/>
    </x:xf>
    <x:xf numFmtId="0" fontId="8" fillId="4" borderId="38" xfId="0" applyNumberFormat="1" applyFont="1" applyFill="1" applyBorder="1" applyAlignment="1">
      <x:alignment wrapText="1"/>
    </x:xf>
    <x:xf numFmtId="0" fontId="8" fillId="4" borderId="31" xfId="0" applyNumberFormat="1" applyFont="1" applyFill="1" applyBorder="1" applyAlignment="1">
      <x:alignment horizontal="center" wrapText="1"/>
    </x:xf>
    <x:xf numFmtId="0" fontId="8" fillId="4" borderId="32" xfId="0" applyNumberFormat="1" applyFont="1" applyFill="1" applyBorder="1" applyAlignment="1">
      <x:alignment horizontal="center" wrapText="1"/>
    </x:xf>
    <x:xf numFmtId="0" fontId="8" fillId="4" borderId="33" xfId="0" applyNumberFormat="1" applyFont="1" applyFill="1" applyBorder="1" applyAlignment="1">
      <x:alignment horizontal="center" wrapText="1"/>
    </x:xf>
    <x:xf numFmtId="0" fontId="8" fillId="4" borderId="34" xfId="0" applyNumberFormat="1" applyFont="1" applyFill="1" applyBorder="1" applyAlignment="1">
      <x:alignment horizontal="center" wrapText="1"/>
    </x:xf>
    <x:xf numFmtId="0" fontId="8" fillId="4" borderId="0" xfId="0" applyNumberFormat="1" applyFont="1" applyFill="1" applyBorder="1" applyAlignment="1">
      <x:alignment horizontal="center" wrapText="1"/>
    </x:xf>
    <x:xf numFmtId="0" fontId="8" fillId="4" borderId="35" xfId="0" applyNumberFormat="1" applyFont="1" applyFill="1" applyBorder="1" applyAlignment="1">
      <x:alignment horizontal="center" wrapText="1"/>
    </x:xf>
    <x:xf numFmtId="0" fontId="8" fillId="4" borderId="36" xfId="0" applyNumberFormat="1" applyFont="1" applyFill="1" applyBorder="1" applyAlignment="1">
      <x:alignment horizontal="center" wrapText="1"/>
    </x:xf>
    <x:xf numFmtId="0" fontId="8" fillId="4" borderId="37" xfId="0" applyNumberFormat="1" applyFont="1" applyFill="1" applyBorder="1" applyAlignment="1">
      <x:alignment horizontal="center" wrapText="1"/>
    </x:xf>
    <x:xf numFmtId="0" fontId="8" fillId="4" borderId="38" xfId="0" applyNumberFormat="1" applyFont="1" applyFill="1" applyBorder="1" applyAlignment="1">
      <x:alignment horizontal="center" wrapText="1"/>
    </x:xf>
    <x:xf numFmtId="0" fontId="8" fillId="4" borderId="31" xfId="0" applyNumberFormat="1" applyFont="1" applyFill="1" applyBorder="1" applyAlignment="1">
      <x:alignment horizontal="center" vertical="center" wrapText="1"/>
    </x:xf>
    <x:xf numFmtId="0" fontId="8" fillId="4" borderId="32" xfId="0" applyNumberFormat="1" applyFont="1" applyFill="1" applyBorder="1" applyAlignment="1">
      <x:alignment horizontal="center" vertical="center" wrapText="1"/>
    </x:xf>
    <x:xf numFmtId="0" fontId="8" fillId="4" borderId="33" xfId="0" applyNumberFormat="1" applyFont="1" applyFill="1" applyBorder="1" applyAlignment="1">
      <x:alignment horizontal="center" vertical="center" wrapText="1"/>
    </x:xf>
    <x:xf numFmtId="0" fontId="8" fillId="4" borderId="34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 applyAlignment="1">
      <x:alignment horizontal="center" vertical="center" wrapText="1"/>
    </x:xf>
    <x:xf numFmtId="0" fontId="8" fillId="4" borderId="35" xfId="0" applyNumberFormat="1" applyFont="1" applyFill="1" applyBorder="1" applyAlignment="1">
      <x:alignment horizontal="center" vertical="center" wrapText="1"/>
    </x:xf>
    <x:xf numFmtId="0" fontId="8" fillId="4" borderId="36" xfId="0" applyNumberFormat="1" applyFont="1" applyFill="1" applyBorder="1" applyAlignment="1">
      <x:alignment horizontal="center" vertical="center" wrapText="1"/>
    </x:xf>
    <x:xf numFmtId="0" fontId="8" fillId="4" borderId="37" xfId="0" applyNumberFormat="1" applyFont="1" applyFill="1" applyBorder="1" applyAlignment="1">
      <x:alignment horizontal="center" vertical="center" wrapText="1"/>
    </x:xf>
    <x:xf numFmtId="0" fontId="8" fillId="4" borderId="38" xfId="0" applyNumberFormat="1" applyFont="1" applyFill="1" applyBorder="1" applyAlignment="1">
      <x:alignment horizontal="center" vertical="center" wrapText="1"/>
    </x:xf>
    <x:xf numFmtId="0" fontId="14" fillId="3" borderId="0" xfId="0" applyNumberFormat="1" applyFont="1" applyFill="1" applyBorder="1"/>
    <x:xf numFmtId="0" fontId="14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201" fontId="0" fillId="0" borderId="8" xfId="0" applyNumberFormat="1" applyFont="1" applyFill="1" applyBorder="1" applyAlignment="1">
      <x:alignment vertical="center"/>
    </x:xf>
    <x:xf numFmtId="202" fontId="0" fillId="0" borderId="8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201" fontId="0" fillId="0" borderId="11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 wrapText="1"/>
    </x:xf>
    <x:xf numFmtId="201" fontId="4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 wrapText="1"/>
    </x:xf>
    <x:xf numFmtId="201" fontId="5" fillId="0" borderId="8" xfId="0" applyNumberFormat="1" applyFont="1" applyFill="1" applyBorder="1" applyAlignment="1">
      <x:alignment vertical="center"/>
    </x:xf>
    <x:xf numFmtId="200" fontId="4" fillId="0" borderId="8" xfId="0" applyNumberFormat="1" applyFont="1" applyFill="1" applyBorder="1" applyAlignment="1">
      <x:alignment vertical="center"/>
    </x:xf>
    <x:xf numFmtId="203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 wrapText="1"/>
    </x:xf>
    <x:xf numFmtId="200" fontId="6" fillId="0" borderId="5" xfId="0" applyNumberFormat="1" applyFont="1" applyFill="1" applyBorder="1" applyAlignment="1">
      <x:alignment vertical="center"/>
    </x:xf>
    <x:xf numFmtId="200" fontId="6" fillId="0" borderId="8" xfId="0" applyNumberFormat="1" applyFont="1" applyFill="1" applyBorder="1" applyAlignment="1">
      <x:alignment vertical="center"/>
    </x:xf>
    <x:xf numFmtId="201" fontId="6" fillId="0" borderId="8" xfId="0" applyNumberFormat="1" applyFont="1" applyFill="1" applyBorder="1" applyAlignment="1">
      <x:alignment vertical="center"/>
    </x:xf>
    <x:xf numFmtId="203" fontId="6" fillId="0" borderId="8" xfId="0" applyNumberFormat="1" applyFont="1" applyFill="1" applyBorder="1" applyAlignment="1">
      <x:alignment vertical="center"/>
    </x:xf>
    <x:xf numFmtId="204" fontId="6" fillId="0" borderId="8" xfId="0" applyNumberFormat="1" applyFont="1" applyFill="1" applyBorder="1" applyAlignment="1">
      <x:alignment vertical="center"/>
    </x:xf>
    <x:xf numFmtId="203" fontId="6" fillId="0" borderId="11" xfId="0" applyNumberFormat="1" applyFont="1" applyFill="1" applyBorder="1" applyAlignment="1">
      <x:alignment vertical="center"/>
    </x:xf>
    <x:xf numFmtId="0" fontId="2" fillId="2" borderId="13" xfId="0" applyNumberFormat="1" applyFont="1" applyFill="1" applyBorder="1" applyAlignment="1">
      <x:alignment vertical="center"/>
    </x:xf>
    <x:xf numFmtId="0" fontId="2" fillId="2" borderId="14" xfId="0" applyNumberFormat="1" applyFont="1" applyFill="1" applyBorder="1" applyAlignment="1">
      <x:alignment vertical="center"/>
    </x:xf>
    <x:xf numFmtId="0" fontId="2" fillId="2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203" fontId="6" fillId="0" borderId="18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7" fillId="3" borderId="4" xfId="0" applyNumberFormat="1" applyFont="1" applyFill="1" applyBorder="1" applyAlignment="1">
      <x:alignment vertical="center"/>
    </x:xf>
    <x:xf numFmtId="0" fontId="7" fillId="3" borderId="5" xfId="0" applyNumberFormat="1" applyFont="1" applyFill="1" applyBorder="1" applyAlignment="1">
      <x:alignment vertical="center"/>
    </x:xf>
    <x:xf numFmtId="0" fontId="7" fillId="3" borderId="6" xfId="0" applyNumberFormat="1" applyFont="1" applyFill="1" applyBorder="1" applyAlignment="1">
      <x:alignment vertical="center"/>
    </x:xf>
    <x:xf numFmtId="0" fontId="0" fillId="4" borderId="7" xfId="0" applyNumberFormat="1" applyFont="1" applyFill="1" applyBorder="1" applyAlignment="1">
      <x:alignment vertical="center" wrapText="1"/>
    </x:xf>
    <x:xf numFmtId="0" fontId="0" fillId="4" borderId="8" xfId="0" applyNumberFormat="1" applyFont="1" applyFill="1" applyBorder="1" applyAlignment="1">
      <x:alignment vertical="center" wrapText="1"/>
    </x:xf>
    <x:xf numFmtId="0" fontId="0" fillId="4" borderId="9" xfId="0" applyNumberFormat="1" applyFont="1" applyFill="1" applyBorder="1" applyAlignment="1">
      <x:alignment vertical="center" wrapText="1"/>
    </x:xf>
    <x:xf numFmtId="0" fontId="0" fillId="5" borderId="7" xfId="0" applyNumberFormat="1" applyFont="1" applyFill="1" applyBorder="1" applyAlignment="1">
      <x:alignment vertical="center" wrapText="1"/>
    </x:xf>
    <x:xf numFmtId="0" fontId="0" fillId="5" borderId="8" xfId="0" applyNumberFormat="1" applyFont="1" applyFill="1" applyBorder="1" applyAlignment="1">
      <x:alignment vertical="center" wrapText="1"/>
    </x:xf>
    <x:xf numFmtId="0" fontId="0" fillId="5" borderId="9" xfId="0" applyNumberFormat="1" applyFont="1" applyFill="1" applyBorder="1" applyAlignment="1">
      <x:alignment vertical="center" wrapText="1"/>
    </x:xf>
    <x:xf numFmtId="0" fontId="0" fillId="6" borderId="7" xfId="0" applyNumberFormat="1" applyFont="1" applyFill="1" applyBorder="1" applyAlignment="1">
      <x:alignment vertical="center" wrapText="1"/>
    </x:xf>
    <x:xf numFmtId="0" fontId="0" fillId="6" borderId="8" xfId="0" applyNumberFormat="1" applyFont="1" applyFill="1" applyBorder="1" applyAlignment="1">
      <x:alignment vertical="center" wrapText="1"/>
    </x:xf>
    <x:xf numFmtId="0" fontId="0" fillId="6" borderId="9" xfId="0" applyNumberFormat="1" applyFont="1" applyFill="1" applyBorder="1" applyAlignment="1">
      <x:alignment vertical="center" wrapText="1"/>
    </x:xf>
    <x:xf numFmtId="0" fontId="0" fillId="7" borderId="10" xfId="0" applyNumberFormat="1" applyFont="1" applyFill="1" applyBorder="1" applyAlignment="1">
      <x:alignment vertical="center" wrapText="1"/>
    </x:xf>
    <x:xf numFmtId="0" fontId="0" fillId="7" borderId="11" xfId="0" applyNumberFormat="1" applyFont="1" applyFill="1" applyBorder="1" applyAlignment="1">
      <x:alignment vertical="center" wrapText="1"/>
    </x:xf>
    <x:xf numFmtId="0" fontId="0" fillId="7" borderId="12" xfId="0" applyNumberFormat="1" applyFont="1" applyFill="1" applyBorder="1" applyAlignment="1">
      <x:alignment vertical="center" wrapText="1"/>
    </x:xf>
    <x:xf numFmtId="205" fontId="0" fillId="0" borderId="8" xfId="0" applyNumberFormat="1" applyFont="1" applyFill="1" applyBorder="1" applyAlignment="1">
      <x:alignment vertical="center"/>
    </x:xf>
    <x:xf numFmtId="205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8" fillId="4" borderId="20" xfId="0" applyNumberFormat="1" applyFont="1" applyFill="1" applyBorder="1" applyAlignment="1">
      <x:alignment vertical="center"/>
    </x:xf>
    <x:xf numFmtId="0" fontId="8" fillId="4" borderId="21" xfId="0" applyNumberFormat="1" applyFont="1" applyFill="1" applyBorder="1" applyAlignment="1">
      <x:alignment vertical="center"/>
    </x:xf>
    <x:xf numFmtId="0" fontId="8" fillId="4" borderId="22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 wrapText="1"/>
    </x:xf>
    <x:xf numFmtId="206" fontId="0" fillId="0" borderId="8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206" fontId="0" fillId="0" borderId="1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ba2aacc07a4c20" /><Relationship Type="http://schemas.openxmlformats.org/officeDocument/2006/relationships/theme" Target="/xl/theme/theme1.xml" Id="R5cdeb94fbdf545ec" /><Relationship Type="http://schemas.openxmlformats.org/officeDocument/2006/relationships/sharedStrings" Target="/xl/sharedStrings.xml" Id="R85f393bbac48402d" /><Relationship Type="http://schemas.openxmlformats.org/officeDocument/2006/relationships/worksheet" Target="/xl/worksheets/sheet1.xml" Id="R8fde9b2782ee4359" /><Relationship Type="http://schemas.openxmlformats.org/officeDocument/2006/relationships/worksheet" Target="/xl/worksheets/sheet2.xml" Id="R3a9f3a2ba6e54633" /><Relationship Type="http://schemas.openxmlformats.org/officeDocument/2006/relationships/worksheet" Target="/xl/worksheets/sheet3.xml" Id="Rb3483500ee784e50" /><Relationship Type="http://schemas.openxmlformats.org/officeDocument/2006/relationships/worksheet" Target="/xl/worksheets/sheet4.xml" Id="R504bd311ea4740d1" /><Relationship Type="http://schemas.openxmlformats.org/officeDocument/2006/relationships/worksheet" Target="/xl/worksheets/sheet5.xml" Id="R6224c7c24401421e" /><Relationship Type="http://schemas.openxmlformats.org/officeDocument/2006/relationships/worksheet" Target="/xl/worksheets/sheet6.xml" Id="Rc7c9b42d61994532" /><Relationship Type="http://schemas.openxmlformats.org/officeDocument/2006/relationships/worksheet" Target="/xl/worksheets/sheet7.xml" Id="R8b761e8d835a4694" /><Relationship Type="http://schemas.microsoft.com/office/2017/10/relationships/person" Target="/xl/persons/person.xml" Id="Rb28970e160604e0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4c9532341f241e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variance versus the $3.93bn comparison bar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Total revenue vs consensus ($mm)</c:v>
          </c:tx>
          <c:cat>
            <c:strRef>
              <c:f>'Scenarios'!$A$13:$A$16</c:f>
              <c:strCache>
                <c:ptCount val="0"/>
              </c:strCache>
            </c:strRef>
          </c:cat>
          <c:val>
            <c:numRef>
              <c:f>'Scenarios'!$B$13:$B$16</c:f>
              <c:numCache>
                <c:formatCode>$#,##0;[Red]($#,##0);-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80"/>
          <c:min val="-12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13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4c9532341f241eb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Henry Adams" id="{EC1F9814-FB72-4576-96D8-8F751960D66D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F5" dT="2026-07-22T16:57:31.532" personId="{EC1F9814-FB72-4576-96D8-8F751960D66D}" id="{EB628E7A-661D-11A6-BE3B-D1D8369F65DE}">
    <xltc:text>Source: https://investor.servicenow.com/news/news-details/2026/ServiceNow-Reports-First-Quarter-2026-Financial-Results/default.aspx — Q1 2026 subscription revenue.</xltc:text>
  </xltc:threadedComment>
  <xltc:threadedComment ref="D5" dT="2026-07-22T16:57:31.534" personId="{EC1F9814-FB72-4576-96D8-8F751960D66D}" id="{5AF0D640-D3B3-7E29-A989-AE19DEB5FC3B}">
    <xltc:text>Source: https://investor.servicenow.com/news/news-details/2025/ServiceNow-Reports-Second-Quarter-2025-Financial-Results/default.aspx — Q2 2025 subscription revenue.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C6" dT="2026-07-22T16:57:31.534" personId="{EC1F9814-FB72-4576-96D8-8F751960D66D}" id="{B8F3D89C-6418-6030-B214-13FE4AF6463C}">
    <xltc:text>Source: https://investor.servicenow.com/news/news-details/2026/ServiceNow-Reports-First-Quarter-2026-Financial-Results/default.aspx — company disclosed approximately 125 bps of Q2 2026 subscription-growth contribution from Armis.</xltc:text>
  </xltc:threadedComment>
  <xltc:threadedComment ref="B17" dT="2026-07-22T16:57:31.534" personId="{EC1F9814-FB72-4576-96D8-8F751960D66D}" id="{50DCBB58-41ED-81F7-2F32-51DF0525F004}">
    <xltc:text>Source: https://investor.servicenow.com/news/news-details/2026/ServiceNow-Reports-First-Quarter-2026-Financial-Results/default.aspx — Q2 2026 reported cRPO growth guidance of 19.0%.</xltc:text>
  </xltc:threadedComment>
  <xltc:threadedComment ref="B18" dT="2026-07-22T16:57:31.534" personId="{EC1F9814-FB72-4576-96D8-8F751960D66D}" id="{AE14E2A6-D5D8-7EC1-867B-25AB471CB41F}">
    <xltc:text>Source: https://investor.servicenow.com/news/news-details/2026/ServiceNow-Reports-First-Quarter-2026-Financial-Results/default.aspx — Q2 2026 constant-currency cRPO growth guidance of 19.5%; Armis contract terms limit associated cRPO recognition.</xltc:text>
  </xltc:threadedComment>
  <xltc:threadedComment ref="B19" dT="2026-07-22T16:57:31.534" personId="{EC1F9814-FB72-4576-96D8-8F751960D66D}" id="{35B6A2A3-B668-381B-F3AD-EA22A66FAFBE}">
    <xltc:text>Source: https://investor.servicenow.com/news/news-details/2026/ServiceNow-Reports-First-Quarter-2026-Financial-Results/default.aspx — Q2 2026 non-GAAP operating-margin guidance of 26.5%, including approximately 125 bps of Armis headwind.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aeabccf5efe045ff" /><Relationship Type="http://schemas.openxmlformats.org/officeDocument/2006/relationships/vmlDrawing" Target="/xl/drawings/vmldrawing.vml" Id="R96bfa88356e84e26" /><Relationship Type="http://schemas.microsoft.com/office/2017/10/relationships/threadedComment" Target="/xl/threadedcomments/threadedcomment.xml" Id="R1ff3ba41787c4d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293a02435f9f46de" /><Relationship Type="http://schemas.openxmlformats.org/officeDocument/2006/relationships/vmlDrawing" Target="/xl/drawings/vmldrawing2.vml" Id="Rba00b7eeb97942bd" /><Relationship Type="http://schemas.microsoft.com/office/2017/10/relationships/threadedComment" Target="/xl/threadedcomments/threadedcomment2.xml" Id="Re8e9c82dbd9e48b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2840ebc76ca1408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30" customHeight="1">
      <x:c r="A1" s="4" t="str">
        <x:v>ServiceNow Q2 2026 earnings forecast — first-principles OFF model</x:v>
      </x:c>
      <x:c r="B1" s="4" t="str">
        <x:v>ServiceNow Q2 2026 earnings forecast — first-principles OFF model</x:v>
      </x:c>
      <x:c r="C1" s="4" t="str">
        <x:v>ServiceNow Q2 2026 earnings forecast — first-principles OFF model</x:v>
      </x:c>
      <x:c r="D1" s="4" t="str">
        <x:v>ServiceNow Q2 2026 earnings forecast — first-principles OFF model</x:v>
      </x:c>
      <x:c r="E1" s="4" t="str">
        <x:v>ServiceNow Q2 2026 earnings forecast — first-principles OFF model</x:v>
      </x:c>
      <x:c r="F1" s="4" t="str">
        <x:v>ServiceNow Q2 2026 earnings forecast — first-principles OFF model</x:v>
      </x:c>
      <x:c r="G1" s="4" t="str">
        <x:v>ServiceNow Q2 2026 earnings forecast — first-principles OFF model</x:v>
      </x:c>
      <x:c r="H1" s="4" t="str">
        <x:v>ServiceNow Q2 2026 earnings forecast — first-principles OFF model</x:v>
      </x:c>
      <x:c r="I1" s="4" t="str">
        <x:v>ServiceNow Q2 2026 earnings forecast — first-principles OFF model</x:v>
      </x:c>
      <x:c r="J1" s="4" t="str">
        <x:v>ServiceNow Q2 2026 earnings forecast — first-principles OFF model</x:v>
      </x:c>
      <x:c r="K1" s="4" t="str">
        <x:v>ServiceNow Q2 2026 earnings forecast — first-principles OFF model</x:v>
      </x:c>
      <x:c r="L1" s="4" t="str">
        <x:v>ServiceNow Q2 2026 earnings forecast — first-principles OFF model</x:v>
      </x:c>
    </x:row>
    <x:row r="2" ht="30" customHeight="1">
      <x:c r="A2" s="4" t="str">
        <x:v>ServiceNow Q2 2026 earnings forecast — first-principles OFF model</x:v>
      </x:c>
      <x:c r="B2" s="4" t="str">
        <x:v>ServiceNow Q2 2026 earnings forecast — first-principles OFF model</x:v>
      </x:c>
      <x:c r="C2" s="4" t="str">
        <x:v>ServiceNow Q2 2026 earnings forecast — first-principles OFF model</x:v>
      </x:c>
      <x:c r="D2" s="4" t="str">
        <x:v>ServiceNow Q2 2026 earnings forecast — first-principles OFF model</x:v>
      </x:c>
      <x:c r="E2" s="4" t="str">
        <x:v>ServiceNow Q2 2026 earnings forecast — first-principles OFF model</x:v>
      </x:c>
      <x:c r="F2" s="4" t="str">
        <x:v>ServiceNow Q2 2026 earnings forecast — first-principles OFF model</x:v>
      </x:c>
      <x:c r="G2" s="4" t="str">
        <x:v>ServiceNow Q2 2026 earnings forecast — first-principles OFF model</x:v>
      </x:c>
      <x:c r="H2" s="4" t="str">
        <x:v>ServiceNow Q2 2026 earnings forecast — first-principles OFF model</x:v>
      </x:c>
      <x:c r="I2" s="4" t="str">
        <x:v>ServiceNow Q2 2026 earnings forecast — first-principles OFF model</x:v>
      </x:c>
      <x:c r="J2" s="4" t="str">
        <x:v>ServiceNow Q2 2026 earnings forecast — first-principles OFF model</x:v>
      </x:c>
      <x:c r="K2" s="4" t="str">
        <x:v>ServiceNow Q2 2026 earnings forecast — first-principles OFF model</x:v>
      </x:c>
      <x:c r="L2" s="4" t="str">
        <x:v>ServiceNow Q2 2026 earnings forecast — first-principles OFF model</x:v>
      </x:c>
    </x:row>
    <x:row r="3">
      <x:c r="A3" s="102" t="str">
        <x:v>Event: after market close Wednesday, July 22, 2026  |  Forecast freeze: 10:00 America/Chicago  |  USD millions except per-share data</x:v>
      </x:c>
      <x:c r="B3" s="102" t="str">
        <x:v>Event: after market close Wednesday, July 22, 2026  |  Forecast freeze: 10:00 America/Chicago  |  USD millions except per-share data</x:v>
      </x:c>
      <x:c r="C3" s="102" t="str">
        <x:v>Event: after market close Wednesday, July 22, 2026  |  Forecast freeze: 10:00 America/Chicago  |  USD millions except per-share data</x:v>
      </x:c>
      <x:c r="D3" s="102" t="str">
        <x:v>Event: after market close Wednesday, July 22, 2026  |  Forecast freeze: 10:00 America/Chicago  |  USD millions except per-share data</x:v>
      </x:c>
      <x:c r="E3" s="102" t="str">
        <x:v>Event: after market close Wednesday, July 22, 2026  |  Forecast freeze: 10:00 America/Chicago  |  USD millions except per-share data</x:v>
      </x:c>
      <x:c r="F3" s="102" t="str">
        <x:v>Event: after market close Wednesday, July 22, 2026  |  Forecast freeze: 10:00 America/Chicago  |  USD millions except per-share data</x:v>
      </x:c>
      <x:c r="G3" s="102" t="str">
        <x:v>Event: after market close Wednesday, July 22, 2026  |  Forecast freeze: 10:00 America/Chicago  |  USD millions except per-share data</x:v>
      </x:c>
      <x:c r="H3" s="102" t="str">
        <x:v>Event: after market close Wednesday, July 22, 2026  |  Forecast freeze: 10:00 America/Chicago  |  USD millions except per-share data</x:v>
      </x:c>
      <x:c r="I3" s="102" t="str">
        <x:v>Event: after market close Wednesday, July 22, 2026  |  Forecast freeze: 10:00 America/Chicago  |  USD millions except per-share data</x:v>
      </x:c>
      <x:c r="J3" s="102" t="str">
        <x:v>Event: after market close Wednesday, July 22, 2026  |  Forecast freeze: 10:00 America/Chicago  |  USD millions except per-share data</x:v>
      </x:c>
      <x:c r="K3" s="102" t="str">
        <x:v>Event: after market close Wednesday, July 22, 2026  |  Forecast freeze: 10:00 America/Chicago  |  USD millions except per-share data</x:v>
      </x:c>
      <x:c r="L3" s="102" t="str">
        <x:v>Event: after market close Wednesday, July 22, 2026  |  Forecast freeze: 10:00 America/Chicago  |  USD millions except per-share data</x:v>
      </x:c>
    </x:row>
    <x:row r="5" ht="26" customHeight="1">
      <x:c r="A5" s="130" t="str">
        <x:v>IN-LINE TOPLINE. EPS UPSIDE IS PRIMARILY MARGIN-LED.
cRPO: +50 bps versus reported guide, but in line with the CC guide.
Verify organic/Armis mix before calling a quality beat.</x:v>
      </x:c>
      <x:c r="B5" s="131" t="str">
        <x:v>IN-LINE TOPLINE. EPS UPSIDE IS PRIMARILY MARGIN-LED.
cRPO: +50 bps versus reported guide, but in line with the CC guide.
Verify organic/Armis mix before calling a quality beat.</x:v>
      </x:c>
      <x:c r="C5" s="131" t="str">
        <x:v>IN-LINE TOPLINE. EPS UPSIDE IS PRIMARILY MARGIN-LED.
cRPO: +50 bps versus reported guide, but in line with the CC guide.
Verify organic/Armis mix before calling a quality beat.</x:v>
      </x:c>
      <x:c r="D5" s="131" t="str">
        <x:v>IN-LINE TOPLINE. EPS UPSIDE IS PRIMARILY MARGIN-LED.
cRPO: +50 bps versus reported guide, but in line with the CC guide.
Verify organic/Armis mix before calling a quality beat.</x:v>
      </x:c>
      <x:c r="E5" s="131" t="str">
        <x:v>IN-LINE TOPLINE. EPS UPSIDE IS PRIMARILY MARGIN-LED.
cRPO: +50 bps versus reported guide, but in line with the CC guide.
Verify organic/Armis mix before calling a quality beat.</x:v>
      </x:c>
      <x:c r="F5" s="131" t="str">
        <x:v>IN-LINE TOPLINE. EPS UPSIDE IS PRIMARILY MARGIN-LED.
cRPO: +50 bps versus reported guide, but in line with the CC guide.
Verify organic/Armis mix before calling a quality beat.</x:v>
      </x:c>
      <x:c r="G5" s="131" t="str">
        <x:v>IN-LINE TOPLINE. EPS UPSIDE IS PRIMARILY MARGIN-LED.
cRPO: +50 bps versus reported guide, but in line with the CC guide.
Verify organic/Armis mix before calling a quality beat.</x:v>
      </x:c>
      <x:c r="H5" s="131" t="str">
        <x:v>IN-LINE TOPLINE. EPS UPSIDE IS PRIMARILY MARGIN-LED.
cRPO: +50 bps versus reported guide, but in line with the CC guide.
Verify organic/Armis mix before calling a quality beat.</x:v>
      </x:c>
      <x:c r="I5" s="131" t="str">
        <x:v>IN-LINE TOPLINE. EPS UPSIDE IS PRIMARILY MARGIN-LED.
cRPO: +50 bps versus reported guide, but in line with the CC guide.
Verify organic/Armis mix before calling a quality beat.</x:v>
      </x:c>
      <x:c r="J5" s="131" t="str">
        <x:v>IN-LINE TOPLINE. EPS UPSIDE IS PRIMARILY MARGIN-LED.
cRPO: +50 bps versus reported guide, but in line with the CC guide.
Verify organic/Armis mix before calling a quality beat.</x:v>
      </x:c>
      <x:c r="K5" s="131" t="str">
        <x:v>IN-LINE TOPLINE. EPS UPSIDE IS PRIMARILY MARGIN-LED.
cRPO: +50 bps versus reported guide, but in line with the CC guide.
Verify organic/Armis mix before calling a quality beat.</x:v>
      </x:c>
      <x:c r="L5" s="132" t="str">
        <x:v>IN-LINE TOPLINE. EPS UPSIDE IS PRIMARILY MARGIN-LED.
cRPO: +50 bps versus reported guide, but in line with the CC guide.
Verify organic/Armis mix before calling a quality beat.</x:v>
      </x:c>
    </x:row>
    <x:row r="6" ht="26" customHeight="1">
      <x:c r="A6" s="133" t="str">
        <x:v>IN-LINE TOPLINE. EPS UPSIDE IS PRIMARILY MARGIN-LED.
cRPO: +50 bps versus reported guide, but in line with the CC guide.
Verify organic/Armis mix before calling a quality beat.</x:v>
      </x:c>
      <x:c r="B6" s="134" t="str">
        <x:v>IN-LINE TOPLINE. EPS UPSIDE IS PRIMARILY MARGIN-LED.
cRPO: +50 bps versus reported guide, but in line with the CC guide.
Verify organic/Armis mix before calling a quality beat.</x:v>
      </x:c>
      <x:c r="C6" s="134" t="str">
        <x:v>IN-LINE TOPLINE. EPS UPSIDE IS PRIMARILY MARGIN-LED.
cRPO: +50 bps versus reported guide, but in line with the CC guide.
Verify organic/Armis mix before calling a quality beat.</x:v>
      </x:c>
      <x:c r="D6" s="134" t="str">
        <x:v>IN-LINE TOPLINE. EPS UPSIDE IS PRIMARILY MARGIN-LED.
cRPO: +50 bps versus reported guide, but in line with the CC guide.
Verify organic/Armis mix before calling a quality beat.</x:v>
      </x:c>
      <x:c r="E6" s="134" t="str">
        <x:v>IN-LINE TOPLINE. EPS UPSIDE IS PRIMARILY MARGIN-LED.
cRPO: +50 bps versus reported guide, but in line with the CC guide.
Verify organic/Armis mix before calling a quality beat.</x:v>
      </x:c>
      <x:c r="F6" s="134" t="str">
        <x:v>IN-LINE TOPLINE. EPS UPSIDE IS PRIMARILY MARGIN-LED.
cRPO: +50 bps versus reported guide, but in line with the CC guide.
Verify organic/Armis mix before calling a quality beat.</x:v>
      </x:c>
      <x:c r="G6" s="134" t="str">
        <x:v>IN-LINE TOPLINE. EPS UPSIDE IS PRIMARILY MARGIN-LED.
cRPO: +50 bps versus reported guide, but in line with the CC guide.
Verify organic/Armis mix before calling a quality beat.</x:v>
      </x:c>
      <x:c r="H6" s="134" t="str">
        <x:v>IN-LINE TOPLINE. EPS UPSIDE IS PRIMARILY MARGIN-LED.
cRPO: +50 bps versus reported guide, but in line with the CC guide.
Verify organic/Armis mix before calling a quality beat.</x:v>
      </x:c>
      <x:c r="I6" s="134" t="str">
        <x:v>IN-LINE TOPLINE. EPS UPSIDE IS PRIMARILY MARGIN-LED.
cRPO: +50 bps versus reported guide, but in line with the CC guide.
Verify organic/Armis mix before calling a quality beat.</x:v>
      </x:c>
      <x:c r="J6" s="134" t="str">
        <x:v>IN-LINE TOPLINE. EPS UPSIDE IS PRIMARILY MARGIN-LED.
cRPO: +50 bps versus reported guide, but in line with the CC guide.
Verify organic/Armis mix before calling a quality beat.</x:v>
      </x:c>
      <x:c r="K6" s="134" t="str">
        <x:v>IN-LINE TOPLINE. EPS UPSIDE IS PRIMARILY MARGIN-LED.
cRPO: +50 bps versus reported guide, but in line with the CC guide.
Verify organic/Armis mix before calling a quality beat.</x:v>
      </x:c>
      <x:c r="L6" s="135" t="str">
        <x:v>IN-LINE TOPLINE. EPS UPSIDE IS PRIMARILY MARGIN-LED.
cRPO: +50 bps versus reported guide, but in line with the CC guide.
Verify organic/Armis mix before calling a quality beat.</x:v>
      </x:c>
    </x:row>
    <x:row r="7" ht="26" customHeight="1">
      <x:c r="A7" s="136" t="str">
        <x:v>IN-LINE TOPLINE. EPS UPSIDE IS PRIMARILY MARGIN-LED.
cRPO: +50 bps versus reported guide, but in line with the CC guide.
Verify organic/Armis mix before calling a quality beat.</x:v>
      </x:c>
      <x:c r="B7" s="137" t="str">
        <x:v>IN-LINE TOPLINE. EPS UPSIDE IS PRIMARILY MARGIN-LED.
cRPO: +50 bps versus reported guide, but in line with the CC guide.
Verify organic/Armis mix before calling a quality beat.</x:v>
      </x:c>
      <x:c r="C7" s="137" t="str">
        <x:v>IN-LINE TOPLINE. EPS UPSIDE IS PRIMARILY MARGIN-LED.
cRPO: +50 bps versus reported guide, but in line with the CC guide.
Verify organic/Armis mix before calling a quality beat.</x:v>
      </x:c>
      <x:c r="D7" s="137" t="str">
        <x:v>IN-LINE TOPLINE. EPS UPSIDE IS PRIMARILY MARGIN-LED.
cRPO: +50 bps versus reported guide, but in line with the CC guide.
Verify organic/Armis mix before calling a quality beat.</x:v>
      </x:c>
      <x:c r="E7" s="137" t="str">
        <x:v>IN-LINE TOPLINE. EPS UPSIDE IS PRIMARILY MARGIN-LED.
cRPO: +50 bps versus reported guide, but in line with the CC guide.
Verify organic/Armis mix before calling a quality beat.</x:v>
      </x:c>
      <x:c r="F7" s="137" t="str">
        <x:v>IN-LINE TOPLINE. EPS UPSIDE IS PRIMARILY MARGIN-LED.
cRPO: +50 bps versus reported guide, but in line with the CC guide.
Verify organic/Armis mix before calling a quality beat.</x:v>
      </x:c>
      <x:c r="G7" s="137" t="str">
        <x:v>IN-LINE TOPLINE. EPS UPSIDE IS PRIMARILY MARGIN-LED.
cRPO: +50 bps versus reported guide, but in line with the CC guide.
Verify organic/Armis mix before calling a quality beat.</x:v>
      </x:c>
      <x:c r="H7" s="137" t="str">
        <x:v>IN-LINE TOPLINE. EPS UPSIDE IS PRIMARILY MARGIN-LED.
cRPO: +50 bps versus reported guide, but in line with the CC guide.
Verify organic/Armis mix before calling a quality beat.</x:v>
      </x:c>
      <x:c r="I7" s="137" t="str">
        <x:v>IN-LINE TOPLINE. EPS UPSIDE IS PRIMARILY MARGIN-LED.
cRPO: +50 bps versus reported guide, but in line with the CC guide.
Verify organic/Armis mix before calling a quality beat.</x:v>
      </x:c>
      <x:c r="J7" s="137" t="str">
        <x:v>IN-LINE TOPLINE. EPS UPSIDE IS PRIMARILY MARGIN-LED.
cRPO: +50 bps versus reported guide, but in line with the CC guide.
Verify organic/Armis mix before calling a quality beat.</x:v>
      </x:c>
      <x:c r="K7" s="137" t="str">
        <x:v>IN-LINE TOPLINE. EPS UPSIDE IS PRIMARILY MARGIN-LED.
cRPO: +50 bps versus reported guide, but in line with the CC guide.
Verify organic/Armis mix before calling a quality beat.</x:v>
      </x:c>
      <x:c r="L7" s="138" t="str">
        <x:v>IN-LINE TOPLINE. EPS UPSIDE IS PRIMARILY MARGIN-LED.
cRPO: +50 bps versus reported guide, but in line with the CC guide.
Verify organic/Armis mix before calling a quality beat.</x:v>
      </x:c>
    </x:row>
    <x:row r="9">
      <x:c r="A9" s="6" t="str">
        <x:v>THE BAR — WHERE THE MODEL ACTUALLY DIFFERS</x:v>
      </x:c>
      <x:c r="B9" s="7" t="str">
        <x:v>THE BAR — WHERE THE MODEL ACTUALLY DIFFERS</x:v>
      </x:c>
      <x:c r="C9" s="7" t="str">
        <x:v>THE BAR — WHERE THE MODEL ACTUALLY DIFFERS</x:v>
      </x:c>
      <x:c r="D9" s="7" t="str">
        <x:v>THE BAR — WHERE THE MODEL ACTUALLY DIFFERS</x:v>
      </x:c>
      <x:c r="E9" s="7" t="str">
        <x:v>THE BAR — WHERE THE MODEL ACTUALLY DIFFERS</x:v>
      </x:c>
      <x:c r="F9" s="7" t="str">
        <x:v>THE BAR — WHERE THE MODEL ACTUALLY DIFFERS</x:v>
      </x:c>
      <x:c r="G9" s="7" t="str">
        <x:v>THE BAR — WHERE THE MODEL ACTUALLY DIFFERS</x:v>
      </x:c>
      <x:c r="H9" s="7" t="str">
        <x:v>THE BAR — WHERE THE MODEL ACTUALLY DIFFERS</x:v>
      </x:c>
      <x:c r="I9" s="7" t="str">
        <x:v>THE BAR — WHERE THE MODEL ACTUALLY DIFFERS</x:v>
      </x:c>
      <x:c r="J9" s="7" t="str">
        <x:v>THE BAR — WHERE THE MODEL ACTUALLY DIFFERS</x:v>
      </x:c>
      <x:c r="K9" s="7" t="str">
        <x:v>THE BAR — WHERE THE MODEL ACTUALLY DIFFERS</x:v>
      </x:c>
      <x:c r="L9" s="8" t="str">
        <x:v>THE BAR — WHERE THE MODEL ACTUALLY DIFFERS</x:v>
      </x:c>
    </x:row>
    <x:row r="10">
      <x:c r="A10" s="139" t="str">
        <x:v>Metric</x:v>
      </x:c>
      <x:c r="B10" s="139" t="str">
        <x:v>Metric</x:v>
      </x:c>
      <x:c r="C10" s="139" t="str">
        <x:v>Metric</x:v>
      </x:c>
      <x:c r="D10" s="139" t="str">
        <x:v>Model</x:v>
      </x:c>
      <x:c r="E10" s="139" t="str">
        <x:v>Model</x:v>
      </x:c>
      <x:c r="F10" s="139" t="str">
        <x:v>Bar</x:v>
      </x:c>
      <x:c r="G10" s="139" t="str">
        <x:v>Bar</x:v>
      </x:c>
      <x:c r="H10" s="139" t="str">
        <x:v>Delta</x:v>
      </x:c>
      <x:c r="I10" s="139" t="str">
        <x:v>Delta</x:v>
      </x:c>
      <x:c r="J10" s="139" t="str">
        <x:v>Read-through</x:v>
      </x:c>
      <x:c r="K10" s="139" t="str">
        <x:v>Read-through</x:v>
      </x:c>
      <x:c r="L10" s="139" t="str">
        <x:v>Read-through</x:v>
      </x:c>
    </x:row>
    <x:row r="11" ht="23" customHeight="1">
      <x:c r="A11" s="151" t="str">
        <x:v>Subscription revenue</x:v>
      </x:c>
      <x:c r="B11" s="152" t="str">
        <x:v>Subscription revenue</x:v>
      </x:c>
      <x:c r="C11" s="152" t="str">
        <x:v>Subscription revenue</x:v>
      </x:c>
      <x:c r="D11" s="166" t="n">
        <x:f>'Forecast'!C5</x:f>
        <x:v>3819.6510000000003</x:v>
      </x:c>
      <x:c r="E11" s="166"/>
      <x:c r="F11" s="160" t="n">
        <x:f>AVERAGE('Assumptions'!$B$15:$B$16)</x:f>
        <x:v>3817.5</x:v>
      </x:c>
      <x:c r="G11" s="160"/>
      <x:c r="H11" s="170" t="n">
        <x:f>D11-F11</x:f>
        <x:v>2.1510000000002947</x:v>
      </x:c>
      <x:c r="I11" s="170"/>
      <x:c r="J11" s="152" t="str">
        <x:v>At guide high end — no large beat</x:v>
      </x:c>
      <x:c r="K11" s="152" t="str">
        <x:v>At guide high end — no large beat</x:v>
      </x:c>
      <x:c r="L11" s="153" t="str">
        <x:v>At guide high end — no large beat</x:v>
      </x:c>
    </x:row>
    <x:row r="12" ht="23" customHeight="1">
      <x:c r="A12" s="154" t="str">
        <x:v>Total revenue</x:v>
      </x:c>
      <x:c r="B12" s="155" t="str">
        <x:v>Total revenue</x:v>
      </x:c>
      <x:c r="C12" s="155" t="str">
        <x:v>Total revenue</x:v>
      </x:c>
      <x:c r="D12" s="167" t="n">
        <x:f>'Forecast'!C7</x:f>
        <x:v>3922.6510000000003</x:v>
      </x:c>
      <x:c r="E12" s="167"/>
      <x:c r="F12" s="161" t="n">
        <x:f>'Assumptions'!$B$20</x:f>
        <x:v>3930</x:v>
      </x:c>
      <x:c r="G12" s="161"/>
      <x:c r="H12" s="171" t="n">
        <x:f>D12-F12</x:f>
        <x:v>-7.348999999999705</x:v>
      </x:c>
      <x:c r="I12" s="171"/>
      <x:c r="J12" s="155" t="str">
        <x:v>Essentially in line with consensus</x:v>
      </x:c>
      <x:c r="K12" s="155" t="str">
        <x:v>Essentially in line with consensus</x:v>
      </x:c>
      <x:c r="L12" s="156" t="str">
        <x:v>Essentially in line with consensus</x:v>
      </x:c>
    </x:row>
    <x:row r="13" ht="23" customHeight="1">
      <x:c r="A13" s="154" t="str">
        <x:v>Reported cRPO growth</x:v>
      </x:c>
      <x:c r="B13" s="155" t="str">
        <x:v>Reported cRPO growth</x:v>
      </x:c>
      <x:c r="C13" s="155" t="str">
        <x:v>Reported cRPO growth</x:v>
      </x:c>
      <x:c r="D13" s="168" t="n">
        <x:f>'Forecast'!C10</x:f>
        <x:v>0.195</x:v>
      </x:c>
      <x:c r="E13" s="168"/>
      <x:c r="F13" s="162" t="n">
        <x:f>'Assumptions'!$B$17</x:f>
        <x:v>0.19</x:v>
      </x:c>
      <x:c r="G13" s="162"/>
      <x:c r="H13" s="172" t="n">
        <x:f>(D13-F13)*10000</x:f>
        <x:v>50.00000000000004</x:v>
      </x:c>
      <x:c r="I13" s="172"/>
      <x:c r="J13" s="155" t="str">
        <x:v>+50 bps reported; in line with 19.5% CC guide</x:v>
      </x:c>
      <x:c r="K13" s="155" t="str">
        <x:v>+50 bps reported; in line with 19.5% CC guide</x:v>
      </x:c>
      <x:c r="L13" s="156" t="str">
        <x:v>+50 bps reported; in line with 19.5% CC guide</x:v>
      </x:c>
    </x:row>
    <x:row r="14" ht="23" customHeight="1">
      <x:c r="A14" s="154" t="str">
        <x:v>Operating margin</x:v>
      </x:c>
      <x:c r="B14" s="155" t="str">
        <x:v>Operating margin</x:v>
      </x:c>
      <x:c r="C14" s="155" t="str">
        <x:v>Operating margin</x:v>
      </x:c>
      <x:c r="D14" s="168" t="n">
        <x:f>'Forecast'!C11</x:f>
        <x:v>0.275</x:v>
      </x:c>
      <x:c r="E14" s="168"/>
      <x:c r="F14" s="162" t="n">
        <x:f>'Assumptions'!$B$19</x:f>
        <x:v>0.265</x:v>
      </x:c>
      <x:c r="G14" s="162"/>
      <x:c r="H14" s="172" t="n">
        <x:f>(D14-F14)*10000</x:f>
        <x:v>100.00000000000009</x:v>
      </x:c>
      <x:c r="I14" s="172"/>
      <x:c r="J14" s="155" t="str">
        <x:v>Primary EPS wedge; must be read with conversion</x:v>
      </x:c>
      <x:c r="K14" s="155" t="str">
        <x:v>Primary EPS wedge; must be read with conversion</x:v>
      </x:c>
      <x:c r="L14" s="156" t="str">
        <x:v>Primary EPS wedge; must be read with conversion</x:v>
      </x:c>
    </x:row>
    <x:row r="15" ht="23" customHeight="1">
      <x:c r="A15" s="157" t="str">
        <x:v>Diluted EPS</x:v>
      </x:c>
      <x:c r="B15" s="158" t="str">
        <x:v>Diluted EPS</x:v>
      </x:c>
      <x:c r="C15" s="158" t="str">
        <x:v>Diluted EPS</x:v>
      </x:c>
      <x:c r="D15" s="169" t="n">
        <x:f>'Forecast'!C14</x:f>
        <x:v>0.9013610795432693</x:v>
      </x:c>
      <x:c r="E15" s="169"/>
      <x:c r="F15" s="164" t="n">
        <x:f>'Assumptions'!$B$21</x:f>
        <x:v>0.86</x:v>
      </x:c>
      <x:c r="G15" s="164"/>
      <x:c r="H15" s="173" t="n">
        <x:f>D15-F15</x:f>
        <x:v>0.041361079543269286</x:v>
      </x:c>
      <x:c r="I15" s="173"/>
      <x:c r="J15" s="158" t="str">
        <x:v>Primarily margin-led; conversion also contributes</x:v>
      </x:c>
      <x:c r="K15" s="158" t="str">
        <x:v>Primarily margin-led; conversion also contributes</x:v>
      </x:c>
      <x:c r="L15" s="159" t="str">
        <x:v>Primarily margin-led; conversion also contributes</x:v>
      </x:c>
    </x:row>
    <x:row r="17">
      <x:c r="A17" s="6" t="str">
        <x:v>READ THE PRINT IN THIS ORDER</x:v>
      </x:c>
      <x:c r="B17" s="7" t="str">
        <x:v>READ THE PRINT IN THIS ORDER</x:v>
      </x:c>
      <x:c r="C17" s="7" t="str">
        <x:v>READ THE PRINT IN THIS ORDER</x:v>
      </x:c>
      <x:c r="D17" s="7" t="str">
        <x:v>READ THE PRINT IN THIS ORDER</x:v>
      </x:c>
      <x:c r="E17" s="7" t="str">
        <x:v>READ THE PRINT IN THIS ORDER</x:v>
      </x:c>
      <x:c r="F17" s="7" t="str">
        <x:v>READ THE PRINT IN THIS ORDER</x:v>
      </x:c>
      <x:c r="G17" s="7" t="str">
        <x:v>READ THE PRINT IN THIS ORDER</x:v>
      </x:c>
      <x:c r="H17" s="7" t="str">
        <x:v>READ THE PRINT IN THIS ORDER</x:v>
      </x:c>
      <x:c r="I17" s="7" t="str">
        <x:v>READ THE PRINT IN THIS ORDER</x:v>
      </x:c>
      <x:c r="J17" s="7" t="str">
        <x:v>READ THE PRINT IN THIS ORDER</x:v>
      </x:c>
      <x:c r="K17" s="7" t="str">
        <x:v>READ THE PRINT IN THIS ORDER</x:v>
      </x:c>
      <x:c r="L17" s="8" t="str">
        <x:v>READ THE PRINT IN THIS ORDER</x:v>
      </x:c>
    </x:row>
    <x:row r="18" ht="25" customHeight="1">
      <x:c r="A18" s="176" t="str">
        <x:v>1  |  cRPO — QUALIFIED DEMAND MONITOR
19.5% is +50 bps vs reported guide but equals the CC guide. Require organic/Armis detail and FY guide support before calling a quality beat.</x:v>
      </x:c>
      <x:c r="B18" s="176" t="str">
        <x:v>1  |  cRPO — QUALIFIED DEMAND MONITOR
19.5% is +50 bps vs reported guide but equals the CC guide. Require organic/Armis detail and FY guide support before calling a quality beat.</x:v>
      </x:c>
      <x:c r="C18" s="176" t="str">
        <x:v>1  |  cRPO — QUALIFIED DEMAND MONITOR
19.5% is +50 bps vs reported guide but equals the CC guide. Require organic/Armis detail and FY guide support before calling a quality beat.</x:v>
      </x:c>
      <x:c r="D18" s="176" t="str">
        <x:v>1  |  cRPO — QUALIFIED DEMAND MONITOR
19.5% is +50 bps vs reported guide but equals the CC guide. Require organic/Armis detail and FY guide support before calling a quality beat.</x:v>
      </x:c>
      <x:c r="E18" s="179" t="str">
        <x:v>2  |  OPERATING MARGIN — PRIMARY EPS WEDGE
27.5% vs 26.5% guide adds ~$0.03 to base EPS. The simplified conversion assumption adds another ~3¢ versus Q1 conversion.</x:v>
      </x:c>
      <x:c r="F18" s="179" t="str">
        <x:v>2  |  OPERATING MARGIN — PRIMARY EPS WEDGE
27.5% vs 26.5% guide adds ~$0.03 to base EPS. The simplified conversion assumption adds another ~3¢ versus Q1 conversion.</x:v>
      </x:c>
      <x:c r="G18" s="179" t="str">
        <x:v>2  |  OPERATING MARGIN — PRIMARY EPS WEDGE
27.5% vs 26.5% guide adds ~$0.03 to base EPS. The simplified conversion assumption adds another ~3¢ versus Q1 conversion.</x:v>
      </x:c>
      <x:c r="H18" s="179" t="str">
        <x:v>2  |  OPERATING MARGIN — PRIMARY EPS WEDGE
27.5% vs 26.5% guide adds ~$0.03 to base EPS. The simplified conversion assumption adds another ~3¢ versus Q1 conversion.</x:v>
      </x:c>
      <x:c r="I18" s="183" t="str">
        <x:v>3  |  REVENUE + GUIDE — DURABILITY
$3.923bn total is near the bar. Use the decision matrix for mixed outcomes: EPS beat with in-line demand is not the same as a quality beat.</x:v>
      </x:c>
      <x:c r="J18" s="183" t="str">
        <x:v>3  |  REVENUE + GUIDE — DURABILITY
$3.923bn total is near the bar. Use the decision matrix for mixed outcomes: EPS beat with in-line demand is not the same as a quality beat.</x:v>
      </x:c>
      <x:c r="K18" s="183" t="str">
        <x:v>3  |  REVENUE + GUIDE — DURABILITY
$3.923bn total is near the bar. Use the decision matrix for mixed outcomes: EPS beat with in-line demand is not the same as a quality beat.</x:v>
      </x:c>
      <x:c r="L18" s="183" t="str">
        <x:v>3  |  REVENUE + GUIDE — DURABILITY
$3.923bn total is near the bar. Use the decision matrix for mixed outcomes: EPS beat with in-line demand is not the same as a quality beat.</x:v>
      </x:c>
    </x:row>
    <x:row r="19" ht="25" customHeight="1">
      <x:c r="A19" s="176" t="str">
        <x:v>1  |  cRPO — QUALIFIED DEMAND MONITOR
19.5% is +50 bps vs reported guide but equals the CC guide. Require organic/Armis detail and FY guide support before calling a quality beat.</x:v>
      </x:c>
      <x:c r="B19" s="176" t="str">
        <x:v>1  |  cRPO — QUALIFIED DEMAND MONITOR
19.5% is +50 bps vs reported guide but equals the CC guide. Require organic/Armis detail and FY guide support before calling a quality beat.</x:v>
      </x:c>
      <x:c r="C19" s="176" t="str">
        <x:v>1  |  cRPO — QUALIFIED DEMAND MONITOR
19.5% is +50 bps vs reported guide but equals the CC guide. Require organic/Armis detail and FY guide support before calling a quality beat.</x:v>
      </x:c>
      <x:c r="D19" s="176" t="str">
        <x:v>1  |  cRPO — QUALIFIED DEMAND MONITOR
19.5% is +50 bps vs reported guide but equals the CC guide. Require organic/Armis detail and FY guide support before calling a quality beat.</x:v>
      </x:c>
      <x:c r="E19" s="179" t="str">
        <x:v>2  |  OPERATING MARGIN — PRIMARY EPS WEDGE
27.5% vs 26.5% guide adds ~$0.03 to base EPS. The simplified conversion assumption adds another ~3¢ versus Q1 conversion.</x:v>
      </x:c>
      <x:c r="F19" s="179" t="str">
        <x:v>2  |  OPERATING MARGIN — PRIMARY EPS WEDGE
27.5% vs 26.5% guide adds ~$0.03 to base EPS. The simplified conversion assumption adds another ~3¢ versus Q1 conversion.</x:v>
      </x:c>
      <x:c r="G19" s="179" t="str">
        <x:v>2  |  OPERATING MARGIN — PRIMARY EPS WEDGE
27.5% vs 26.5% guide adds ~$0.03 to base EPS. The simplified conversion assumption adds another ~3¢ versus Q1 conversion.</x:v>
      </x:c>
      <x:c r="H19" s="179" t="str">
        <x:v>2  |  OPERATING MARGIN — PRIMARY EPS WEDGE
27.5% vs 26.5% guide adds ~$0.03 to base EPS. The simplified conversion assumption adds another ~3¢ versus Q1 conversion.</x:v>
      </x:c>
      <x:c r="I19" s="183" t="str">
        <x:v>3  |  REVENUE + GUIDE — DURABILITY
$3.923bn total is near the bar. Use the decision matrix for mixed outcomes: EPS beat with in-line demand is not the same as a quality beat.</x:v>
      </x:c>
      <x:c r="J19" s="183" t="str">
        <x:v>3  |  REVENUE + GUIDE — DURABILITY
$3.923bn total is near the bar. Use the decision matrix for mixed outcomes: EPS beat with in-line demand is not the same as a quality beat.</x:v>
      </x:c>
      <x:c r="K19" s="183" t="str">
        <x:v>3  |  REVENUE + GUIDE — DURABILITY
$3.923bn total is near the bar. Use the decision matrix for mixed outcomes: EPS beat with in-line demand is not the same as a quality beat.</x:v>
      </x:c>
      <x:c r="L19" s="183" t="str">
        <x:v>3  |  REVENUE + GUIDE — DURABILITY
$3.923bn total is near the bar. Use the decision matrix for mixed outcomes: EPS beat with in-line demand is not the same as a quality beat.</x:v>
      </x:c>
    </x:row>
    <x:row r="20" ht="25" customHeight="1">
      <x:c r="A20" s="176" t="str">
        <x:v>1  |  cRPO — QUALIFIED DEMAND MONITOR
19.5% is +50 bps vs reported guide but equals the CC guide. Require organic/Armis detail and FY guide support before calling a quality beat.</x:v>
      </x:c>
      <x:c r="B20" s="176" t="str">
        <x:v>1  |  cRPO — QUALIFIED DEMAND MONITOR
19.5% is +50 bps vs reported guide but equals the CC guide. Require organic/Armis detail and FY guide support before calling a quality beat.</x:v>
      </x:c>
      <x:c r="C20" s="176" t="str">
        <x:v>1  |  cRPO — QUALIFIED DEMAND MONITOR
19.5% is +50 bps vs reported guide but equals the CC guide. Require organic/Armis detail and FY guide support before calling a quality beat.</x:v>
      </x:c>
      <x:c r="D20" s="176" t="str">
        <x:v>1  |  cRPO — QUALIFIED DEMAND MONITOR
19.5% is +50 bps vs reported guide but equals the CC guide. Require organic/Armis detail and FY guide support before calling a quality beat.</x:v>
      </x:c>
      <x:c r="E20" s="179" t="str">
        <x:v>2  |  OPERATING MARGIN — PRIMARY EPS WEDGE
27.5% vs 26.5% guide adds ~$0.03 to base EPS. The simplified conversion assumption adds another ~3¢ versus Q1 conversion.</x:v>
      </x:c>
      <x:c r="F20" s="179" t="str">
        <x:v>2  |  OPERATING MARGIN — PRIMARY EPS WEDGE
27.5% vs 26.5% guide adds ~$0.03 to base EPS. The simplified conversion assumption adds another ~3¢ versus Q1 conversion.</x:v>
      </x:c>
      <x:c r="G20" s="179" t="str">
        <x:v>2  |  OPERATING MARGIN — PRIMARY EPS WEDGE
27.5% vs 26.5% guide adds ~$0.03 to base EPS. The simplified conversion assumption adds another ~3¢ versus Q1 conversion.</x:v>
      </x:c>
      <x:c r="H20" s="179" t="str">
        <x:v>2  |  OPERATING MARGIN — PRIMARY EPS WEDGE
27.5% vs 26.5% guide adds ~$0.03 to base EPS. The simplified conversion assumption adds another ~3¢ versus Q1 conversion.</x:v>
      </x:c>
      <x:c r="I20" s="183" t="str">
        <x:v>3  |  REVENUE + GUIDE — DURABILITY
$3.923bn total is near the bar. Use the decision matrix for mixed outcomes: EPS beat with in-line demand is not the same as a quality beat.</x:v>
      </x:c>
      <x:c r="J20" s="183" t="str">
        <x:v>3  |  REVENUE + GUIDE — DURABILITY
$3.923bn total is near the bar. Use the decision matrix for mixed outcomes: EPS beat with in-line demand is not the same as a quality beat.</x:v>
      </x:c>
      <x:c r="K20" s="183" t="str">
        <x:v>3  |  REVENUE + GUIDE — DURABILITY
$3.923bn total is near the bar. Use the decision matrix for mixed outcomes: EPS beat with in-line demand is not the same as a quality beat.</x:v>
      </x:c>
      <x:c r="L20" s="183" t="str">
        <x:v>3  |  REVENUE + GUIDE — DURABILITY
$3.923bn total is near the bar. Use the decision matrix for mixed outcomes: EPS beat with in-line demand is not the same as a quality beat.</x:v>
      </x:c>
    </x:row>
    <x:row r="21" ht="25" customHeight="1">
      <x:c r="A21" s="176" t="str">
        <x:v>1  |  cRPO — QUALIFIED DEMAND MONITOR
19.5% is +50 bps vs reported guide but equals the CC guide. Require organic/Armis detail and FY guide support before calling a quality beat.</x:v>
      </x:c>
      <x:c r="B21" s="176" t="str">
        <x:v>1  |  cRPO — QUALIFIED DEMAND MONITOR
19.5% is +50 bps vs reported guide but equals the CC guide. Require organic/Armis detail and FY guide support before calling a quality beat.</x:v>
      </x:c>
      <x:c r="C21" s="176" t="str">
        <x:v>1  |  cRPO — QUALIFIED DEMAND MONITOR
19.5% is +50 bps vs reported guide but equals the CC guide. Require organic/Armis detail and FY guide support before calling a quality beat.</x:v>
      </x:c>
      <x:c r="D21" s="176" t="str">
        <x:v>1  |  cRPO — QUALIFIED DEMAND MONITOR
19.5% is +50 bps vs reported guide but equals the CC guide. Require organic/Armis detail and FY guide support before calling a quality beat.</x:v>
      </x:c>
      <x:c r="E21" s="179" t="str">
        <x:v>2  |  OPERATING MARGIN — PRIMARY EPS WEDGE
27.5% vs 26.5% guide adds ~$0.03 to base EPS. The simplified conversion assumption adds another ~3¢ versus Q1 conversion.</x:v>
      </x:c>
      <x:c r="F21" s="179" t="str">
        <x:v>2  |  OPERATING MARGIN — PRIMARY EPS WEDGE
27.5% vs 26.5% guide adds ~$0.03 to base EPS. The simplified conversion assumption adds another ~3¢ versus Q1 conversion.</x:v>
      </x:c>
      <x:c r="G21" s="179" t="str">
        <x:v>2  |  OPERATING MARGIN — PRIMARY EPS WEDGE
27.5% vs 26.5% guide adds ~$0.03 to base EPS. The simplified conversion assumption adds another ~3¢ versus Q1 conversion.</x:v>
      </x:c>
      <x:c r="H21" s="179" t="str">
        <x:v>2  |  OPERATING MARGIN — PRIMARY EPS WEDGE
27.5% vs 26.5% guide adds ~$0.03 to base EPS. The simplified conversion assumption adds another ~3¢ versus Q1 conversion.</x:v>
      </x:c>
      <x:c r="I21" s="183" t="str">
        <x:v>3  |  REVENUE + GUIDE — DURABILITY
$3.923bn total is near the bar. Use the decision matrix for mixed outcomes: EPS beat with in-line demand is not the same as a quality beat.</x:v>
      </x:c>
      <x:c r="J21" s="183" t="str">
        <x:v>3  |  REVENUE + GUIDE — DURABILITY
$3.923bn total is near the bar. Use the decision matrix for mixed outcomes: EPS beat with in-line demand is not the same as a quality beat.</x:v>
      </x:c>
      <x:c r="K21" s="183" t="str">
        <x:v>3  |  REVENUE + GUIDE — DURABILITY
$3.923bn total is near the bar. Use the decision matrix for mixed outcomes: EPS beat with in-line demand is not the same as a quality beat.</x:v>
      </x:c>
      <x:c r="L21" s="183" t="str">
        <x:v>3  |  REVENUE + GUIDE — DURABILITY
$3.923bn total is near the bar. Use the decision matrix for mixed outcomes: EPS beat with in-line demand is not the same as a quality beat.</x:v>
      </x:c>
    </x:row>
    <x:row r="23">
      <x:c r="A23" s="6" t="str">
        <x:v>BOTTOM LINE</x:v>
      </x:c>
      <x:c r="B23" s="7" t="str">
        <x:v>BOTTOM LINE</x:v>
      </x:c>
      <x:c r="C23" s="7" t="str">
        <x:v>BOTTOM LINE</x:v>
      </x:c>
      <x:c r="D23" s="7" t="str">
        <x:v>BOTTOM LINE</x:v>
      </x:c>
      <x:c r="E23" s="7" t="str">
        <x:v>BOTTOM LINE</x:v>
      </x:c>
      <x:c r="F23" s="7" t="str">
        <x:v>BOTTOM LINE</x:v>
      </x:c>
      <x:c r="G23" s="7" t="str">
        <x:v>BOTTOM LINE</x:v>
      </x:c>
      <x:c r="H23" s="7" t="str">
        <x:v>BOTTOM LINE</x:v>
      </x:c>
      <x:c r="I23" s="7" t="str">
        <x:v>BOTTOM LINE</x:v>
      </x:c>
      <x:c r="J23" s="7" t="str">
        <x:v>BOTTOM LINE</x:v>
      </x:c>
      <x:c r="K23" s="7" t="str">
        <x:v>BOTTOM LINE</x:v>
      </x:c>
      <x:c r="L23" s="8" t="str">
        <x:v>BOTTOM LINE</x:v>
      </x:c>
    </x:row>
    <x:row r="24" ht="25" customHeight="1">
      <x:c r="A24" s="187" t="str">
        <x:v>The model expects a respectable quarter, not a topline blowout. A headline EPS beat is not sufficient: 19.5% reported cRPO is only in line with the CC guide. Treat a result as high quality only if reported cRPO clears the CC bar, core/Armis attribution supports it, and management preserves the FY2026 trajectory.</x:v>
      </x:c>
      <x:c r="B24" s="187" t="str">
        <x:v>The model expects a respectable quarter, not a topline blowout. A headline EPS beat is not sufficient: 19.5% reported cRPO is only in line with the CC guide. Treat a result as high quality only if reported cRPO clears the CC bar, core/Armis attribution supports it, and management preserves the FY2026 trajectory.</x:v>
      </x:c>
      <x:c r="C24" s="187" t="str">
        <x:v>The model expects a respectable quarter, not a topline blowout. A headline EPS beat is not sufficient: 19.5% reported cRPO is only in line with the CC guide. Treat a result as high quality only if reported cRPO clears the CC bar, core/Armis attribution supports it, and management preserves the FY2026 trajectory.</x:v>
      </x:c>
      <x:c r="D24" s="187" t="str">
        <x:v>The model expects a respectable quarter, not a topline blowout. A headline EPS beat is not sufficient: 19.5% reported cRPO is only in line with the CC guide. Treat a result as high quality only if reported cRPO clears the CC bar, core/Armis attribution supports it, and management preserves the FY2026 trajectory.</x:v>
      </x:c>
      <x:c r="E24" s="187" t="str">
        <x:v>The model expects a respectable quarter, not a topline blowout. A headline EPS beat is not sufficient: 19.5% reported cRPO is only in line with the CC guide. Treat a result as high quality only if reported cRPO clears the CC bar, core/Armis attribution supports it, and management preserves the FY2026 trajectory.</x:v>
      </x:c>
      <x:c r="F24" s="187" t="str">
        <x:v>The model expects a respectable quarter, not a topline blowout. A headline EPS beat is not sufficient: 19.5% reported cRPO is only in line with the CC guide. Treat a result as high quality only if reported cRPO clears the CC bar, core/Armis attribution supports it, and management preserves the FY2026 trajectory.</x:v>
      </x:c>
      <x:c r="G24" s="187" t="str">
        <x:v>The model expects a respectable quarter, not a topline blowout. A headline EPS beat is not sufficient: 19.5% reported cRPO is only in line with the CC guide. Treat a result as high quality only if reported cRPO clears the CC bar, core/Armis attribution supports it, and management preserves the FY2026 trajectory.</x:v>
      </x:c>
      <x:c r="H24" s="187" t="str">
        <x:v>The model expects a respectable quarter, not a topline blowout. A headline EPS beat is not sufficient: 19.5% reported cRPO is only in line with the CC guide. Treat a result as high quality only if reported cRPO clears the CC bar, core/Armis attribution supports it, and management preserves the FY2026 trajectory.</x:v>
      </x:c>
      <x:c r="I24" s="187" t="str">
        <x:v>The model expects a respectable quarter, not a topline blowout. A headline EPS beat is not sufficient: 19.5% reported cRPO is only in line with the CC guide. Treat a result as high quality only if reported cRPO clears the CC bar, core/Armis attribution supports it, and management preserves the FY2026 trajectory.</x:v>
      </x:c>
      <x:c r="J24" s="214" t="str">
        <x:f>"POSTURE: WAIT FOR PROOF"&amp;CHAR(10)&amp;"Confidence: moderate"&amp;CHAR(10)&amp;"Model checks: "&amp;'Checks'!F21</x:f>
        <x:v>POSTURE: WAIT FOR PROOF
Confidence: moderate
Model checks: OK</x:v>
      </x:c>
      <x:c r="K24" s="215"/>
      <x:c r="L24" s="216"/>
    </x:row>
    <x:row r="25" ht="25" customHeight="1">
      <x:c r="A25" s="187" t="str">
        <x:v>The model expects a respectable quarter, not a topline blowout. A headline EPS beat is not sufficient: 19.5% reported cRPO is only in line with the CC guide. Treat a result as high quality only if reported cRPO clears the CC bar, core/Armis attribution supports it, and management preserves the FY2026 trajectory.</x:v>
      </x:c>
      <x:c r="B25" s="187" t="str">
        <x:v>The model expects a respectable quarter, not a topline blowout. A headline EPS beat is not sufficient: 19.5% reported cRPO is only in line with the CC guide. Treat a result as high quality only if reported cRPO clears the CC bar, core/Armis attribution supports it, and management preserves the FY2026 trajectory.</x:v>
      </x:c>
      <x:c r="C25" s="187" t="str">
        <x:v>The model expects a respectable quarter, not a topline blowout. A headline EPS beat is not sufficient: 19.5% reported cRPO is only in line with the CC guide. Treat a result as high quality only if reported cRPO clears the CC bar, core/Armis attribution supports it, and management preserves the FY2026 trajectory.</x:v>
      </x:c>
      <x:c r="D25" s="187" t="str">
        <x:v>The model expects a respectable quarter, not a topline blowout. A headline EPS beat is not sufficient: 19.5% reported cRPO is only in line with the CC guide. Treat a result as high quality only if reported cRPO clears the CC bar, core/Armis attribution supports it, and management preserves the FY2026 trajectory.</x:v>
      </x:c>
      <x:c r="E25" s="187" t="str">
        <x:v>The model expects a respectable quarter, not a topline blowout. A headline EPS beat is not sufficient: 19.5% reported cRPO is only in line with the CC guide. Treat a result as high quality only if reported cRPO clears the CC bar, core/Armis attribution supports it, and management preserves the FY2026 trajectory.</x:v>
      </x:c>
      <x:c r="F25" s="187" t="str">
        <x:v>The model expects a respectable quarter, not a topline blowout. A headline EPS beat is not sufficient: 19.5% reported cRPO is only in line with the CC guide. Treat a result as high quality only if reported cRPO clears the CC bar, core/Armis attribution supports it, and management preserves the FY2026 trajectory.</x:v>
      </x:c>
      <x:c r="G25" s="187" t="str">
        <x:v>The model expects a respectable quarter, not a topline blowout. A headline EPS beat is not sufficient: 19.5% reported cRPO is only in line with the CC guide. Treat a result as high quality only if reported cRPO clears the CC bar, core/Armis attribution supports it, and management preserves the FY2026 trajectory.</x:v>
      </x:c>
      <x:c r="H25" s="187" t="str">
        <x:v>The model expects a respectable quarter, not a topline blowout. A headline EPS beat is not sufficient: 19.5% reported cRPO is only in line with the CC guide. Treat a result as high quality only if reported cRPO clears the CC bar, core/Armis attribution supports it, and management preserves the FY2026 trajectory.</x:v>
      </x:c>
      <x:c r="I25" s="187" t="str">
        <x:v>The model expects a respectable quarter, not a topline blowout. A headline EPS beat is not sufficient: 19.5% reported cRPO is only in line with the CC guide. Treat a result as high quality only if reported cRPO clears the CC bar, core/Armis attribution supports it, and management preserves the FY2026 trajectory.</x:v>
      </x:c>
      <x:c r="J25" s="217"/>
      <x:c r="K25" s="218"/>
      <x:c r="L25" s="219"/>
    </x:row>
    <x:row r="26" ht="25" customHeight="1">
      <x:c r="A26" s="187" t="str">
        <x:v>The model expects a respectable quarter, not a topline blowout. A headline EPS beat is not sufficient: 19.5% reported cRPO is only in line with the CC guide. Treat a result as high quality only if reported cRPO clears the CC bar, core/Armis attribution supports it, and management preserves the FY2026 trajectory.</x:v>
      </x:c>
      <x:c r="B26" s="187" t="str">
        <x:v>The model expects a respectable quarter, not a topline blowout. A headline EPS beat is not sufficient: 19.5% reported cRPO is only in line with the CC guide. Treat a result as high quality only if reported cRPO clears the CC bar, core/Armis attribution supports it, and management preserves the FY2026 trajectory.</x:v>
      </x:c>
      <x:c r="C26" s="187" t="str">
        <x:v>The model expects a respectable quarter, not a topline blowout. A headline EPS beat is not sufficient: 19.5% reported cRPO is only in line with the CC guide. Treat a result as high quality only if reported cRPO clears the CC bar, core/Armis attribution supports it, and management preserves the FY2026 trajectory.</x:v>
      </x:c>
      <x:c r="D26" s="187" t="str">
        <x:v>The model expects a respectable quarter, not a topline blowout. A headline EPS beat is not sufficient: 19.5% reported cRPO is only in line with the CC guide. Treat a result as high quality only if reported cRPO clears the CC bar, core/Armis attribution supports it, and management preserves the FY2026 trajectory.</x:v>
      </x:c>
      <x:c r="E26" s="187" t="str">
        <x:v>The model expects a respectable quarter, not a topline blowout. A headline EPS beat is not sufficient: 19.5% reported cRPO is only in line with the CC guide. Treat a result as high quality only if reported cRPO clears the CC bar, core/Armis attribution supports it, and management preserves the FY2026 trajectory.</x:v>
      </x:c>
      <x:c r="F26" s="187" t="str">
        <x:v>The model expects a respectable quarter, not a topline blowout. A headline EPS beat is not sufficient: 19.5% reported cRPO is only in line with the CC guide. Treat a result as high quality only if reported cRPO clears the CC bar, core/Armis attribution supports it, and management preserves the FY2026 trajectory.</x:v>
      </x:c>
      <x:c r="G26" s="187" t="str">
        <x:v>The model expects a respectable quarter, not a topline blowout. A headline EPS beat is not sufficient: 19.5% reported cRPO is only in line with the CC guide. Treat a result as high quality only if reported cRPO clears the CC bar, core/Armis attribution supports it, and management preserves the FY2026 trajectory.</x:v>
      </x:c>
      <x:c r="H26" s="187" t="str">
        <x:v>The model expects a respectable quarter, not a topline blowout. A headline EPS beat is not sufficient: 19.5% reported cRPO is only in line with the CC guide. Treat a result as high quality only if reported cRPO clears the CC bar, core/Armis attribution supports it, and management preserves the FY2026 trajectory.</x:v>
      </x:c>
      <x:c r="I26" s="187" t="str">
        <x:v>The model expects a respectable quarter, not a topline blowout. A headline EPS beat is not sufficient: 19.5% reported cRPO is only in line with the CC guide. Treat a result as high quality only if reported cRPO clears the CC bar, core/Armis attribution supports it, and management preserves the FY2026 trajectory.</x:v>
      </x:c>
      <x:c r="J26" s="220"/>
      <x:c r="K26" s="221"/>
      <x:c r="L26" s="222"/>
    </x:row>
    <x:row r="28">
      <x:c r="A28" s="224" t="str">
        <x:v>Workbook map: Historical Inputs → Assumptions → Forecast → Scenarios → Checks → Sources &amp; Audit  |  Green font = linked formula  |  Consensus is comparison-only</x:v>
      </x:c>
      <x:c r="B28" s="224" t="str">
        <x:v>Workbook map: Historical Inputs → Assumptions → Forecast → Scenarios → Checks → Sources &amp; Audit  |  Green font = linked formula  |  Consensus is comparison-only</x:v>
      </x:c>
      <x:c r="C28" s="224" t="str">
        <x:v>Workbook map: Historical Inputs → Assumptions → Forecast → Scenarios → Checks → Sources &amp; Audit  |  Green font = linked formula  |  Consensus is comparison-only</x:v>
      </x:c>
      <x:c r="D28" s="224" t="str">
        <x:v>Workbook map: Historical Inputs → Assumptions → Forecast → Scenarios → Checks → Sources &amp; Audit  |  Green font = linked formula  |  Consensus is comparison-only</x:v>
      </x:c>
      <x:c r="E28" s="224" t="str">
        <x:v>Workbook map: Historical Inputs → Assumptions → Forecast → Scenarios → Checks → Sources &amp; Audit  |  Green font = linked formula  |  Consensus is comparison-only</x:v>
      </x:c>
      <x:c r="F28" s="224" t="str">
        <x:v>Workbook map: Historical Inputs → Assumptions → Forecast → Scenarios → Checks → Sources &amp; Audit  |  Green font = linked formula  |  Consensus is comparison-only</x:v>
      </x:c>
      <x:c r="G28" s="224" t="str">
        <x:v>Workbook map: Historical Inputs → Assumptions → Forecast → Scenarios → Checks → Sources &amp; Audit  |  Green font = linked formula  |  Consensus is comparison-only</x:v>
      </x:c>
      <x:c r="H28" s="224" t="str">
        <x:v>Workbook map: Historical Inputs → Assumptions → Forecast → Scenarios → Checks → Sources &amp; Audit  |  Green font = linked formula  |  Consensus is comparison-only</x:v>
      </x:c>
      <x:c r="I28" s="224" t="str">
        <x:v>Workbook map: Historical Inputs → Assumptions → Forecast → Scenarios → Checks → Sources &amp; Audit  |  Green font = linked formula  |  Consensus is comparison-only</x:v>
      </x:c>
      <x:c r="J28" s="224" t="str">
        <x:v>Workbook map: Historical Inputs → Assumptions → Forecast → Scenarios → Checks → Sources &amp; Audit  |  Green font = linked formula  |  Consensus is comparison-only</x:v>
      </x:c>
      <x:c r="K28" s="224" t="str">
        <x:v>Workbook map: Historical Inputs → Assumptions → Forecast → Scenarios → Checks → Sources &amp; Audit  |  Green font = linked formula  |  Consensus is comparison-only</x:v>
      </x:c>
      <x:c r="L28" s="224" t="str">
        <x:v>Workbook map: Historical Inputs → Assumptions → Forecast → Scenarios → Checks → Sources &amp; Audit  |  Green font = linked formula  |  Consensus is comparison-only</x:v>
      </x:c>
    </x:row>
  </x:sheetData>
  <x:mergeCells>
    <x:mergeCell ref="A1:L2"/>
    <x:mergeCell ref="A3:L3"/>
    <x:mergeCell ref="A5:L7"/>
    <x:mergeCell ref="A9:L9"/>
    <x:mergeCell ref="A10:C10"/>
    <x:mergeCell ref="D10:E10"/>
    <x:mergeCell ref="F10:G10"/>
    <x:mergeCell ref="H10:I10"/>
    <x:mergeCell ref="J10:L10"/>
    <x:mergeCell ref="A11:C11"/>
    <x:mergeCell ref="D11:E11"/>
    <x:mergeCell ref="F11:G11"/>
    <x:mergeCell ref="H11:I11"/>
    <x:mergeCell ref="J11:L11"/>
    <x:mergeCell ref="A12:C12"/>
    <x:mergeCell ref="D12:E12"/>
    <x:mergeCell ref="F12:G12"/>
    <x:mergeCell ref="H12:I12"/>
    <x:mergeCell ref="J12:L12"/>
    <x:mergeCell ref="A13:C13"/>
    <x:mergeCell ref="D13:E13"/>
    <x:mergeCell ref="F13:G13"/>
    <x:mergeCell ref="H13:I13"/>
    <x:mergeCell ref="J13:L13"/>
    <x:mergeCell ref="A14:C14"/>
    <x:mergeCell ref="D14:E14"/>
    <x:mergeCell ref="F14:G14"/>
    <x:mergeCell ref="H14:I14"/>
    <x:mergeCell ref="J14:L14"/>
    <x:mergeCell ref="A15:C15"/>
    <x:mergeCell ref="D15:E15"/>
    <x:mergeCell ref="F15:G15"/>
    <x:mergeCell ref="H15:I15"/>
    <x:mergeCell ref="J15:L15"/>
    <x:mergeCell ref="A17:L17"/>
    <x:mergeCell ref="A18:D21"/>
    <x:mergeCell ref="E18:H21"/>
    <x:mergeCell ref="I18:L21"/>
    <x:mergeCell ref="A23:L23"/>
    <x:mergeCell ref="A24:I26"/>
    <x:mergeCell ref="J24:L26"/>
    <x:mergeCell ref="A28:L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0" hidden="0" customWidth="1"/>
    <x:col min="8" max="8" width="20" hidden="0" customWidth="1"/>
  </x:cols>
  <x:sheetData>
    <x:row r="1" ht="30" customHeight="1">
      <x:c r="A1" s="4" t="str">
        <x:v>ServiceNow Q2 2026 earnings model — historical inputs</x:v>
      </x:c>
      <x:c r="B1" s="4" t="str">
        <x:v>ServiceNow Q2 2026 earnings model — historical inputs</x:v>
      </x:c>
      <x:c r="C1" s="4" t="str">
        <x:v>ServiceNow Q2 2026 earnings model — historical inputs</x:v>
      </x:c>
      <x:c r="D1" s="4" t="str">
        <x:v>ServiceNow Q2 2026 earnings model — historical inputs</x:v>
      </x:c>
      <x:c r="E1" s="4" t="str">
        <x:v>ServiceNow Q2 2026 earnings model — historical inputs</x:v>
      </x:c>
      <x:c r="F1" s="4" t="str">
        <x:v>ServiceNow Q2 2026 earnings model — historical inputs</x:v>
      </x:c>
      <x:c r="G1" s="4" t="str">
        <x:v>ServiceNow Q2 2026 earnings model — historical inputs</x:v>
      </x:c>
      <x:c r="H1" s="4" t="str">
        <x:v>ServiceNow Q2 2026 earnings model — historical inputs</x:v>
      </x:c>
    </x:row>
    <x:row r="2" ht="30" customHeight="1">
      <x:c r="A2" s="4" t="str">
        <x:v>ServiceNow Q2 2026 earnings model — historical inputs</x:v>
      </x:c>
      <x:c r="B2" s="4" t="str">
        <x:v>ServiceNow Q2 2026 earnings model — historical inputs</x:v>
      </x:c>
      <x:c r="C2" s="4" t="str">
        <x:v>ServiceNow Q2 2026 earnings model — historical inputs</x:v>
      </x:c>
      <x:c r="D2" s="4" t="str">
        <x:v>ServiceNow Q2 2026 earnings model — historical inputs</x:v>
      </x:c>
      <x:c r="E2" s="4" t="str">
        <x:v>ServiceNow Q2 2026 earnings model — historical inputs</x:v>
      </x:c>
      <x:c r="F2" s="4" t="str">
        <x:v>ServiceNow Q2 2026 earnings model — historical inputs</x:v>
      </x:c>
      <x:c r="G2" s="4" t="str">
        <x:v>ServiceNow Q2 2026 earnings model — historical inputs</x:v>
      </x:c>
      <x:c r="H2" s="4" t="str">
        <x:v>ServiceNow Q2 2026 earnings model — historical inputs</x:v>
      </x:c>
    </x:row>
    <x:row r="3">
      <x:c r="A3" s="225"/>
      <x:c r="B3" s="225"/>
      <x:c r="C3" s="225"/>
      <x:c r="D3" s="225"/>
      <x:c r="E3" s="225"/>
      <x:c r="F3" s="225"/>
      <x:c r="G3" s="225"/>
      <x:c r="H3" s="225"/>
    </x:row>
    <x:row r="4">
      <x:c r="A4" s="226" t="str">
        <x:v>Metric</x:v>
      </x:c>
      <x:c r="B4" s="227" t="str">
        <x:v>Q2 2024</x:v>
      </x:c>
      <x:c r="C4" s="227" t="str">
        <x:v>Q1 2025</x:v>
      </x:c>
      <x:c r="D4" s="227" t="str">
        <x:v>Q2 2025</x:v>
      </x:c>
      <x:c r="E4" s="227" t="str">
        <x:v>Q4 2025</x:v>
      </x:c>
      <x:c r="F4" s="227" t="str">
        <x:v>Q1 2026</x:v>
      </x:c>
      <x:c r="G4" s="227" t="str">
        <x:v>Unit</x:v>
      </x:c>
      <x:c r="H4" s="228" t="str">
        <x:v>Source ID</x:v>
      </x:c>
    </x:row>
    <x:row r="5">
      <x:c r="A5" s="229" t="str">
        <x:v>Subscription revenue</x:v>
      </x:c>
      <x:c r="B5" s="230" t="n">
        <x:v>2542</x:v>
      </x:c>
      <x:c r="C5" s="230"/>
      <x:c r="D5" s="230" t="n">
        <x:v>3113</x:v>
      </x:c>
      <x:c r="E5" s="230" t="n">
        <x:v>3466</x:v>
      </x:c>
      <x:c r="F5" s="230" t="n">
        <x:v>3671</x:v>
      </x:c>
      <x:c r="G5" s="231" t="str">
        <x:v>$mm</x:v>
      </x:c>
      <x:c r="H5" s="232" t="str">
        <x:v>S1/S2/S3</x:v>
      </x:c>
    </x:row>
    <x:row r="6">
      <x:c r="A6" s="233" t="str">
        <x:v>Professional services &amp; other</x:v>
      </x:c>
      <x:c r="B6" s="234" t="n">
        <x:v>85</x:v>
      </x:c>
      <x:c r="C6" s="234"/>
      <x:c r="D6" s="234" t="n">
        <x:v>102</x:v>
      </x:c>
      <x:c r="E6" s="234" t="n">
        <x:v>102</x:v>
      </x:c>
      <x:c r="F6" s="234" t="n">
        <x:v>99</x:v>
      </x:c>
      <x:c r="G6" s="235" t="str">
        <x:v>$mm</x:v>
      </x:c>
      <x:c r="H6" s="236" t="str">
        <x:v>S1/S2/S3</x:v>
      </x:c>
    </x:row>
    <x:row r="7">
      <x:c r="A7" s="233" t="str">
        <x:v>Total revenue</x:v>
      </x:c>
      <x:c r="B7" s="234" t="n">
        <x:v>2627</x:v>
      </x:c>
      <x:c r="C7" s="234"/>
      <x:c r="D7" s="234" t="n">
        <x:v>3215</x:v>
      </x:c>
      <x:c r="E7" s="234" t="n">
        <x:v>3568</x:v>
      </x:c>
      <x:c r="F7" s="234" t="n">
        <x:v>3770</x:v>
      </x:c>
      <x:c r="G7" s="235" t="str">
        <x:v>$mm</x:v>
      </x:c>
      <x:c r="H7" s="236" t="str">
        <x:v>S1/S2/S3</x:v>
      </x:c>
    </x:row>
    <x:row r="8">
      <x:c r="A8" s="233" t="str">
        <x:v>cRPO</x:v>
      </x:c>
      <x:c r="B8" s="234" t="n">
        <x:v>8780</x:v>
      </x:c>
      <x:c r="C8" s="234" t="n">
        <x:v>10310</x:v>
      </x:c>
      <x:c r="D8" s="234" t="n">
        <x:v>10920</x:v>
      </x:c>
      <x:c r="E8" s="234" t="n">
        <x:v>12850</x:v>
      </x:c>
      <x:c r="F8" s="234" t="n">
        <x:v>12640</x:v>
      </x:c>
      <x:c r="G8" s="235" t="str">
        <x:v>$mm</x:v>
      </x:c>
      <x:c r="H8" s="236" t="str">
        <x:v>S1/S2/S3/S4</x:v>
      </x:c>
    </x:row>
    <x:row r="9">
      <x:c r="A9" s="233" t="str">
        <x:v>Subscription revenue growth, constant currency</x:v>
      </x:c>
      <x:c r="B9" s="237" t="n">
        <x:v>0.23</x:v>
      </x:c>
      <x:c r="C9" s="237" t="n">
        <x:v>0.2</x:v>
      </x:c>
      <x:c r="D9" s="237" t="n">
        <x:v>0.215</x:v>
      </x:c>
      <x:c r="E9" s="237" t="n">
        <x:v>0.195</x:v>
      </x:c>
      <x:c r="F9" s="237" t="n">
        <x:v>0.19</x:v>
      </x:c>
      <x:c r="G9" s="235" t="str">
        <x:v>%</x:v>
      </x:c>
      <x:c r="H9" s="236" t="str">
        <x:v>S1/S2/S3/S4</x:v>
      </x:c>
    </x:row>
    <x:row r="10">
      <x:c r="A10" s="233" t="str">
        <x:v>cRPO growth, constant currency</x:v>
      </x:c>
      <x:c r="B10" s="237" t="n">
        <x:v>0.225</x:v>
      </x:c>
      <x:c r="C10" s="237" t="n">
        <x:v>0.22</x:v>
      </x:c>
      <x:c r="D10" s="237" t="n">
        <x:v>0.215</x:v>
      </x:c>
      <x:c r="E10" s="237" t="n">
        <x:v>0.21</x:v>
      </x:c>
      <x:c r="F10" s="237" t="n">
        <x:v>0.21</x:v>
      </x:c>
      <x:c r="G10" s="235" t="str">
        <x:v>%</x:v>
      </x:c>
      <x:c r="H10" s="236" t="str">
        <x:v>S1/S2/S3/S4</x:v>
      </x:c>
    </x:row>
    <x:row r="11">
      <x:c r="A11" s="233" t="str">
        <x:v>Non-GAAP operating margin</x:v>
      </x:c>
      <x:c r="B11" s="237"/>
      <x:c r="C11" s="237"/>
      <x:c r="D11" s="237" t="n">
        <x:v>0.295</x:v>
      </x:c>
      <x:c r="E11" s="237" t="n">
        <x:v>0.31</x:v>
      </x:c>
      <x:c r="F11" s="237" t="n">
        <x:v>0.32</x:v>
      </x:c>
      <x:c r="G11" s="235" t="str">
        <x:v>%</x:v>
      </x:c>
      <x:c r="H11" s="236" t="str">
        <x:v>S2/S3/S4</x:v>
      </x:c>
    </x:row>
    <x:row r="12">
      <x:c r="A12" s="233" t="str">
        <x:v>Non-GAAP net income</x:v>
      </x:c>
      <x:c r="B12" s="234"/>
      <x:c r="C12" s="234"/>
      <x:c r="D12" s="234" t="n">
        <x:v>854</x:v>
      </x:c>
      <x:c r="E12" s="234" t="n">
        <x:v>959</x:v>
      </x:c>
      <x:c r="F12" s="234" t="n">
        <x:v>1012</x:v>
      </x:c>
      <x:c r="G12" s="235" t="str">
        <x:v>$mm</x:v>
      </x:c>
      <x:c r="H12" s="236" t="str">
        <x:v>S2/S3/S4</x:v>
      </x:c>
    </x:row>
    <x:row r="13">
      <x:c r="A13" s="233" t="str">
        <x:v>Diluted weighted-average shares, post-split equivalent</x:v>
      </x:c>
      <x:c r="B13" s="238"/>
      <x:c r="C13" s="238"/>
      <x:c r="D13" s="238" t="n">
        <x:v>1045</x:v>
      </x:c>
      <x:c r="E13" s="238" t="n">
        <x:v>1040</x:v>
      </x:c>
      <x:c r="F13" s="238" t="n">
        <x:v>1040</x:v>
      </x:c>
      <x:c r="G13" s="235" t="str">
        <x:v>mm</x:v>
      </x:c>
      <x:c r="H13" s="236" t="str">
        <x:v>S2/S3/S4</x:v>
      </x:c>
    </x:row>
    <x:row r="14">
      <x:c r="A14" s="239" t="str">
        <x:v>Non-GAAP net income / operating income</x:v>
      </x:c>
      <x:c r="B14" s="240"/>
      <x:c r="C14" s="240"/>
      <x:c r="D14" s="240" t="n">
        <x:v>0.8942408376963351</x:v>
      </x:c>
      <x:c r="E14" s="240" t="n">
        <x:v>0.8710263396911898</x:v>
      </x:c>
      <x:c r="F14" s="240" t="n">
        <x:v>0.8440366972477065</x:v>
      </x:c>
      <x:c r="G14" s="241" t="str">
        <x:v>%</x:v>
      </x:c>
      <x:c r="H14" s="242" t="str">
        <x:v>Derived from S2/S3/S4</x:v>
      </x:c>
    </x:row>
    <x:row r="15">
      <x:c r="A15" s="225"/>
      <x:c r="B15" s="225"/>
      <x:c r="C15" s="225"/>
      <x:c r="D15" s="225"/>
      <x:c r="E15" s="225"/>
      <x:c r="F15" s="225"/>
      <x:c r="G15" s="225"/>
      <x:c r="H15" s="225"/>
    </x:row>
    <x:row r="16">
      <x:c r="A16" s="29" t="str">
        <x:v>Historical values are company-reported GAAP revenue/cRPO and non-GAAP profitability metrics. Q2 2025 diluted shares are restated to the five-for-one split equivalent. Empty cells indicate metrics not required for this model, not zero values.</x:v>
      </x:c>
      <x:c r="B16" s="29"/>
      <x:c r="C16" s="29"/>
      <x:c r="D16" s="29"/>
      <x:c r="E16" s="29"/>
      <x:c r="F16" s="29"/>
      <x:c r="G16" s="29"/>
      <x:c r="H16" s="29"/>
    </x:row>
    <x:row r="17">
      <x:c r="A17" s="29"/>
      <x:c r="B17" s="29"/>
      <x:c r="C17" s="29"/>
      <x:c r="D17" s="29"/>
      <x:c r="E17" s="29"/>
      <x:c r="F17" s="29"/>
      <x:c r="G17" s="29"/>
      <x:c r="H17" s="29"/>
    </x:row>
    <x:row r="18">
      <x:c r="A18" s="29"/>
      <x:c r="B18" s="29"/>
      <x:c r="C18" s="29"/>
      <x:c r="D18" s="29"/>
      <x:c r="E18" s="29"/>
      <x:c r="F18" s="29"/>
      <x:c r="G18" s="29"/>
      <x:c r="H18" s="29"/>
    </x:row>
  </x:sheetData>
  <x:mergeCells>
    <x:mergeCell ref="A1:H2"/>
    <x:mergeCell ref="A16:H16"/>
    <x:mergeCell ref="A17:H17"/>
    <x:mergeCell ref="A18:H18"/>
  </x:mergeCells>
  <x:pageMargins left="0.7" right="0.7" top="0.75" bottom="0.75" header="0.3" footer="0.3"/>
  <x:legacyDrawing xmlns:r="http://schemas.openxmlformats.org/officeDocument/2006/relationships" r:id="R96bfa88356e84e26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3" hidden="0" customWidth="1"/>
    <x:col min="3" max="3" width="13" hidden="0" customWidth="1"/>
    <x:col min="4" max="4" width="13" hidden="0" customWidth="1"/>
    <x:col min="5" max="5" width="10" hidden="0" customWidth="1"/>
    <x:col min="6" max="6" width="62" hidden="0" customWidth="1"/>
  </x:cols>
  <x:sheetData>
    <x:row r="1" ht="30" customHeight="1">
      <x:c r="A1" s="4" t="str">
        <x:v>Scenario assumptions — editable blue cells</x:v>
      </x:c>
      <x:c r="B1" s="4" t="str">
        <x:v>Scenario assumptions — editable blue cells</x:v>
      </x:c>
      <x:c r="C1" s="4" t="str">
        <x:v>Scenario assumptions — editable blue cells</x:v>
      </x:c>
      <x:c r="D1" s="4" t="str">
        <x:v>Scenario assumptions — editable blue cells</x:v>
      </x:c>
      <x:c r="E1" s="4" t="str">
        <x:v>Scenario assumptions — editable blue cells</x:v>
      </x:c>
      <x:c r="F1" s="4" t="str">
        <x:v>Scenario assumptions — editable blue cells</x:v>
      </x:c>
    </x:row>
    <x:row r="2" ht="30" customHeight="1">
      <x:c r="A2" s="4" t="str">
        <x:v>Scenario assumptions — editable blue cells</x:v>
      </x:c>
      <x:c r="B2" s="4" t="str">
        <x:v>Scenario assumptions — editable blue cells</x:v>
      </x:c>
      <x:c r="C2" s="4" t="str">
        <x:v>Scenario assumptions — editable blue cells</x:v>
      </x:c>
      <x:c r="D2" s="4" t="str">
        <x:v>Scenario assumptions — editable blue cells</x:v>
      </x:c>
      <x:c r="E2" s="4" t="str">
        <x:v>Scenario assumptions — editable blue cells</x:v>
      </x:c>
      <x:c r="F2" s="4" t="str">
        <x:v>Scenario assumptions — editable blue cells</x:v>
      </x:c>
    </x:row>
    <x:row r="3">
      <x:c r="A3" s="225"/>
      <x:c r="B3" s="225"/>
      <x:c r="C3" s="225"/>
      <x:c r="D3" s="225"/>
      <x:c r="E3" s="225"/>
      <x:c r="F3" s="225"/>
    </x:row>
    <x:row r="4">
      <x:c r="A4" s="226" t="str">
        <x:v>Driver</x:v>
      </x:c>
      <x:c r="B4" s="227" t="str">
        <x:v>Bear</x:v>
      </x:c>
      <x:c r="C4" s="227" t="str">
        <x:v>Base</x:v>
      </x:c>
      <x:c r="D4" s="227" t="str">
        <x:v>Bull</x:v>
      </x:c>
      <x:c r="E4" s="227" t="str">
        <x:v>Unit</x:v>
      </x:c>
      <x:c r="F4" s="228" t="str">
        <x:v>Rationale</x:v>
      </x:c>
    </x:row>
    <x:row r="5">
      <x:c r="A5" s="229" t="str">
        <x:v>Core subscription growth, CC</x:v>
      </x:c>
      <x:c r="B5" s="243" t="n">
        <x:v>0.18</x:v>
      </x:c>
      <x:c r="C5" s="243" t="n">
        <x:v>0.202</x:v>
      </x:c>
      <x:c r="D5" s="243" t="n">
        <x:v>0.215</x:v>
      </x:c>
      <x:c r="E5" s="231" t="str">
        <x:v>%</x:v>
      </x:c>
      <x:c r="F5" s="244" t="str">
        <x:v>Base = 60% Q1 cRPO CC growth + 40% Q1 subscription CC growth.</x:v>
      </x:c>
    </x:row>
    <x:row r="6">
      <x:c r="A6" s="233" t="str">
        <x:v>Armis contribution</x:v>
      </x:c>
      <x:c r="B6" s="245" t="n">
        <x:v>0.0125</x:v>
      </x:c>
      <x:c r="C6" s="245" t="n">
        <x:v>0.0125</x:v>
      </x:c>
      <x:c r="D6" s="245" t="n">
        <x:v>0.0125</x:v>
      </x:c>
      <x:c r="E6" s="235" t="str">
        <x:v>%</x:v>
      </x:c>
      <x:c r="F6" s="246" t="str">
        <x:v>Company disclosed ~125 bps contribution to Q2 subscription growth.</x:v>
      </x:c>
    </x:row>
    <x:row r="7">
      <x:c r="A7" s="233" t="str">
        <x:v>FX contribution</x:v>
      </x:c>
      <x:c r="B7" s="245" t="n">
        <x:v>0.0075</x:v>
      </x:c>
      <x:c r="C7" s="245" t="n">
        <x:v>0.0125</x:v>
      </x:c>
      <x:c r="D7" s="245" t="n">
        <x:v>0.015</x:v>
      </x:c>
      <x:c r="E7" s="235" t="str">
        <x:v>%</x:v>
      </x:c>
      <x:c r="F7" s="246" t="str">
        <x:v>Scenario overlay anchored to reported-vs-CC spread in company Q2 outlook.</x:v>
      </x:c>
    </x:row>
    <x:row r="8">
      <x:c r="A8" s="233" t="str">
        <x:v>Middle East delayed-deal catch-up</x:v>
      </x:c>
      <x:c r="B8" s="245" t="n">
        <x:v>0</x:v>
      </x:c>
      <x:c r="C8" s="245" t="n">
        <x:v>0</x:v>
      </x:c>
      <x:c r="D8" s="245" t="n">
        <x:v>0.005</x:v>
      </x:c>
      <x:c r="E8" s="235" t="str">
        <x:v>%</x:v>
      </x:c>
      <x:c r="F8" s="246" t="str">
        <x:v>No base-case catch-up; bull permits partial recovery of Q1 delayed closings.</x:v>
      </x:c>
    </x:row>
    <x:row r="9">
      <x:c r="A9" s="233" t="str">
        <x:v>Reported subscription growth</x:v>
      </x:c>
      <x:c r="B9" s="247" t="n">
        <x:f>SUM(B5:B8)</x:f>
        <x:v>0.2</x:v>
      </x:c>
      <x:c r="C9" s="247" t="n">
        <x:f>SUM(C5:C8)</x:f>
        <x:v>0.22700000000000004</x:v>
      </x:c>
      <x:c r="D9" s="247" t="n">
        <x:f>SUM(D5:D8)</x:f>
        <x:v>0.2475</x:v>
      </x:c>
      <x:c r="E9" s="235" t="str">
        <x:v>%</x:v>
      </x:c>
      <x:c r="F9" s="246" t="str">
        <x:v>Formula: core + Armis + FX + catch-up.</x:v>
      </x:c>
    </x:row>
    <x:row r="10">
      <x:c r="A10" s="233" t="str">
        <x:v>Professional services &amp; other revenue</x:v>
      </x:c>
      <x:c r="B10" s="248" t="n">
        <x:v>98</x:v>
      </x:c>
      <x:c r="C10" s="248" t="n">
        <x:v>103</x:v>
      </x:c>
      <x:c r="D10" s="248" t="n">
        <x:v>108</x:v>
      </x:c>
      <x:c r="E10" s="235" t="str">
        <x:v>$mm</x:v>
      </x:c>
      <x:c r="F10" s="246" t="str">
        <x:v>Low-volatility ancillary revenue around recent quarterly run-rate.</x:v>
      </x:c>
    </x:row>
    <x:row r="11">
      <x:c r="A11" s="233" t="str">
        <x:v>Reported cRPO growth</x:v>
      </x:c>
      <x:c r="B11" s="245" t="n">
        <x:v>0.18</x:v>
      </x:c>
      <x:c r="C11" s="245" t="n">
        <x:v>0.195</x:v>
      </x:c>
      <x:c r="D11" s="245" t="n">
        <x:v>0.21</x:v>
      </x:c>
      <x:c r="E11" s="235" t="str">
        <x:v>%</x:v>
      </x:c>
      <x:c r="F11" s="246" t="str">
        <x:v>Independent analyst judgment; compare with both reported and CC company guides. Not a bookings/cohort bridge.</x:v>
      </x:c>
    </x:row>
    <x:row r="12">
      <x:c r="A12" s="233" t="str">
        <x:v>Non-GAAP operating margin</x:v>
      </x:c>
      <x:c r="B12" s="245" t="n">
        <x:v>0.255</x:v>
      </x:c>
      <x:c r="C12" s="245" t="n">
        <x:v>0.275</x:v>
      </x:c>
      <x:c r="D12" s="245" t="n">
        <x:v>0.295</x:v>
      </x:c>
      <x:c r="E12" s="235" t="str">
        <x:v>%</x:v>
      </x:c>
      <x:c r="F12" s="246" t="str">
        <x:v>Q2 2025 margin less Armis/integration drag; bull recovers prior-year level.</x:v>
      </x:c>
    </x:row>
    <x:row r="13">
      <x:c r="A13" s="233" t="str">
        <x:v>Net income / operating income</x:v>
      </x:c>
      <x:c r="B13" s="245" t="n">
        <x:v>0.84</x:v>
      </x:c>
      <x:c r="C13" s="245" t="n">
        <x:v>0.869</x:v>
      </x:c>
      <x:c r="D13" s="245" t="n">
        <x:v>0.89</x:v>
      </x:c>
      <x:c r="E13" s="235" t="str">
        <x:v>%</x:v>
      </x:c>
      <x:c r="F13" s="246" t="str">
        <x:v>Base approximates recent Q2 2025 and Q1 2026 conversion experience.</x:v>
      </x:c>
    </x:row>
    <x:row r="14">
      <x:c r="A14" s="233" t="str">
        <x:v>Diluted weighted-average shares</x:v>
      </x:c>
      <x:c r="B14" s="248" t="n">
        <x:v>1040</x:v>
      </x:c>
      <x:c r="C14" s="248" t="n">
        <x:v>1040</x:v>
      </x:c>
      <x:c r="D14" s="248" t="n">
        <x:v>1040</x:v>
      </x:c>
      <x:c r="E14" s="235" t="str">
        <x:v>mm</x:v>
      </x:c>
      <x:c r="F14" s="246" t="str">
        <x:v>Company Q2 2026 outlook, post five-for-one split.</x:v>
      </x:c>
    </x:row>
    <x:row r="15">
      <x:c r="A15" s="233" t="str">
        <x:v>Company subscription guide — low</x:v>
      </x:c>
      <x:c r="B15" s="234" t="n">
        <x:v>3815</x:v>
      </x:c>
      <x:c r="C15" s="234"/>
      <x:c r="D15" s="234"/>
      <x:c r="E15" s="235" t="str">
        <x:v>$mm</x:v>
      </x:c>
      <x:c r="F15" s="246" t="str">
        <x:v>Comparison-only source input; held once to avoid scenario drift.</x:v>
      </x:c>
    </x:row>
    <x:row r="16">
      <x:c r="A16" s="233" t="str">
        <x:v>Company subscription guide — high</x:v>
      </x:c>
      <x:c r="B16" s="234" t="n">
        <x:v>3820</x:v>
      </x:c>
      <x:c r="C16" s="234"/>
      <x:c r="D16" s="234"/>
      <x:c r="E16" s="235" t="str">
        <x:v>$mm</x:v>
      </x:c>
      <x:c r="F16" s="246" t="str">
        <x:v>Comparison-only source input; held once to avoid scenario drift.</x:v>
      </x:c>
    </x:row>
    <x:row r="17">
      <x:c r="A17" s="233" t="str">
        <x:v>Company reported cRPO growth guide</x:v>
      </x:c>
      <x:c r="B17" s="237" t="n">
        <x:v>0.19</x:v>
      </x:c>
      <x:c r="C17" s="235"/>
      <x:c r="D17" s="235"/>
      <x:c r="E17" s="235" t="str">
        <x:v>%</x:v>
      </x:c>
      <x:c r="F17" s="246" t="str">
        <x:v>Comparison-only source input.</x:v>
      </x:c>
    </x:row>
    <x:row r="18">
      <x:c r="A18" s="233" t="str">
        <x:v>Company CC cRPO growth guide</x:v>
      </x:c>
      <x:c r="B18" s="237" t="n">
        <x:v>0.195</x:v>
      </x:c>
      <x:c r="C18" s="235"/>
      <x:c r="D18" s="235"/>
      <x:c r="E18" s="235" t="str">
        <x:v>%</x:v>
      </x:c>
      <x:c r="F18" s="246" t="str">
        <x:v>Comparison-only source input; base reported cRPO equals this CC guide.</x:v>
      </x:c>
    </x:row>
    <x:row r="19">
      <x:c r="A19" s="233" t="str">
        <x:v>Company non-GAAP operating margin guide</x:v>
      </x:c>
      <x:c r="B19" s="237" t="n">
        <x:v>0.265</x:v>
      </x:c>
      <x:c r="C19" s="235"/>
      <x:c r="D19" s="235"/>
      <x:c r="E19" s="235" t="str">
        <x:v>%</x:v>
      </x:c>
      <x:c r="F19" s="246" t="str">
        <x:v>Comparison-only source input.</x:v>
      </x:c>
    </x:row>
    <x:row r="20">
      <x:c r="A20" s="233" t="str">
        <x:v>Consensus total revenue comparison</x:v>
      </x:c>
      <x:c r="B20" s="234" t="n">
        <x:v>3930</x:v>
      </x:c>
      <x:c r="C20" s="235"/>
      <x:c r="D20" s="235"/>
      <x:c r="E20" s="235" t="str">
        <x:v>$mm</x:v>
      </x:c>
      <x:c r="F20" s="246" t="str">
        <x:v>Comparison-only secondary estimate; no forecast lineage.</x:v>
      </x:c>
    </x:row>
    <x:row r="21">
      <x:c r="A21" s="239" t="str">
        <x:v>Consensus diluted EPS comparison</x:v>
      </x:c>
      <x:c r="B21" s="249" t="n">
        <x:v>0.86</x:v>
      </x:c>
      <x:c r="C21" s="241"/>
      <x:c r="D21" s="241"/>
      <x:c r="E21" s="241" t="str">
        <x:v>$ / share</x:v>
      </x:c>
      <x:c r="F21" s="250" t="str">
        <x:v>Comparison-only secondary estimate; no forecast lineage.</x:v>
      </x:c>
    </x:row>
  </x:sheetData>
  <x:mergeCells>
    <x:mergeCell ref="A1:F2"/>
  </x:mergeCells>
  <x:pageMargins left="0.7" right="0.7" top="0.75" bottom="0.75" header="0.3" footer="0.3"/>
  <x:legacyDrawing xmlns:r="http://schemas.openxmlformats.org/officeDocument/2006/relationships" r:id="Rba00b7eeb97942bd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4" hidden="0" customWidth="1"/>
    <x:col min="3" max="3" width="14" hidden="0" customWidth="1"/>
    <x:col min="4" max="4" width="14" hidden="0" customWidth="1"/>
    <x:col min="5" max="5" width="12" hidden="0" customWidth="1"/>
    <x:col min="6" max="6" width="52" hidden="0" customWidth="1"/>
  </x:cols>
  <x:sheetData>
    <x:row r="1" ht="30" customHeight="1">
      <x:c r="A1" s="4" t="str">
        <x:v>Formula-driven Q2 2026 forecast</x:v>
      </x:c>
      <x:c r="B1" s="4" t="str">
        <x:v>Formula-driven Q2 2026 forecast</x:v>
      </x:c>
      <x:c r="C1" s="4" t="str">
        <x:v>Formula-driven Q2 2026 forecast</x:v>
      </x:c>
      <x:c r="D1" s="4" t="str">
        <x:v>Formula-driven Q2 2026 forecast</x:v>
      </x:c>
      <x:c r="E1" s="4" t="str">
        <x:v>Formula-driven Q2 2026 forecast</x:v>
      </x:c>
      <x:c r="F1" s="4" t="str">
        <x:v>Formula-driven Q2 2026 forecast</x:v>
      </x:c>
    </x:row>
    <x:row r="2" ht="30" customHeight="1">
      <x:c r="A2" s="4" t="str">
        <x:v>Formula-driven Q2 2026 forecast</x:v>
      </x:c>
      <x:c r="B2" s="4" t="str">
        <x:v>Formula-driven Q2 2026 forecast</x:v>
      </x:c>
      <x:c r="C2" s="4" t="str">
        <x:v>Formula-driven Q2 2026 forecast</x:v>
      </x:c>
      <x:c r="D2" s="4" t="str">
        <x:v>Formula-driven Q2 2026 forecast</x:v>
      </x:c>
      <x:c r="E2" s="4" t="str">
        <x:v>Formula-driven Q2 2026 forecast</x:v>
      </x:c>
      <x:c r="F2" s="4" t="str">
        <x:v>Formula-driven Q2 2026 forecast</x:v>
      </x:c>
    </x:row>
    <x:row r="3">
      <x:c r="A3" s="225"/>
      <x:c r="B3" s="225"/>
      <x:c r="C3" s="225"/>
      <x:c r="D3" s="225"/>
      <x:c r="E3" s="225"/>
      <x:c r="F3" s="225"/>
    </x:row>
    <x:row r="4">
      <x:c r="A4" s="226" t="str">
        <x:v>Metric</x:v>
      </x:c>
      <x:c r="B4" s="227" t="str">
        <x:v>Bear</x:v>
      </x:c>
      <x:c r="C4" s="227" t="str">
        <x:v>Base</x:v>
      </x:c>
      <x:c r="D4" s="227" t="str">
        <x:v>Bull</x:v>
      </x:c>
      <x:c r="E4" s="227" t="str">
        <x:v>Unit</x:v>
      </x:c>
      <x:c r="F4" s="228" t="str">
        <x:v>Calculation</x:v>
      </x:c>
    </x:row>
    <x:row r="5">
      <x:c r="A5" s="229" t="str">
        <x:v>Subscription revenue</x:v>
      </x:c>
      <x:c r="B5" s="251" t="n">
        <x:f>'Historical Inputs'!$D$5*(1+'Assumptions'!B$9)</x:f>
        <x:v>3735.6</x:v>
      </x:c>
      <x:c r="C5" s="251" t="n">
        <x:f>'Historical Inputs'!$D$5*(1+'Assumptions'!C$9)</x:f>
        <x:v>3819.6510000000003</x:v>
      </x:c>
      <x:c r="D5" s="251" t="n">
        <x:f>'Historical Inputs'!$D$5*(1+'Assumptions'!D$9)</x:f>
        <x:v>3883.4675</x:v>
      </x:c>
      <x:c r="E5" s="231" t="str">
        <x:v>$mm</x:v>
      </x:c>
      <x:c r="F5" s="244" t="str">
        <x:v>Q2 2025 actual × (1 + reported subscription growth)</x:v>
      </x:c>
    </x:row>
    <x:row r="6">
      <x:c r="A6" s="233" t="str">
        <x:v>Professional services &amp; other</x:v>
      </x:c>
      <x:c r="B6" s="252" t="n">
        <x:f>'Assumptions'!B$10</x:f>
        <x:v>98</x:v>
      </x:c>
      <x:c r="C6" s="252" t="n">
        <x:f>'Assumptions'!C$10</x:f>
        <x:v>103</x:v>
      </x:c>
      <x:c r="D6" s="252" t="n">
        <x:f>'Assumptions'!D$10</x:f>
        <x:v>108</x:v>
      </x:c>
      <x:c r="E6" s="235" t="str">
        <x:v>$mm</x:v>
      </x:c>
      <x:c r="F6" s="246" t="str">
        <x:v>Scenario input</x:v>
      </x:c>
    </x:row>
    <x:row r="7">
      <x:c r="A7" s="233" t="str">
        <x:v>Total revenue</x:v>
      </x:c>
      <x:c r="B7" s="252" t="n">
        <x:f>SUM(B5:B6)</x:f>
        <x:v>3833.6</x:v>
      </x:c>
      <x:c r="C7" s="252" t="n">
        <x:f>SUM(C5:C6)</x:f>
        <x:v>3922.6510000000003</x:v>
      </x:c>
      <x:c r="D7" s="252" t="n">
        <x:f>SUM(D5:D6)</x:f>
        <x:v>3991.4675</x:v>
      </x:c>
      <x:c r="E7" s="235" t="str">
        <x:v>$mm</x:v>
      </x:c>
      <x:c r="F7" s="246" t="str">
        <x:v>Subscription + professional services</x:v>
      </x:c>
    </x:row>
    <x:row r="8">
      <x:c r="A8" s="233" t="str">
        <x:v>Reported revenue growth</x:v>
      </x:c>
      <x:c r="B8" s="253" t="n">
        <x:f>B7/'Historical Inputs'!$D$7-1</x:f>
        <x:v>0.1924105754276828</x:v>
      </x:c>
      <x:c r="C8" s="253" t="n">
        <x:f>C7/'Historical Inputs'!$D$7-1</x:f>
        <x:v>0.2201091757387248</x:v>
      </x:c>
      <x:c r="D8" s="253" t="n">
        <x:f>D7/'Historical Inputs'!$D$7-1</x:f>
        <x:v>0.24151399688958008</x:v>
      </x:c>
      <x:c r="E8" s="235" t="str">
        <x:v>%</x:v>
      </x:c>
      <x:c r="F8" s="246" t="str">
        <x:v>Total revenue / Q2 2025 total revenue − 1</x:v>
      </x:c>
    </x:row>
    <x:row r="9">
      <x:c r="A9" s="233" t="str">
        <x:v>cRPO</x:v>
      </x:c>
      <x:c r="B9" s="252" t="n">
        <x:f>'Historical Inputs'!$D$8*(1+'Assumptions'!B$11)</x:f>
        <x:v>12885.599999999999</x:v>
      </x:c>
      <x:c r="C9" s="252" t="n">
        <x:f>'Historical Inputs'!$D$8*(1+'Assumptions'!C$11)</x:f>
        <x:v>13049.400000000001</x:v>
      </x:c>
      <x:c r="D9" s="252" t="n">
        <x:f>'Historical Inputs'!$D$8*(1+'Assumptions'!D$11)</x:f>
        <x:v>13213.199999999999</x:v>
      </x:c>
      <x:c r="E9" s="235" t="str">
        <x:v>$mm</x:v>
      </x:c>
      <x:c r="F9" s="246" t="str">
        <x:v>Q2 2025 cRPO × (1 + scenario growth)</x:v>
      </x:c>
    </x:row>
    <x:row r="10">
      <x:c r="A10" s="233" t="str">
        <x:v>Reported cRPO growth</x:v>
      </x:c>
      <x:c r="B10" s="253" t="n">
        <x:f>'Assumptions'!B$11</x:f>
        <x:v>0.18</x:v>
      </x:c>
      <x:c r="C10" s="253" t="n">
        <x:f>'Assumptions'!C$11</x:f>
        <x:v>0.195</x:v>
      </x:c>
      <x:c r="D10" s="253" t="n">
        <x:f>'Assumptions'!D$11</x:f>
        <x:v>0.21</x:v>
      </x:c>
      <x:c r="E10" s="235" t="str">
        <x:v>%</x:v>
      </x:c>
      <x:c r="F10" s="246" t="str">
        <x:v>Scenario input</x:v>
      </x:c>
    </x:row>
    <x:row r="11">
      <x:c r="A11" s="233" t="str">
        <x:v>Non-GAAP operating margin</x:v>
      </x:c>
      <x:c r="B11" s="253" t="n">
        <x:f>'Assumptions'!B$12</x:f>
        <x:v>0.255</x:v>
      </x:c>
      <x:c r="C11" s="253" t="n">
        <x:f>'Assumptions'!C$12</x:f>
        <x:v>0.275</x:v>
      </x:c>
      <x:c r="D11" s="253" t="n">
        <x:f>'Assumptions'!D$12</x:f>
        <x:v>0.295</x:v>
      </x:c>
      <x:c r="E11" s="235" t="str">
        <x:v>%</x:v>
      </x:c>
      <x:c r="F11" s="246" t="str">
        <x:v>Scenario input</x:v>
      </x:c>
    </x:row>
    <x:row r="12">
      <x:c r="A12" s="233" t="str">
        <x:v>Non-GAAP operating income</x:v>
      </x:c>
      <x:c r="B12" s="252" t="n">
        <x:f>B7*B11</x:f>
        <x:v>977.568</x:v>
      </x:c>
      <x:c r="C12" s="252" t="n">
        <x:f>C7*C11</x:f>
        <x:v>1078.729025</x:v>
      </x:c>
      <x:c r="D12" s="252" t="n">
        <x:f>D7*D11</x:f>
        <x:v>1177.4829124999999</x:v>
      </x:c>
      <x:c r="E12" s="235" t="str">
        <x:v>$mm</x:v>
      </x:c>
      <x:c r="F12" s="246" t="str">
        <x:v>Total revenue × operating margin</x:v>
      </x:c>
    </x:row>
    <x:row r="13">
      <x:c r="A13" s="233" t="str">
        <x:v>Non-GAAP net income</x:v>
      </x:c>
      <x:c r="B13" s="252" t="n">
        <x:f>B12*'Assumptions'!B$13</x:f>
        <x:v>821.15712</x:v>
      </x:c>
      <x:c r="C13" s="252" t="n">
        <x:f>C12*'Assumptions'!C$13</x:f>
        <x:v>937.4155227250001</x:v>
      </x:c>
      <x:c r="D13" s="252" t="n">
        <x:f>D12*'Assumptions'!D$13</x:f>
        <x:v>1047.959792125</x:v>
      </x:c>
      <x:c r="E13" s="235" t="str">
        <x:v>$mm</x:v>
      </x:c>
      <x:c r="F13" s="246" t="str">
        <x:v>Operating income × conversion ratio</x:v>
      </x:c>
    </x:row>
    <x:row r="14">
      <x:c r="A14" s="233" t="str">
        <x:v>Non-GAAP diluted EPS</x:v>
      </x:c>
      <x:c r="B14" s="254" t="n">
        <x:f>B13/'Assumptions'!B$14</x:f>
        <x:v>0.7895741538461538</x:v>
      </x:c>
      <x:c r="C14" s="254" t="n">
        <x:f>C13/'Assumptions'!C$14</x:f>
        <x:v>0.9013610795432693</x:v>
      </x:c>
      <x:c r="D14" s="254" t="n">
        <x:f>D13/'Assumptions'!D$14</x:f>
        <x:v>1.0076536462740384</x:v>
      </x:c>
      <x:c r="E14" s="235" t="str">
        <x:v>$ / share</x:v>
      </x:c>
      <x:c r="F14" s="246" t="str">
        <x:v>Net income / diluted shares</x:v>
      </x:c>
    </x:row>
    <x:row r="15">
      <x:c r="A15" s="233" t="str">
        <x:v>Subscription revenue vs guide midpoint</x:v>
      </x:c>
      <x:c r="B15" s="252" t="n">
        <x:f>B5-AVERAGE('Assumptions'!$B$15:$B$16)</x:f>
        <x:v>-81.90000000000009</x:v>
      </x:c>
      <x:c r="C15" s="252" t="n">
        <x:f>C5-AVERAGE('Assumptions'!$B$15:$B$16)</x:f>
        <x:v>2.1510000000002947</x:v>
      </x:c>
      <x:c r="D15" s="252" t="n">
        <x:f>D5-AVERAGE('Assumptions'!$B$15:$B$16)</x:f>
        <x:v>65.9675000000002</x:v>
      </x:c>
      <x:c r="E15" s="235" t="str">
        <x:v>$mm</x:v>
      </x:c>
      <x:c r="F15" s="246" t="str">
        <x:v>Forecast less source-backed company-guide midpoint</x:v>
      </x:c>
    </x:row>
    <x:row r="16">
      <x:c r="A16" s="233" t="str">
        <x:v>Operating margin vs company guide</x:v>
      </x:c>
      <x:c r="B16" s="255" t="n">
        <x:f>(B11-'Assumptions'!$B$19)*10000</x:f>
        <x:v>-100.00000000000009</x:v>
      </x:c>
      <x:c r="C16" s="255" t="n">
        <x:f>(C11-'Assumptions'!$B$19)*10000</x:f>
        <x:v>100.00000000000009</x:v>
      </x:c>
      <x:c r="D16" s="255" t="n">
        <x:f>(D11-'Assumptions'!$B$19)*10000</x:f>
        <x:v>299.9999999999997</x:v>
      </x:c>
      <x:c r="E16" s="235" t="str">
        <x:v>bps</x:v>
      </x:c>
      <x:c r="F16" s="246" t="str">
        <x:v>Forecast less source-backed company guide</x:v>
      </x:c>
    </x:row>
    <x:row r="17">
      <x:c r="A17" s="233" t="str">
        <x:v>EPS at company operating-margin guide</x:v>
      </x:c>
      <x:c r="B17" s="254" t="n">
        <x:f>B7*'Assumptions'!$B$19*'Assumptions'!B$13/'Assumptions'!B$14</x:f>
        <x:v>0.8205378461538461</x:v>
      </x:c>
      <x:c r="C17" s="254" t="n">
        <x:f>C7*'Assumptions'!$B$19*'Assumptions'!C$13/'Assumptions'!C$14</x:f>
        <x:v>0.8685843130144232</x:v>
      </x:c>
      <x:c r="D17" s="254" t="n">
        <x:f>D7*'Assumptions'!$B$19*'Assumptions'!D$13/'Assumptions'!D$14</x:f>
        <x:v>0.905180394110577</x:v>
      </x:c>
      <x:c r="E17" s="235" t="str">
        <x:v>$ / share</x:v>
      </x:c>
      <x:c r="F17" s="246" t="str">
        <x:v>Total revenue × company margin guide × scenario conversion / shares</x:v>
      </x:c>
    </x:row>
    <x:row r="18">
      <x:c r="A18" s="233" t="str">
        <x:v>EPS uplift vs company-margin guide</x:v>
      </x:c>
      <x:c r="B18" s="254" t="n">
        <x:f>B14-B17</x:f>
        <x:v>-0.030963692307692248</x:v>
      </x:c>
      <x:c r="C18" s="254" t="n">
        <x:f>C14-C17</x:f>
        <x:v>0.03277676652884609</x:v>
      </x:c>
      <x:c r="D18" s="254" t="n">
        <x:f>D14-D17</x:f>
        <x:v>0.10247325216346137</x:v>
      </x:c>
      <x:c r="E18" s="235" t="str">
        <x:v>$ / share</x:v>
      </x:c>
      <x:c r="F18" s="246" t="str">
        <x:v>Scenario EPS less EPS at company-margin guide</x:v>
      </x:c>
    </x:row>
    <x:row r="19">
      <x:c r="A19" s="233" t="str">
        <x:v>EPS at Q1 conversion</x:v>
      </x:c>
      <x:c r="B19" s="254" t="n">
        <x:f>B12*'Historical Inputs'!$F$14/'Assumptions'!B$14</x:f>
        <x:v>0.7933685250529288</x:v>
      </x:c>
      <x:c r="C19" s="254" t="n">
        <x:f>C12*'Historical Inputs'!$F$14/'Assumptions'!C$14</x:f>
        <x:v>0.8754681571983064</x:v>
      </x:c>
      <x:c r="D19" s="254" t="n">
        <x:f>D12*'Historical Inputs'!$F$14/'Assumptions'!D$14</x:f>
        <x:v>0.9556142197424135</x:v>
      </x:c>
      <x:c r="E19" s="235" t="str">
        <x:v>$ / share</x:v>
      </x:c>
      <x:c r="F19" s="246" t="str">
        <x:v>Scenario operating income × Q1 conversion / shares</x:v>
      </x:c>
    </x:row>
    <x:row r="20">
      <x:c r="A20" s="239" t="str">
        <x:v>EPS uplift vs Q1 conversion</x:v>
      </x:c>
      <x:c r="B20" s="256" t="n">
        <x:f>B14-B19</x:f>
        <x:v>-0.003794371206774949</x:v>
      </x:c>
      <x:c r="C20" s="256" t="n">
        <x:f>C14-C19</x:f>
        <x:v>0.025892922344962876</x:v>
      </x:c>
      <x:c r="D20" s="256" t="n">
        <x:f>D14-D19</x:f>
        <x:v>0.052039426531624966</x:v>
      </x:c>
      <x:c r="E20" s="241" t="str">
        <x:v>$ / share</x:v>
      </x:c>
      <x:c r="F20" s="250" t="str">
        <x:v>Scenario EPS less EPS at Q1 conversion</x:v>
      </x:c>
    </x:row>
  </x:sheetData>
  <x:mergeCells>
    <x:mergeCell ref="A1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2" hidden="0" customWidth="1"/>
    <x:col min="4" max="4" width="27" hidden="0" customWidth="1"/>
    <x:col min="5" max="5" width="30" hidden="0" customWidth="1"/>
    <x:col min="6" max="6" width="50" hidden="0" customWidth="1"/>
  </x:cols>
  <x:sheetData>
    <x:row r="1" ht="30" customHeight="1">
      <x:c r="A1" s="4" t="str">
        <x:v>Scenario summary and expectation bar</x:v>
      </x:c>
      <x:c r="B1" s="4" t="str">
        <x:v>Scenario summary and expectation bar</x:v>
      </x:c>
      <x:c r="C1" s="4" t="str">
        <x:v>Scenario summary and expectation bar</x:v>
      </x:c>
      <x:c r="D1" s="4" t="str">
        <x:v>Scenario summary and expectation bar</x:v>
      </x:c>
      <x:c r="E1" s="4" t="str">
        <x:v>Scenario summary and expectation bar</x:v>
      </x:c>
      <x:c r="F1" s="4" t="str">
        <x:v>Scenario summary and expectation bar</x:v>
      </x:c>
    </x:row>
    <x:row r="2" ht="30" customHeight="1">
      <x:c r="A2" s="4" t="str">
        <x:v>Scenario summary and expectation bar</x:v>
      </x:c>
      <x:c r="B2" s="4" t="str">
        <x:v>Scenario summary and expectation bar</x:v>
      </x:c>
      <x:c r="C2" s="4" t="str">
        <x:v>Scenario summary and expectation bar</x:v>
      </x:c>
      <x:c r="D2" s="4" t="str">
        <x:v>Scenario summary and expectation bar</x:v>
      </x:c>
      <x:c r="E2" s="4" t="str">
        <x:v>Scenario summary and expectation bar</x:v>
      </x:c>
      <x:c r="F2" s="4" t="str">
        <x:v>Scenario summary and expectation bar</x:v>
      </x:c>
    </x:row>
    <x:row r="3">
      <x:c r="A3" s="225"/>
      <x:c r="B3" s="225"/>
      <x:c r="C3" s="225"/>
      <x:c r="D3" s="225"/>
      <x:c r="E3" s="225"/>
      <x:c r="F3" s="225"/>
    </x:row>
    <x:row r="4">
      <x:c r="A4" s="257" t="str">
        <x:v>Metric</x:v>
      </x:c>
      <x:c r="B4" s="258" t="str">
        <x:v>Bear</x:v>
      </x:c>
      <x:c r="C4" s="258" t="str">
        <x:v>Base</x:v>
      </x:c>
      <x:c r="D4" s="258" t="str">
        <x:v>Bull</x:v>
      </x:c>
      <x:c r="E4" s="258" t="str">
        <x:v>Company guide / consensus</x:v>
      </x:c>
      <x:c r="F4" s="259" t="str">
        <x:v>Interpretation</x:v>
      </x:c>
    </x:row>
    <x:row r="5">
      <x:c r="A5" s="260" t="str">
        <x:v>Subscription revenue ($mm)</x:v>
      </x:c>
      <x:c r="B5" s="252" t="n">
        <x:f>'Forecast'!B5</x:f>
        <x:v>3735.6</x:v>
      </x:c>
      <x:c r="C5" s="252" t="n">
        <x:f>'Forecast'!C5</x:f>
        <x:v>3819.6510000000003</x:v>
      </x:c>
      <x:c r="D5" s="252" t="n">
        <x:f>'Forecast'!D5</x:f>
        <x:v>3883.4675</x:v>
      </x:c>
      <x:c r="E5" s="235" t="str">
        <x:f>"$"&amp;TEXT('Assumptions'!$B$15,"#,##0")&amp;"–$"&amp;TEXT('Assumptions'!$B$16,"#,##0")&amp;" company guide"</x:f>
        <x:v>$3,815–$3,820 company guide</x:v>
      </x:c>
      <x:c r="F5" s="246" t="str">
        <x:v>Base case sits at the high end of company subscription guidance.</x:v>
      </x:c>
    </x:row>
    <x:row r="6">
      <x:c r="A6" s="260" t="str">
        <x:v>Total revenue ($mm)</x:v>
      </x:c>
      <x:c r="B6" s="252" t="n">
        <x:f>'Forecast'!B7</x:f>
        <x:v>3833.6</x:v>
      </x:c>
      <x:c r="C6" s="252" t="n">
        <x:f>'Forecast'!C7</x:f>
        <x:v>3922.6510000000003</x:v>
      </x:c>
      <x:c r="D6" s="252" t="n">
        <x:f>'Forecast'!D7</x:f>
        <x:v>3991.4675</x:v>
      </x:c>
      <x:c r="E6" s="235" t="str">
        <x:f>"$"&amp;TEXT('Assumptions'!$B$20,"#,##0")&amp;" consensus comparison"</x:f>
        <x:v>$3,930 consensus comparison</x:v>
      </x:c>
      <x:c r="F6" s="246" t="str">
        <x:v>Base total revenue is approximately in line with consensus.</x:v>
      </x:c>
    </x:row>
    <x:row r="7">
      <x:c r="A7" s="260" t="str">
        <x:v>cRPO growth</x:v>
      </x:c>
      <x:c r="B7" s="253" t="n">
        <x:f>'Forecast'!B10</x:f>
        <x:v>0.18</x:v>
      </x:c>
      <x:c r="C7" s="253" t="n">
        <x:f>'Forecast'!C10</x:f>
        <x:v>0.195</x:v>
      </x:c>
      <x:c r="D7" s="253" t="n">
        <x:f>'Forecast'!D10</x:f>
        <x:v>0.21</x:v>
      </x:c>
      <x:c r="E7" s="235" t="str">
        <x:f>TEXT('Assumptions'!$B$17,"0.0%")&amp;" reported / "&amp;TEXT('Assumptions'!$B$18,"0.0%")&amp;" CC guide"</x:f>
        <x:v>19.0% reported / 19.5% CC guide</x:v>
      </x:c>
      <x:c r="F7" s="246" t="str">
        <x:v>Base reported cRPO is +50 bps vs reported guide but in line with the CC guide; evaluate organic/Armis mix.</x:v>
      </x:c>
    </x:row>
    <x:row r="8">
      <x:c r="A8" s="260" t="str">
        <x:v>Non-GAAP operating margin</x:v>
      </x:c>
      <x:c r="B8" s="253" t="n">
        <x:f>'Forecast'!B11</x:f>
        <x:v>0.255</x:v>
      </x:c>
      <x:c r="C8" s="253" t="n">
        <x:f>'Forecast'!C11</x:f>
        <x:v>0.275</x:v>
      </x:c>
      <x:c r="D8" s="253" t="n">
        <x:f>'Forecast'!D11</x:f>
        <x:v>0.295</x:v>
      </x:c>
      <x:c r="E8" s="235" t="str">
        <x:f>TEXT('Assumptions'!$B$19,"0.0%")&amp;" company guide"</x:f>
        <x:v>26.5% company guide</x:v>
      </x:c>
      <x:c r="F8" s="246" t="str">
        <x:v>Base case is 100 bps above company guidance; this is the primary EPS wedge.</x:v>
      </x:c>
    </x:row>
    <x:row r="9">
      <x:c r="A9" s="261" t="str">
        <x:v>Non-GAAP diluted EPS</x:v>
      </x:c>
      <x:c r="B9" s="262" t="n">
        <x:f>'Forecast'!B14</x:f>
        <x:v>0.7895741538461538</x:v>
      </x:c>
      <x:c r="C9" s="262" t="n">
        <x:f>'Forecast'!C14</x:f>
        <x:v>0.9013610795432693</x:v>
      </x:c>
      <x:c r="D9" s="262" t="n">
        <x:f>'Forecast'!D14</x:f>
        <x:v>1.0076536462740384</x:v>
      </x:c>
      <x:c r="E9" s="263" t="str">
        <x:f>TEXT('Assumptions'!$B$21,"$0.00")&amp;" consensus comparison"</x:f>
        <x:v>$0.86 consensus comparison</x:v>
      </x:c>
      <x:c r="F9" s="264" t="str">
        <x:v>Base EPS is primarily margin-led; conversion also contributes and is shown in the Forecast bridge.</x:v>
      </x:c>
    </x:row>
    <x:row r="10">
      <x:c r="A10" s="225"/>
      <x:c r="B10" s="225"/>
      <x:c r="C10" s="225"/>
      <x:c r="D10" s="225"/>
      <x:c r="E10" s="225"/>
      <x:c r="F10" s="225"/>
    </x:row>
    <x:row r="11">
      <x:c r="A11" s="225"/>
      <x:c r="B11" s="225"/>
      <x:c r="C11" s="225"/>
      <x:c r="D11" s="225"/>
      <x:c r="E11" s="225"/>
      <x:c r="F11" s="225"/>
    </x:row>
    <x:row r="12">
      <x:c r="A12" s="265" t="str">
        <x:v>Scenario</x:v>
      </x:c>
      <x:c r="B12" s="265" t="str">
        <x:v>Total revenue vs consensus ($mm)</x:v>
      </x:c>
      <x:c r="C12" s="225"/>
      <x:c r="D12" s="225"/>
      <x:c r="E12" s="225"/>
      <x:c r="F12" s="225"/>
    </x:row>
    <x:row r="13">
      <x:c r="A13" s="225" t="str">
        <x:v>Bear</x:v>
      </x:c>
      <x:c r="B13" s="266" t="n">
        <x:f>'Forecast'!B7-'Assumptions'!$B$20</x:f>
        <x:v>-96.40000000000009</x:v>
      </x:c>
      <x:c r="C13" s="225"/>
      <x:c r="D13" s="225"/>
      <x:c r="E13" s="225"/>
      <x:c r="F13" s="225"/>
    </x:row>
    <x:row r="14">
      <x:c r="A14" s="225" t="str">
        <x:v>Base</x:v>
      </x:c>
      <x:c r="B14" s="266" t="n">
        <x:f>'Forecast'!C7-'Assumptions'!$B$20</x:f>
        <x:v>-7.348999999999705</x:v>
      </x:c>
      <x:c r="C14" s="225"/>
      <x:c r="D14" s="225"/>
      <x:c r="E14" s="225"/>
      <x:c r="F14" s="225"/>
    </x:row>
    <x:row r="15">
      <x:c r="A15" s="225" t="str">
        <x:v>Bull</x:v>
      </x:c>
      <x:c r="B15" s="266" t="n">
        <x:f>'Forecast'!D7-'Assumptions'!$B$20</x:f>
        <x:v>61.4675000000002</x:v>
      </x:c>
      <x:c r="C15" s="225"/>
      <x:c r="D15" s="225"/>
      <x:c r="E15" s="225"/>
      <x:c r="F15" s="225"/>
    </x:row>
    <x:row r="16">
      <x:c r="A16" s="225" t="str">
        <x:v>Consensus comparison</x:v>
      </x:c>
      <x:c r="B16" s="266" t="n">
        <x:f>0</x:f>
        <x:v>0</x:v>
      </x:c>
      <x:c r="C16" s="225"/>
      <x:c r="D16" s="225"/>
      <x:c r="E16" s="225"/>
      <x:c r="F16" s="225"/>
    </x:row>
    <x:row r="17">
      <x:c r="A17" s="225"/>
      <x:c r="B17" s="225"/>
      <x:c r="C17" s="225"/>
      <x:c r="D17" s="225"/>
      <x:c r="E17" s="225"/>
      <x:c r="F17" s="225"/>
    </x:row>
    <x:row r="18">
      <x:c r="A18" s="225"/>
      <x:c r="B18" s="225"/>
      <x:c r="C18" s="225"/>
      <x:c r="D18" s="225"/>
      <x:c r="E18" s="225"/>
      <x:c r="F18" s="225"/>
    </x:row>
    <x:row r="19">
      <x:c r="A19" s="226" t="str">
        <x:v>POST-PRINT DECISION MATRIX — QUALITY OF THE RESULT</x:v>
      </x:c>
      <x:c r="B19" s="227" t="str">
        <x:v>POST-PRINT DECISION MATRIX — QUALITY OF THE RESULT</x:v>
      </x:c>
      <x:c r="C19" s="227" t="str">
        <x:v>POST-PRINT DECISION MATRIX — QUALITY OF THE RESULT</x:v>
      </x:c>
      <x:c r="D19" s="227" t="str">
        <x:v>POST-PRINT DECISION MATRIX — QUALITY OF THE RESULT</x:v>
      </x:c>
      <x:c r="E19" s="228" t="str">
        <x:v>POST-PRINT DECISION MATRIX — QUALITY OF THE RESULT</x:v>
      </x:c>
      <x:c r="F19" s="225"/>
    </x:row>
    <x:row r="20">
      <x:c r="A20" s="267" t="str">
        <x:v>Reported cRPO / guide</x:v>
      </x:c>
      <x:c r="B20" s="268" t="str">
        <x:v>Margin / EPS</x:v>
      </x:c>
      <x:c r="C20" s="268" t="str">
        <x:v>FY2026 guide &amp; organic bridge</x:v>
      </x:c>
      <x:c r="D20" s="268" t="str">
        <x:v>Read-through</x:v>
      </x:c>
      <x:c r="E20" s="269" t="str">
        <x:v>Status</x:v>
      </x:c>
      <x:c r="F20" s="225"/>
    </x:row>
    <x:row r="21" ht="34" customHeight="1">
      <x:c r="A21" s="270" t="str">
        <x:v>≥20.0%</x:v>
      </x:c>
      <x:c r="B21" s="271" t="str">
        <x:v>≥26.5% / EPS beat</x:v>
      </x:c>
      <x:c r="C21" s="271" t="str">
        <x:v>Guide held; core supports</x:v>
      </x:c>
      <x:c r="D21" s="271" t="str">
        <x:v>High-quality confirmation</x:v>
      </x:c>
      <x:c r="E21" s="272" t="str">
        <x:v>Confirm</x:v>
      </x:c>
      <x:c r="F21" s="225"/>
    </x:row>
    <x:row r="22" ht="34" customHeight="1">
      <x:c r="A22" s="273" t="str">
        <x:v>19.5%</x:v>
      </x:c>
      <x:c r="B22" s="274" t="str">
        <x:v>Above guide / EPS beat</x:v>
      </x:c>
      <x:c r="C22" s="274" t="str">
        <x:v>Guide held; mix unclear</x:v>
      </x:c>
      <x:c r="D22" s="274" t="str">
        <x:v>Positive but mixed; CC in line</x:v>
      </x:c>
      <x:c r="E22" s="275" t="str">
        <x:v>Ambiguous</x:v>
      </x:c>
      <x:c r="F22" s="225"/>
    </x:row>
    <x:row r="23" ht="34" customHeight="1">
      <x:c r="A23" s="276" t="str">
        <x:v>19.0–19.4%</x:v>
      </x:c>
      <x:c r="B23" s="277" t="str">
        <x:v>EPS beat possible</x:v>
      </x:c>
      <x:c r="C23" s="277" t="str">
        <x:v>Guide held</x:v>
      </x:c>
      <x:c r="D23" s="277" t="str">
        <x:v>Low-quality beat</x:v>
      </x:c>
      <x:c r="E23" s="278" t="str">
        <x:v>Caution</x:v>
      </x:c>
      <x:c r="F23" s="225"/>
    </x:row>
    <x:row r="24" ht="34" customHeight="1">
      <x:c r="A24" s="279" t="str">
        <x:v>&lt;19.0% or FY guide cut</x:v>
      </x:c>
      <x:c r="B24" s="280" t="str">
        <x:v>Any</x:v>
      </x:c>
      <x:c r="C24" s="280" t="str">
        <x:v>Core weakens / guide cut</x:v>
      </x:c>
      <x:c r="D24" s="280" t="str">
        <x:v>Demand / durability break</x:v>
      </x:c>
      <x:c r="E24" s="281" t="str">
        <x:v>Break</x:v>
      </x:c>
      <x:c r="F24" s="225"/>
    </x:row>
  </x:sheetData>
  <x:mergeCells>
    <x:mergeCell ref="A1:F2"/>
    <x:mergeCell ref="A19:E19"/>
  </x:mergeCells>
  <x:pageMargins left="0.7" right="0.7" top="0.75" bottom="0.75" header="0.3" footer="0.3"/>
  <x:drawing xmlns:r="http://schemas.openxmlformats.org/officeDocument/2006/relationships" r:id="R2840ebc76ca14086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2" hidden="0" customWidth="1"/>
    <x:col min="7" max="7" width="48" hidden="0" customWidth="1"/>
  </x:cols>
  <x:sheetData>
    <x:row r="1" ht="30" customHeight="1">
      <x:c r="A1" s="4" t="str">
        <x:v>Model checks</x:v>
      </x:c>
      <x:c r="B1" s="4" t="str">
        <x:v>Model checks</x:v>
      </x:c>
      <x:c r="C1" s="4" t="str">
        <x:v>Model checks</x:v>
      </x:c>
      <x:c r="D1" s="4" t="str">
        <x:v>Model checks</x:v>
      </x:c>
      <x:c r="E1" s="4" t="str">
        <x:v>Model checks</x:v>
      </x:c>
      <x:c r="F1" s="4" t="str">
        <x:v>Model checks</x:v>
      </x:c>
      <x:c r="G1" s="4" t="str">
        <x:v>Model checks</x:v>
      </x:c>
    </x:row>
    <x:row r="2" ht="30" customHeight="1">
      <x:c r="A2" s="4" t="str">
        <x:v>Model checks</x:v>
      </x:c>
      <x:c r="B2" s="4" t="str">
        <x:v>Model checks</x:v>
      </x:c>
      <x:c r="C2" s="4" t="str">
        <x:v>Model checks</x:v>
      </x:c>
      <x:c r="D2" s="4" t="str">
        <x:v>Model checks</x:v>
      </x:c>
      <x:c r="E2" s="4" t="str">
        <x:v>Model checks</x:v>
      </x:c>
      <x:c r="F2" s="4" t="str">
        <x:v>Model checks</x:v>
      </x:c>
      <x:c r="G2" s="4" t="str">
        <x:v>Model checks</x:v>
      </x:c>
    </x:row>
    <x:row r="3">
      <x:c r="A3" s="225"/>
      <x:c r="B3" s="225"/>
      <x:c r="C3" s="225"/>
      <x:c r="D3" s="225"/>
      <x:c r="E3" s="225"/>
      <x:c r="F3" s="225"/>
      <x:c r="G3" s="225"/>
    </x:row>
    <x:row r="4">
      <x:c r="A4" s="257" t="str">
        <x:v>Check</x:v>
      </x:c>
      <x:c r="B4" s="258" t="str">
        <x:v>Actual</x:v>
      </x:c>
      <x:c r="C4" s="258" t="str">
        <x:v>Expected</x:v>
      </x:c>
      <x:c r="D4" s="258" t="str">
        <x:v>Difference</x:v>
      </x:c>
      <x:c r="E4" s="258" t="str">
        <x:v>Tolerance</x:v>
      </x:c>
      <x:c r="F4" s="258" t="str">
        <x:v>Status</x:v>
      </x:c>
      <x:c r="G4" s="259" t="str">
        <x:v>Notes</x:v>
      </x:c>
    </x:row>
    <x:row r="5">
      <x:c r="A5" s="260" t="str">
        <x:v>Bear revenue sums</x:v>
      </x:c>
      <x:c r="B5" s="282" t="n">
        <x:f>'Forecast'!B7</x:f>
        <x:v>3833.6</x:v>
      </x:c>
      <x:c r="C5" s="282" t="n">
        <x:f>SUM('Forecast'!B5:B6)</x:f>
        <x:v>3833.6</x:v>
      </x:c>
      <x:c r="D5" s="282" t="n">
        <x:f>B5-C5</x:f>
        <x:v>0</x:v>
      </x:c>
      <x:c r="E5" s="282" t="n">
        <x:f>0.01</x:f>
        <x:v>0.01</x:v>
      </x:c>
      <x:c r="F5" s="235" t="str">
        <x:f>IF(ABS(D5)&lt;=E5,"OK","FAIL")</x:f>
        <x:v>OK</x:v>
      </x:c>
      <x:c r="G5" s="236" t="str">
        <x:v>Total revenue equals components.</x:v>
      </x:c>
    </x:row>
    <x:row r="6">
      <x:c r="A6" s="260" t="str">
        <x:v>Base revenue sums</x:v>
      </x:c>
      <x:c r="B6" s="282" t="n">
        <x:f>'Forecast'!C7</x:f>
        <x:v>3922.6510000000003</x:v>
      </x:c>
      <x:c r="C6" s="282" t="n">
        <x:f>SUM('Forecast'!C5:C6)</x:f>
        <x:v>3922.6510000000003</x:v>
      </x:c>
      <x:c r="D6" s="282" t="n">
        <x:f>B6-C6</x:f>
        <x:v>0</x:v>
      </x:c>
      <x:c r="E6" s="282" t="n">
        <x:f>0.01</x:f>
        <x:v>0.01</x:v>
      </x:c>
      <x:c r="F6" s="235" t="str">
        <x:f>IF(ABS(D6)&lt;=E6,"OK","FAIL")</x:f>
        <x:v>OK</x:v>
      </x:c>
      <x:c r="G6" s="236" t="str">
        <x:v>Total revenue equals components.</x:v>
      </x:c>
    </x:row>
    <x:row r="7">
      <x:c r="A7" s="260" t="str">
        <x:v>Bull revenue sums</x:v>
      </x:c>
      <x:c r="B7" s="282" t="n">
        <x:f>'Forecast'!D7</x:f>
        <x:v>3991.4675</x:v>
      </x:c>
      <x:c r="C7" s="282" t="n">
        <x:f>SUM('Forecast'!D5:D6)</x:f>
        <x:v>3991.4675</x:v>
      </x:c>
      <x:c r="D7" s="282" t="n">
        <x:f>B7-C7</x:f>
        <x:v>0</x:v>
      </x:c>
      <x:c r="E7" s="282" t="n">
        <x:f>0.01</x:f>
        <x:v>0.01</x:v>
      </x:c>
      <x:c r="F7" s="235" t="str">
        <x:f>IF(ABS(D7)&lt;=E7,"OK","FAIL")</x:f>
        <x:v>OK</x:v>
      </x:c>
      <x:c r="G7" s="236" t="str">
        <x:v>Total revenue equals components.</x:v>
      </x:c>
    </x:row>
    <x:row r="8">
      <x:c r="A8" s="260" t="str">
        <x:v>Bear EPS recomputes</x:v>
      </x:c>
      <x:c r="B8" s="282" t="n">
        <x:f>'Forecast'!B14</x:f>
        <x:v>0.7895741538461538</x:v>
      </x:c>
      <x:c r="C8" s="282" t="n">
        <x:f>'Forecast'!B13/'Assumptions'!B14</x:f>
        <x:v>0.7895741538461538</x:v>
      </x:c>
      <x:c r="D8" s="282" t="n">
        <x:f>B8-C8</x:f>
        <x:v>0</x:v>
      </x:c>
      <x:c r="E8" s="282" t="n">
        <x:f>0.0001</x:f>
        <x:v>0.0001</x:v>
      </x:c>
      <x:c r="F8" s="235" t="str">
        <x:f>IF(ABS(D8)&lt;=E8,"OK","FAIL")</x:f>
        <x:v>OK</x:v>
      </x:c>
      <x:c r="G8" s="236" t="str">
        <x:v>EPS equals net income divided by shares.</x:v>
      </x:c>
    </x:row>
    <x:row r="9">
      <x:c r="A9" s="260" t="str">
        <x:v>Base EPS recomputes</x:v>
      </x:c>
      <x:c r="B9" s="282" t="n">
        <x:f>'Forecast'!C14</x:f>
        <x:v>0.9013610795432693</x:v>
      </x:c>
      <x:c r="C9" s="282" t="n">
        <x:f>'Forecast'!C13/'Assumptions'!C14</x:f>
        <x:v>0.9013610795432693</x:v>
      </x:c>
      <x:c r="D9" s="282" t="n">
        <x:f>B9-C9</x:f>
        <x:v>0</x:v>
      </x:c>
      <x:c r="E9" s="282" t="n">
        <x:f>0.0001</x:f>
        <x:v>0.0001</x:v>
      </x:c>
      <x:c r="F9" s="235" t="str">
        <x:f>IF(ABS(D9)&lt;=E9,"OK","FAIL")</x:f>
        <x:v>OK</x:v>
      </x:c>
      <x:c r="G9" s="236" t="str">
        <x:v>EPS equals net income divided by shares.</x:v>
      </x:c>
    </x:row>
    <x:row r="10">
      <x:c r="A10" s="260" t="str">
        <x:v>Bull EPS recomputes</x:v>
      </x:c>
      <x:c r="B10" s="282" t="n">
        <x:f>'Forecast'!D14</x:f>
        <x:v>1.0076536462740384</x:v>
      </x:c>
      <x:c r="C10" s="282" t="n">
        <x:f>'Forecast'!D13/'Assumptions'!D14</x:f>
        <x:v>1.0076536462740384</x:v>
      </x:c>
      <x:c r="D10" s="282" t="n">
        <x:f>B10-C10</x:f>
        <x:v>0</x:v>
      </x:c>
      <x:c r="E10" s="282" t="n">
        <x:f>0.0001</x:f>
        <x:v>0.0001</x:v>
      </x:c>
      <x:c r="F10" s="235" t="str">
        <x:f>IF(ABS(D10)&lt;=E10,"OK","FAIL")</x:f>
        <x:v>OK</x:v>
      </x:c>
      <x:c r="G10" s="236" t="str">
        <x:v>EPS equals net income divided by shares.</x:v>
      </x:c>
    </x:row>
    <x:row r="11">
      <x:c r="A11" s="260" t="str">
        <x:v>Scenario revenue ordering</x:v>
      </x:c>
      <x:c r="B11" s="282" t="n">
        <x:f>IF(AND('Forecast'!B7&lt;'Forecast'!C7,'Forecast'!C7&lt;'Forecast'!D7),1,0)</x:f>
        <x:v>1</x:v>
      </x:c>
      <x:c r="C11" s="282" t="n">
        <x:f>1</x:f>
        <x:v>1</x:v>
      </x:c>
      <x:c r="D11" s="282" t="n">
        <x:f>B11-C11</x:f>
        <x:v>0</x:v>
      </x:c>
      <x:c r="E11" s="282" t="n">
        <x:f>0</x:f>
        <x:v>0</x:v>
      </x:c>
      <x:c r="F11" s="235" t="str">
        <x:f>IF(ABS(D11)&lt;=E11,"OK","FAIL")</x:f>
        <x:v>OK</x:v>
      </x:c>
      <x:c r="G11" s="236" t="str">
        <x:v>Bear &lt; Base &lt; Bull.</x:v>
      </x:c>
    </x:row>
    <x:row r="12">
      <x:c r="A12" s="260" t="str">
        <x:v>Scenario EPS ordering</x:v>
      </x:c>
      <x:c r="B12" s="282" t="n">
        <x:f>IF(AND('Forecast'!B14&lt;'Forecast'!C14,'Forecast'!C14&lt;'Forecast'!D14),1,0)</x:f>
        <x:v>1</x:v>
      </x:c>
      <x:c r="C12" s="282" t="n">
        <x:f>1</x:f>
        <x:v>1</x:v>
      </x:c>
      <x:c r="D12" s="282" t="n">
        <x:f>B12-C12</x:f>
        <x:v>0</x:v>
      </x:c>
      <x:c r="E12" s="282" t="n">
        <x:f>0</x:f>
        <x:v>0</x:v>
      </x:c>
      <x:c r="F12" s="235" t="str">
        <x:f>IF(ABS(D12)&lt;=E12,"OK","FAIL")</x:f>
        <x:v>OK</x:v>
      </x:c>
      <x:c r="G12" s="236" t="str">
        <x:v>Bear &lt; Base &lt; Bull.</x:v>
      </x:c>
    </x:row>
    <x:row r="13">
      <x:c r="A13" s="260" t="str">
        <x:v>Bear subscription drivers sum</x:v>
      </x:c>
      <x:c r="B13" s="282" t="n">
        <x:f>'Assumptions'!B9</x:f>
        <x:v>0.2</x:v>
      </x:c>
      <x:c r="C13" s="282" t="n">
        <x:f>SUM('Assumptions'!B5:B8)</x:f>
        <x:v>0.2</x:v>
      </x:c>
      <x:c r="D13" s="282" t="n">
        <x:f>B13-C13</x:f>
        <x:v>0</x:v>
      </x:c>
      <x:c r="E13" s="282" t="n">
        <x:f>0.0001</x:f>
        <x:v>0.0001</x:v>
      </x:c>
      <x:c r="F13" s="235" t="str">
        <x:f>IF(ABS(D13)&lt;=E13,"OK","FAIL")</x:f>
        <x:v>OK</x:v>
      </x:c>
      <x:c r="G13" s="236" t="str">
        <x:v>Reported subscription growth equals its four visible drivers.</x:v>
      </x:c>
    </x:row>
    <x:row r="14">
      <x:c r="A14" s="260" t="str">
        <x:v>Base subscription drivers sum</x:v>
      </x:c>
      <x:c r="B14" s="282" t="n">
        <x:f>'Assumptions'!C9</x:f>
        <x:v>0.22700000000000004</x:v>
      </x:c>
      <x:c r="C14" s="282" t="n">
        <x:f>SUM('Assumptions'!C5:C8)</x:f>
        <x:v>0.22700000000000004</x:v>
      </x:c>
      <x:c r="D14" s="282" t="n">
        <x:f>B14-C14</x:f>
        <x:v>0</x:v>
      </x:c>
      <x:c r="E14" s="282" t="n">
        <x:f>0.0001</x:f>
        <x:v>0.0001</x:v>
      </x:c>
      <x:c r="F14" s="235" t="str">
        <x:f>IF(ABS(D14)&lt;=E14,"OK","FAIL")</x:f>
        <x:v>OK</x:v>
      </x:c>
      <x:c r="G14" s="236" t="str">
        <x:v>Reported subscription growth equals its four visible drivers.</x:v>
      </x:c>
    </x:row>
    <x:row r="15">
      <x:c r="A15" s="260" t="str">
        <x:v>Bull subscription drivers sum</x:v>
      </x:c>
      <x:c r="B15" s="282" t="n">
        <x:f>'Assumptions'!D9</x:f>
        <x:v>0.2475</x:v>
      </x:c>
      <x:c r="C15" s="282" t="n">
        <x:f>SUM('Assumptions'!D5:D8)</x:f>
        <x:v>0.2475</x:v>
      </x:c>
      <x:c r="D15" s="282" t="n">
        <x:f>B15-C15</x:f>
        <x:v>0</x:v>
      </x:c>
      <x:c r="E15" s="282" t="n">
        <x:f>0.0001</x:f>
        <x:v>0.0001</x:v>
      </x:c>
      <x:c r="F15" s="235" t="str">
        <x:f>IF(ABS(D15)&lt;=E15,"OK","FAIL")</x:f>
        <x:v>OK</x:v>
      </x:c>
      <x:c r="G15" s="236" t="str">
        <x:v>Reported subscription growth equals its four visible drivers.</x:v>
      </x:c>
    </x:row>
    <x:row r="16">
      <x:c r="A16" s="260" t="str">
        <x:v>Bear cRPO recomputes</x:v>
      </x:c>
      <x:c r="B16" s="282" t="n">
        <x:f>'Forecast'!B9</x:f>
        <x:v>12885.599999999999</x:v>
      </x:c>
      <x:c r="C16" s="282" t="n">
        <x:f>'Historical Inputs'!D8*(1+'Assumptions'!B11)</x:f>
        <x:v>12885.599999999999</x:v>
      </x:c>
      <x:c r="D16" s="282" t="n">
        <x:f>B16-C16</x:f>
        <x:v>0</x:v>
      </x:c>
      <x:c r="E16" s="282" t="n">
        <x:f>0.01</x:f>
        <x:v>0.01</x:v>
      </x:c>
      <x:c r="F16" s="235" t="str">
        <x:f>IF(ABS(D16)&lt;=E16,"OK","FAIL")</x:f>
        <x:v>OK</x:v>
      </x:c>
      <x:c r="G16" s="236" t="str">
        <x:v>cRPO amount equals prior-year cRPO × stated reported growth.</x:v>
      </x:c>
    </x:row>
    <x:row r="17">
      <x:c r="A17" s="260" t="str">
        <x:v>Base cRPO recomputes</x:v>
      </x:c>
      <x:c r="B17" s="282" t="n">
        <x:f>'Forecast'!C9</x:f>
        <x:v>13049.400000000001</x:v>
      </x:c>
      <x:c r="C17" s="282" t="n">
        <x:f>'Historical Inputs'!D8*(1+'Assumptions'!C11)</x:f>
        <x:v>13049.400000000001</x:v>
      </x:c>
      <x:c r="D17" s="282" t="n">
        <x:f>B17-C17</x:f>
        <x:v>0</x:v>
      </x:c>
      <x:c r="E17" s="282" t="n">
        <x:f>0.01</x:f>
        <x:v>0.01</x:v>
      </x:c>
      <x:c r="F17" s="235" t="str">
        <x:f>IF(ABS(D17)&lt;=E17,"OK","FAIL")</x:f>
        <x:v>OK</x:v>
      </x:c>
      <x:c r="G17" s="236" t="str">
        <x:v>cRPO amount equals prior-year cRPO × stated reported growth.</x:v>
      </x:c>
    </x:row>
    <x:row r="18">
      <x:c r="A18" s="260" t="str">
        <x:v>Bull cRPO recomputes</x:v>
      </x:c>
      <x:c r="B18" s="282" t="n">
        <x:f>'Forecast'!D9</x:f>
        <x:v>13213.199999999999</x:v>
      </x:c>
      <x:c r="C18" s="282" t="n">
        <x:f>'Historical Inputs'!D8*(1+'Assumptions'!D11)</x:f>
        <x:v>13213.199999999999</x:v>
      </x:c>
      <x:c r="D18" s="282" t="n">
        <x:f>B18-C18</x:f>
        <x:v>0</x:v>
      </x:c>
      <x:c r="E18" s="282" t="n">
        <x:f>0.01</x:f>
        <x:v>0.01</x:v>
      </x:c>
      <x:c r="F18" s="235" t="str">
        <x:f>IF(ABS(D18)&lt;=E18,"OK","FAIL")</x:f>
        <x:v>OK</x:v>
      </x:c>
      <x:c r="G18" s="236" t="str">
        <x:v>cRPO amount equals prior-year cRPO × stated reported growth.</x:v>
      </x:c>
    </x:row>
    <x:row r="19">
      <x:c r="A19" s="261" t="str">
        <x:v>Company guide range is valid</x:v>
      </x:c>
      <x:c r="B19" s="283" t="n">
        <x:f>IF('Assumptions'!$B$15&lt;='Assumptions'!$B$16,1,0)</x:f>
        <x:v>1</x:v>
      </x:c>
      <x:c r="C19" s="283" t="n">
        <x:f>1</x:f>
        <x:v>1</x:v>
      </x:c>
      <x:c r="D19" s="283" t="n">
        <x:f>B19-C19</x:f>
        <x:v>0</x:v>
      </x:c>
      <x:c r="E19" s="283" t="n">
        <x:f>0</x:f>
        <x:v>0</x:v>
      </x:c>
      <x:c r="F19" s="263" t="str">
        <x:f>IF(ABS(D19)&lt;=E19,"OK","FAIL")</x:f>
        <x:v>OK</x:v>
      </x:c>
      <x:c r="G19" s="284" t="str">
        <x:v>Source-backed low guide cannot exceed high guide.</x:v>
      </x:c>
    </x:row>
    <x:row r="20">
      <x:c r="A20" s="225"/>
      <x:c r="B20" s="225"/>
      <x:c r="C20" s="225"/>
      <x:c r="D20" s="225"/>
      <x:c r="E20" s="225"/>
      <x:c r="F20" s="225"/>
      <x:c r="G20" s="225"/>
    </x:row>
    <x:row r="21">
      <x:c r="A21" s="285" t="str">
        <x:v>MODEL STATUS</x:v>
      </x:c>
      <x:c r="B21" s="286" t="str">
        <x:v>MODEL STATUS</x:v>
      </x:c>
      <x:c r="C21" s="286" t="str">
        <x:v>MODEL STATUS</x:v>
      </x:c>
      <x:c r="D21" s="286" t="str">
        <x:v>MODEL STATUS</x:v>
      </x:c>
      <x:c r="E21" s="286" t="str">
        <x:v>MODEL STATUS</x:v>
      </x:c>
      <x:c r="F21" s="286" t="str">
        <x:f>IF(COUNTIF(F5:F19,"FAIL")=0,"OK","FAIL")</x:f>
        <x:v>OK</x:v>
      </x:c>
      <x:c r="G21" s="287"/>
    </x:row>
  </x:sheetData>
  <x:mergeCells>
    <x:mergeCell ref="A1:G2"/>
    <x:mergeCell ref="A21:E21"/>
    <x:mergeCell ref="F21:G2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2" hidden="0" customWidth="1"/>
    <x:col min="3" max="3" width="22" hidden="0" customWidth="1"/>
    <x:col min="4" max="4" width="18" hidden="0" customWidth="1"/>
    <x:col min="5" max="5" width="72" hidden="0" customWidth="1"/>
    <x:col min="6" max="6" width="44" hidden="0" customWidth="1"/>
    <x:col min="7" max="7" width="24" hidden="0" customWidth="1"/>
  </x:cols>
  <x:sheetData>
    <x:row r="1" ht="30" customHeight="1">
      <x:c r="A1" s="4" t="str">
        <x:v>Sources, comparison data, and audit notes</x:v>
      </x:c>
      <x:c r="B1" s="4" t="str">
        <x:v>Sources, comparison data, and audit notes</x:v>
      </x:c>
      <x:c r="C1" s="4" t="str">
        <x:v>Sources, comparison data, and audit notes</x:v>
      </x:c>
      <x:c r="D1" s="4" t="str">
        <x:v>Sources, comparison data, and audit notes</x:v>
      </x:c>
      <x:c r="E1" s="4" t="str">
        <x:v>Sources, comparison data, and audit notes</x:v>
      </x:c>
      <x:c r="F1" s="4" t="str">
        <x:v>Sources, comparison data, and audit notes</x:v>
      </x:c>
      <x:c r="G1" s="4" t="str">
        <x:v>Sources, comparison data, and audit notes</x:v>
      </x:c>
    </x:row>
    <x:row r="2" ht="30" customHeight="1">
      <x:c r="A2" s="4" t="str">
        <x:v>Sources, comparison data, and audit notes</x:v>
      </x:c>
      <x:c r="B2" s="4" t="str">
        <x:v>Sources, comparison data, and audit notes</x:v>
      </x:c>
      <x:c r="C2" s="4" t="str">
        <x:v>Sources, comparison data, and audit notes</x:v>
      </x:c>
      <x:c r="D2" s="4" t="str">
        <x:v>Sources, comparison data, and audit notes</x:v>
      </x:c>
      <x:c r="E2" s="4" t="str">
        <x:v>Sources, comparison data, and audit notes</x:v>
      </x:c>
      <x:c r="F2" s="4" t="str">
        <x:v>Sources, comparison data, and audit notes</x:v>
      </x:c>
      <x:c r="G2" s="4" t="str">
        <x:v>Sources, comparison data, and audit notes</x:v>
      </x:c>
    </x:row>
    <x:row r="3">
      <x:c r="A3" s="225"/>
      <x:c r="B3" s="225"/>
      <x:c r="C3" s="225"/>
      <x:c r="D3" s="225"/>
      <x:c r="E3" s="225"/>
      <x:c r="F3" s="225"/>
      <x:c r="G3" s="225"/>
    </x:row>
    <x:row r="4">
      <x:c r="A4" s="257" t="str">
        <x:v>ID</x:v>
      </x:c>
      <x:c r="B4" s="258" t="str">
        <x:v>Source</x:v>
      </x:c>
      <x:c r="C4" s="258" t="str">
        <x:v>Publisher</x:v>
      </x:c>
      <x:c r="D4" s="258" t="str">
        <x:v>As of / period</x:v>
      </x:c>
      <x:c r="E4" s="258" t="str">
        <x:v>URL</x:v>
      </x:c>
      <x:c r="F4" s="258" t="str">
        <x:v>Used for</x:v>
      </x:c>
      <x:c r="G4" s="259" t="str">
        <x:v>Posture</x:v>
      </x:c>
    </x:row>
    <x:row r="5" ht="42" customHeight="1">
      <x:c r="A5" s="260" t="str">
        <x:v>S1</x:v>
      </x:c>
      <x:c r="B5" s="288" t="str">
        <x:v>Q2 2024 earnings release</x:v>
      </x:c>
      <x:c r="C5" s="288" t="str">
        <x:v>ServiceNow</x:v>
      </x:c>
      <x:c r="D5" s="289" t="str">
        <x:v>2024-06-30</x:v>
      </x:c>
      <x:c r="E5" s="288" t="str">
        <x:v>https://newsroom.servicenow.com/press-releases/details/2024/ServiceNow-Reports-Second-Quarter-2024-Financial-Results-07-24-2024-traffic/default.aspx</x:v>
      </x:c>
      <x:c r="F5" s="288" t="str">
        <x:v>Q2 historical revenue and cRPO</x:v>
      </x:c>
      <x:c r="G5" s="246" t="str">
        <x:v>Primary company source</x:v>
      </x:c>
    </x:row>
    <x:row r="6" ht="42" customHeight="1">
      <x:c r="A6" s="260" t="str">
        <x:v>S2</x:v>
      </x:c>
      <x:c r="B6" s="288" t="str">
        <x:v>Q2 2025 earnings release</x:v>
      </x:c>
      <x:c r="C6" s="288" t="str">
        <x:v>ServiceNow</x:v>
      </x:c>
      <x:c r="D6" s="289" t="str">
        <x:v>2025-06-30</x:v>
      </x:c>
      <x:c r="E6" s="288" t="str">
        <x:v>https://investor.servicenow.com/news/news-details/2025/ServiceNow-Reports-Second-Quarter-2025-Financial-Results/default.aspx</x:v>
      </x:c>
      <x:c r="F6" s="288" t="str">
        <x:v>Q2 historical revenue, cRPO, margin, net income</x:v>
      </x:c>
      <x:c r="G6" s="246" t="str">
        <x:v>Primary company source</x:v>
      </x:c>
    </x:row>
    <x:row r="7" ht="42" customHeight="1">
      <x:c r="A7" s="260" t="str">
        <x:v>S3</x:v>
      </x:c>
      <x:c r="B7" s="288" t="str">
        <x:v>Q4 and FY2025 earnings release</x:v>
      </x:c>
      <x:c r="C7" s="288" t="str">
        <x:v>ServiceNow</x:v>
      </x:c>
      <x:c r="D7" s="289" t="str">
        <x:v>2025-12-31</x:v>
      </x:c>
      <x:c r="E7" s="288" t="str">
        <x:v>https://investor.servicenow.com/news/news-details/2026/ServiceNow-Reports-Fourth-Quarter-and-Full-Year-2025-Financial-Results-Board-of-Directors-Authorizes-Additional-5B-for-Share-Repurchase-Program/default.aspx</x:v>
      </x:c>
      <x:c r="F7" s="288" t="str">
        <x:v>Q4 run-rate and split-adjusted profitability</x:v>
      </x:c>
      <x:c r="G7" s="246" t="str">
        <x:v>Primary company source</x:v>
      </x:c>
    </x:row>
    <x:row r="8" ht="42" customHeight="1">
      <x:c r="A8" s="260" t="str">
        <x:v>S4</x:v>
      </x:c>
      <x:c r="B8" s="288" t="str">
        <x:v>Q1 2026 earnings release</x:v>
      </x:c>
      <x:c r="C8" s="288" t="str">
        <x:v>ServiceNow</x:v>
      </x:c>
      <x:c r="D8" s="289" t="str">
        <x:v>2026-03-31</x:v>
      </x:c>
      <x:c r="E8" s="288" t="str">
        <x:v>https://investor.servicenow.com/news/news-details/2026/ServiceNow-Reports-First-Quarter-2026-Financial-Results/default.aspx</x:v>
      </x:c>
      <x:c r="F8" s="288" t="str">
        <x:v>Latest actuals, Q2 guidance, Armis/margin headwinds, cRPO-recognition caveat</x:v>
      </x:c>
      <x:c r="G8" s="246" t="str">
        <x:v>Primary company source</x:v>
      </x:c>
    </x:row>
    <x:row r="9" ht="42" customHeight="1">
      <x:c r="A9" s="260" t="str">
        <x:v>S5</x:v>
      </x:c>
      <x:c r="B9" s="288" t="str">
        <x:v>Q2 2026 earnings date announcement</x:v>
      </x:c>
      <x:c r="C9" s="288" t="str">
        <x:v>ServiceNow</x:v>
      </x:c>
      <x:c r="D9" s="289" t="str">
        <x:v>2026-07-01</x:v>
      </x:c>
      <x:c r="E9" s="288" t="str">
        <x:v>https://newsroom.servicenow.com/press-releases/details/2026/ServiceNow-to-Announce-Second-Quarter-2026-Financial-Results-on-July-22/default.aspx</x:v>
      </x:c>
      <x:c r="F9" s="288" t="str">
        <x:v>Event date and timing</x:v>
      </x:c>
      <x:c r="G9" s="246" t="str">
        <x:v>Primary company source</x:v>
      </x:c>
    </x:row>
    <x:row r="10" ht="42" customHeight="1">
      <x:c r="A10" s="261" t="str">
        <x:v>C1</x:v>
      </x:c>
      <x:c r="B10" s="290" t="str">
        <x:v>Q2 2026 consensus comparison</x:v>
      </x:c>
      <x:c r="C10" s="290" t="str">
        <x:v>MarketBeat / Zacks / Kiplinger</x:v>
      </x:c>
      <x:c r="D10" s="291" t="str">
        <x:v>2026-07-22 freeze</x:v>
      </x:c>
      <x:c r="E10" s="290" t="str">
        <x:v>https://www.marketbeat.com/instant-alerts/servicenow-now-expected-to-release-quarterly-earnings-on-wednesday-2026-07-15/</x:v>
      </x:c>
      <x:c r="F10" s="290" t="str">
        <x:v>$3.93bn revenue and $0.86 EPS comparison only</x:v>
      </x:c>
      <x:c r="G10" s="264" t="str">
        <x:v>Secondary; no forecast lineage</x:v>
      </x:c>
    </x:row>
    <x:row r="11">
      <x:c r="A11" s="225"/>
      <x:c r="B11" s="225"/>
      <x:c r="C11" s="225"/>
      <x:c r="D11" s="225"/>
      <x:c r="E11" s="225"/>
      <x:c r="F11" s="225"/>
      <x:c r="G11" s="225"/>
    </x:row>
    <x:row r="12" ht="34" customHeight="1">
      <x:c r="A12" s="95" t="str">
        <x:v>Freeze time: 2026-07-22 10:00 America/Chicago. Consensus is shown only as an external expectation bar and does not feed any forecast formula. No options, positioning, or price-reaction data are included; the workbook is an operating-results forecast, not a trade instruction.</x:v>
      </x:c>
      <x:c r="B12" s="95" t="str">
        <x:v>Freeze time: 2026-07-22 10:00 America/Chicago. Consensus is shown only as an external expectation bar and does not feed any forecast formula. No options, positioning, or price-reaction data are included; the workbook is an operating-results forecast, not a trade instruction.</x:v>
      </x:c>
      <x:c r="C12" s="95" t="str">
        <x:v>Freeze time: 2026-07-22 10:00 America/Chicago. Consensus is shown only as an external expectation bar and does not feed any forecast formula. No options, positioning, or price-reaction data are included; the workbook is an operating-results forecast, not a trade instruction.</x:v>
      </x:c>
      <x:c r="D12" s="95" t="str">
        <x:v>Freeze time: 2026-07-22 10:00 America/Chicago. Consensus is shown only as an external expectation bar and does not feed any forecast formula. No options, positioning, or price-reaction data are included; the workbook is an operating-results forecast, not a trade instruction.</x:v>
      </x:c>
      <x:c r="E12" s="95" t="str">
        <x:v>Freeze time: 2026-07-22 10:00 America/Chicago. Consensus is shown only as an external expectation bar and does not feed any forecast formula. No options, positioning, or price-reaction data are included; the workbook is an operating-results forecast, not a trade instruction.</x:v>
      </x:c>
      <x:c r="F12" s="95" t="str">
        <x:v>Freeze time: 2026-07-22 10:00 America/Chicago. Consensus is shown only as an external expectation bar and does not feed any forecast formula. No options, positioning, or price-reaction data are included; the workbook is an operating-results forecast, not a trade instruction.</x:v>
      </x:c>
      <x:c r="G12" s="95" t="str">
        <x:v>Freeze time: 2026-07-22 10:00 America/Chicago. Consensus is shown only as an external expectation bar and does not feed any forecast formula. No options, positioning, or price-reaction data are included; the workbook is an operating-results forecast, not a trade instruction.</x:v>
      </x:c>
    </x:row>
  </x:sheetData>
  <x:mergeCells>
    <x:mergeCell ref="A1:G2"/>
    <x:mergeCell ref="A12:G12"/>
  </x:mergeCells>
  <x:pageMargins left="0.7" right="0.7" top="0.75" bottom="0.75" header="0.3" footer="0.3"/>
</x:worksheet>
</file>