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Executive Summary" sheetId="2" state="visible" r:id="rId4"/>
    <sheet name="Control Panel" sheetId="3" state="visible" r:id="rId5"/>
    <sheet name="Historical Financials" sheetId="4" state="visible" r:id="rId6"/>
    <sheet name="Revenue Build" sheetId="5" state="visible" r:id="rId7"/>
    <sheet name="Margin Cost Build" sheetId="6" state="visible" r:id="rId8"/>
    <sheet name="Working Capital" sheetId="7" state="visible" r:id="rId9"/>
    <sheet name="Capex D&amp;A" sheetId="8" state="visible" r:id="rId10"/>
    <sheet name="Tax Schedule" sheetId="9" state="visible" r:id="rId11"/>
    <sheet name="Unlevered FCF" sheetId="10" state="visible" r:id="rId12"/>
    <sheet name="WACC" sheetId="11" state="visible" r:id="rId13"/>
    <sheet name="Terminal Value" sheetId="12" state="visible" r:id="rId14"/>
    <sheet name="DCF Valuation" sheetId="13" state="visible" r:id="rId15"/>
    <sheet name="Sensitivities" sheetId="14" state="visible" r:id="rId16"/>
    <sheet name="Checks" sheetId="15" state="visible" r:id="rId17"/>
    <sheet name="Source Not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<sst xmlns="http://schemas.openxmlformats.org/spreadsheetml/2006/main" count="646" uniqueCount="339">
  <si>
    <t xml:space="preserve">ServiceNow, Inc. (NOW) - DCF Valuation Workbook</t>
  </si>
  <si>
    <t xml:space="preserve">Investment snapshot</t>
  </si>
  <si>
    <t xml:space="preserve">Company</t>
  </si>
  <si>
    <t xml:space="preserve">ServiceNow, Inc. (NOW)</t>
  </si>
  <si>
    <t xml:space="preserve">Valuation story</t>
  </si>
  <si>
    <t xml:space="preserve">Valuation date</t>
  </si>
  <si>
    <t xml:space="preserve">2026-07-23</t>
  </si>
  <si>
    <t xml:space="preserve">Base value: $112.47, 15.5% above the $97.35 market snapshot.</t>
  </si>
  <si>
    <t xml:space="preserve">Model status</t>
  </si>
  <si>
    <t xml:space="preserve">screen-grade</t>
  </si>
  <si>
    <t xml:space="preserve">What spot implies: about 14.5% annual revenue growth if SBC-adjusted EBIT margin reaches 26%.</t>
  </si>
  <si>
    <t xml:space="preserve">Current / implied value per share</t>
  </si>
  <si>
    <t xml:space="preserve">Base variant: 17.6% revenue CAGR and SBC-adjusted EBIT margin rising from 16.5% to 26%.</t>
  </si>
  <si>
    <t xml:space="preserve">Base-case upside / downside</t>
  </si>
  <si>
    <t xml:space="preserve">Proof: cRPO holds near 20%, the 2030 subscription target stays credible, and SBC falls below 10% of revenue.</t>
  </si>
  <si>
    <t xml:space="preserve">WACC / terminal growth</t>
  </si>
  <si>
    <t xml:space="preserve">Break: growth falls below the market-implied path before margin expansion; downside value is $65.09.</t>
  </si>
  <si>
    <t xml:space="preserve">Posture: watchlist / starter only. Terminal value is 79% of enterprise value, so duration risk remains high.</t>
  </si>
  <si>
    <t xml:space="preserve">Navigation</t>
  </si>
  <si>
    <t xml:space="preserve">Executive Summary</t>
  </si>
  <si>
    <t xml:space="preserve">Control Panel</t>
  </si>
  <si>
    <t xml:space="preserve">Historical Financials</t>
  </si>
  <si>
    <t xml:space="preserve">Revenue Build</t>
  </si>
  <si>
    <t xml:space="preserve">Margin Cost Build</t>
  </si>
  <si>
    <t xml:space="preserve">Working Capital</t>
  </si>
  <si>
    <t xml:space="preserve">Capex D&amp;A</t>
  </si>
  <si>
    <t xml:space="preserve">Tax Schedule</t>
  </si>
  <si>
    <t xml:space="preserve">Unlevered FCF</t>
  </si>
  <si>
    <t xml:space="preserve">WACC</t>
  </si>
  <si>
    <t xml:space="preserve">Terminal Value</t>
  </si>
  <si>
    <t xml:space="preserve">DCF Valuation</t>
  </si>
  <si>
    <t xml:space="preserve">Sensitivities</t>
  </si>
  <si>
    <t xml:space="preserve">Checks</t>
  </si>
  <si>
    <t xml:space="preserve">Source Notes</t>
  </si>
  <si>
    <t xml:space="preserve">Key diligence warnings</t>
  </si>
  <si>
    <t xml:space="preserve">History coverage</t>
  </si>
  <si>
    <t xml:space="preserve">Only source-backed historical periods are shown; unavailable history is intentionally blank.</t>
  </si>
  <si>
    <t xml:space="preserve">Operating drivers</t>
  </si>
  <si>
    <t xml:space="preserve">Use sector-relevant KPI drivers where material; read Source Notes for disclosed proxies.</t>
  </si>
  <si>
    <t xml:space="preserve">Model checks</t>
  </si>
  <si>
    <t xml:space="preserve">Review Checks and Source Notes before using model outputs.</t>
  </si>
  <si>
    <t xml:space="preserve">Readiness</t>
  </si>
  <si>
    <t xml:space="preserve">Posture warning</t>
  </si>
  <si>
    <t xml:space="preserve">Screen-grade only; open assumptions or evidence gaps remain.</t>
  </si>
  <si>
    <t xml:space="preserve">Company name</t>
  </si>
  <si>
    <t xml:space="preserve">Currency / units</t>
  </si>
  <si>
    <t xml:space="preserve">Enterprise value</t>
  </si>
  <si>
    <t xml:space="preserve">Equity value</t>
  </si>
  <si>
    <t xml:space="preserve">Implied share price</t>
  </si>
  <si>
    <t xml:space="preserve">Current share price</t>
  </si>
  <si>
    <t xml:space="preserve">Upside / downside</t>
  </si>
  <si>
    <t xml:space="preserve">Base case implied valuation</t>
  </si>
  <si>
    <t xml:space="preserve">Downside case valuation</t>
  </si>
  <si>
    <t xml:space="preserve">Upside case valuation</t>
  </si>
  <si>
    <t xml:space="preserve">Recommendation placeholder</t>
  </si>
  <si>
    <t xml:space="preserve">Key value drivers</t>
  </si>
  <si>
    <t xml:space="preserve">Forecast revenue CAGR</t>
  </si>
  <si>
    <t xml:space="preserve">Terminal EBITDA margin</t>
  </si>
  <si>
    <t xml:space="preserve">Selected WACC</t>
  </si>
  <si>
    <t xml:space="preserve">Terminal growth rate</t>
  </si>
  <si>
    <t xml:space="preserve">Terminal value % of EV</t>
  </si>
  <si>
    <t xml:space="preserve">Main risks and open diligence</t>
  </si>
  <si>
    <t xml:space="preserve">Risk 1</t>
  </si>
  <si>
    <t xml:space="preserve">Add source-backed multi-year history before relying on trend conclusions.</t>
  </si>
  <si>
    <t xml:space="preserve">Risk 2</t>
  </si>
  <si>
    <t xml:space="preserve">Confirm WACC market inputs as of valuation date.</t>
  </si>
  <si>
    <t xml:space="preserve">Risk 3</t>
  </si>
  <si>
    <t xml:space="preserve">Validate terminal growth, exit multiple, and terminal ROIC support.</t>
  </si>
  <si>
    <t xml:space="preserve">Risk 4</t>
  </si>
  <si>
    <t xml:space="preserve">Review NOLs, SBC, leases, pensions, minorities, and debt-like items where material.</t>
  </si>
  <si>
    <t xml:space="preserve">Model identity and switches</t>
  </si>
  <si>
    <t xml:space="preserve">ServiceNow, Inc.</t>
  </si>
  <si>
    <t xml:space="preserve">Currency</t>
  </si>
  <si>
    <t xml:space="preserve">USD</t>
  </si>
  <si>
    <t xml:space="preserve">Units</t>
  </si>
  <si>
    <t xml:space="preserve">$mm except per-share data</t>
  </si>
  <si>
    <t xml:space="preserve">Workbook mode</t>
  </si>
  <si>
    <t xml:space="preserve">banker_formula_workbook</t>
  </si>
  <si>
    <t xml:space="preserve">Scenario selection</t>
  </si>
  <si>
    <t xml:space="preserve">Base</t>
  </si>
  <si>
    <t xml:space="preserve">Mid-year convention</t>
  </si>
  <si>
    <t xml:space="preserve">No</t>
  </si>
  <si>
    <t xml:space="preserve">Selected terminal value method</t>
  </si>
  <si>
    <t xml:space="preserve">Gordon Growth</t>
  </si>
  <si>
    <t xml:space="preserve">Other revenue growth factor</t>
  </si>
  <si>
    <t xml:space="preserve">Gross profit bridge / revenue</t>
  </si>
  <si>
    <t xml:space="preserve">Scenario assumptions</t>
  </si>
  <si>
    <t xml:space="preserve">Case / metric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</si>
  <si>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</si>
  <si>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</si>
  <si>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</si>
  <si>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</si>
  <si>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</si>
  <si>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</si>
  <si>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Revenue growth assumptions</t>
  </si>
  <si>
    <t xml:space="preserve">Downside</t>
  </si>
  <si>
    <t xml:space="preserve">Upside</t>
  </si>
  <si>
    <t xml:space="preserve">EBITDA margin assumptions</t>
  </si>
  <si>
    <t xml:space="preserve">EBIT margin reference assumptions</t>
  </si>
  <si>
    <t xml:space="preserve">D&amp;A % revenue assumptions</t>
  </si>
  <si>
    <t xml:space="preserve">Capex % revenue assumptions</t>
  </si>
  <si>
    <t xml:space="preserve">Operating NWC % revenue assumptions</t>
  </si>
  <si>
    <t xml:space="preserve">Book tax rate assumptions</t>
  </si>
  <si>
    <t xml:space="preserve">Cash tax rate assumptions</t>
  </si>
  <si>
    <t xml:space="preserve">Working-capital driver assumptions</t>
  </si>
  <si>
    <t xml:space="preserve">AR % revenue</t>
  </si>
  <si>
    <t xml:space="preserve">Inventory % revenue</t>
  </si>
  <si>
    <t xml:space="preserve">AP % revenue</t>
  </si>
  <si>
    <t xml:space="preserve">Other current assets % revenue</t>
  </si>
  <si>
    <t xml:space="preserve">Other current liabilities % revenue</t>
  </si>
  <si>
    <t xml:space="preserve">WACC inputs and selected WACC</t>
  </si>
  <si>
    <t xml:space="preserve">Risk-free rate</t>
  </si>
  <si>
    <t xml:space="preserve">Beta</t>
  </si>
  <si>
    <t xml:space="preserve">Market risk premium</t>
  </si>
  <si>
    <t xml:space="preserve">Size premium</t>
  </si>
  <si>
    <t xml:space="preserve">Pre-tax cost of debt</t>
  </si>
  <si>
    <t xml:space="preserve">Target debt / total capital</t>
  </si>
  <si>
    <t xml:space="preserve">Target equity / total capital</t>
  </si>
  <si>
    <t xml:space="preserve">Use WACC override?</t>
  </si>
  <si>
    <t xml:space="preserve">WACC override</t>
  </si>
  <si>
    <t xml:space="preserve">External link status</t>
  </si>
  <si>
    <t xml:space="preserve">No external links</t>
  </si>
  <si>
    <t xml:space="preserve">Terminal value and EV-to-equity bridge</t>
  </si>
  <si>
    <t xml:space="preserve">Exit multiple</t>
  </si>
  <si>
    <t xml:space="preserve">Net debt</t>
  </si>
  <si>
    <t xml:space="preserve">Diluted shares</t>
  </si>
  <si>
    <t xml:space="preserve">Minority interest</t>
  </si>
  <si>
    <t xml:space="preserve">Preferred stock</t>
  </si>
  <si>
    <t xml:space="preserve">Non-operating assets</t>
  </si>
  <si>
    <t xml:space="preserve">Other equity adjustments</t>
  </si>
  <si>
    <t xml:space="preserve">Fiscal year</t>
  </si>
  <si>
    <t xml:space="preserve">N/A</t>
  </si>
  <si>
    <t xml:space="preserve">2025A</t>
  </si>
  <si>
    <t xml:space="preserve">Source label</t>
  </si>
  <si>
    <t xml:space="preserve">Notes</t>
  </si>
  <si>
    <t xml:space="preserve">Revenue</t>
  </si>
  <si>
    <t xml:space="preserve">derived</t>
  </si>
  <si>
    <t xml:space="preserve">Latest historical year populated from plan.json; add multi-year sourced history before circulation.</t>
  </si>
  <si>
    <t xml:space="preserve">Revenue growth</t>
  </si>
  <si>
    <t xml:space="preserve">-</t>
  </si>
  <si>
    <t xml:space="preserve">Formula-derived</t>
  </si>
  <si>
    <t xml:space="preserve">Gross profit (not modeled)</t>
  </si>
  <si>
    <t xml:space="preserve">not modeled</t>
  </si>
  <si>
    <t xml:space="preserve">Not used in valuation; no cost-of-revenue forecast was modeled.</t>
  </si>
  <si>
    <t xml:space="preserve">Gross margin (not modeled)</t>
  </si>
  <si>
    <t xml:space="preserve">EBITDA</t>
  </si>
  <si>
    <t xml:space="preserve">EBITDA margin</t>
  </si>
  <si>
    <t xml:space="preserve">D&amp;A</t>
  </si>
  <si>
    <t xml:space="preserve">EBIT</t>
  </si>
  <si>
    <t xml:space="preserve">EBIT margin</t>
  </si>
  <si>
    <t xml:space="preserve">Taxes</t>
  </si>
  <si>
    <t xml:space="preserve">Net income</t>
  </si>
  <si>
    <t xml:space="preserve">not provided</t>
  </si>
  <si>
    <t xml:space="preserve">Net income was not supplied for this FCFF historical display.</t>
  </si>
  <si>
    <t xml:space="preserve">Capex</t>
  </si>
  <si>
    <t xml:space="preserve">Operating NWC</t>
  </si>
  <si>
    <t xml:space="preserve">Change in NWC</t>
  </si>
  <si>
    <t xml:space="preserve">PP&amp;E</t>
  </si>
  <si>
    <t xml:space="preserve">Scenario-linked revenue forecast</t>
  </si>
  <si>
    <t xml:space="preserve">Selected scenario</t>
  </si>
  <si>
    <t xml:space="preserve">Actual</t>
  </si>
  <si>
    <t xml:space="preserve">Revenue growth assumption</t>
  </si>
  <si>
    <t xml:space="preserve">Core revenue</t>
  </si>
  <si>
    <t xml:space="preserve">Other revenue</t>
  </si>
  <si>
    <t xml:space="preserve">Segment mix / driver placeholder</t>
  </si>
  <si>
    <t xml:space="preserve">Output revenue</t>
  </si>
  <si>
    <t xml:space="preserve">Output revenue growth</t>
  </si>
  <si>
    <t xml:space="preserve">Margin / Cost Build</t>
  </si>
  <si>
    <t xml:space="preserve">Operating profitability</t>
  </si>
  <si>
    <t xml:space="preserve">EBITDA margin assumption</t>
  </si>
  <si>
    <t xml:space="preserve">D&amp;A % revenue</t>
  </si>
  <si>
    <t xml:space="preserve">Margin expansion / compression vs prior year</t>
  </si>
  <si>
    <t xml:space="preserve">Cash taxes</t>
  </si>
  <si>
    <t xml:space="preserve">Operating working capital</t>
  </si>
  <si>
    <t xml:space="preserve">Accounts receivable</t>
  </si>
  <si>
    <t xml:space="preserve">Inventory</t>
  </si>
  <si>
    <t xml:space="preserve">Accounts payable</t>
  </si>
  <si>
    <t xml:space="preserve">Other current assets / liabilities net</t>
  </si>
  <si>
    <t xml:space="preserve">NWC % revenue</t>
  </si>
  <si>
    <t xml:space="preserve">Cash flow impact of NWC</t>
  </si>
  <si>
    <t xml:space="preserve">Capex and D&amp;A</t>
  </si>
  <si>
    <t xml:space="preserve">Capital expenditure and depreciation schedule</t>
  </si>
  <si>
    <t xml:space="preserve">Capex % revenue</t>
  </si>
  <si>
    <t xml:space="preserve">Beginning PP&amp;E</t>
  </si>
  <si>
    <t xml:space="preserve">n.m.</t>
  </si>
  <si>
    <t xml:space="preserve">Ending PP&amp;E</t>
  </si>
  <si>
    <t xml:space="preserve">D&amp;A % beginning PP&amp;E</t>
  </si>
  <si>
    <t xml:space="preserve">Book and cash tax calculation</t>
  </si>
  <si>
    <t xml:space="preserve">Statutory tax rate</t>
  </si>
  <si>
    <t xml:space="preserve">Cash tax rate</t>
  </si>
  <si>
    <t xml:space="preserve">NOL usage placeholder</t>
  </si>
  <si>
    <t xml:space="preserve">Deferred tax placeholder</t>
  </si>
  <si>
    <t xml:space="preserve">Tax warning / simplified treatment</t>
  </si>
  <si>
    <t xml:space="preserve">Replace placeholder NOL/deferred tax logic where material</t>
  </si>
  <si>
    <t xml:space="preserve">Simplified cash tax schedule; add NOL detail if material</t>
  </si>
  <si>
    <t xml:space="preserve">Unlevered Free Cash Flow</t>
  </si>
  <si>
    <t xml:space="preserve">Core DCF cash flows</t>
  </si>
  <si>
    <t xml:space="preserve">Less: cash taxes</t>
  </si>
  <si>
    <t xml:space="preserve">NOPAT</t>
  </si>
  <si>
    <t xml:space="preserve">Plus: D&amp;A</t>
  </si>
  <si>
    <t xml:space="preserve">Less: Capex</t>
  </si>
  <si>
    <t xml:space="preserve">Less: Change in NWC</t>
  </si>
  <si>
    <t xml:space="preserve">Unlevered free cash flow</t>
  </si>
  <si>
    <t xml:space="preserve">Discount period</t>
  </si>
  <si>
    <t xml:space="preserve">n/a</t>
  </si>
  <si>
    <t xml:space="preserve">Discount factor</t>
  </si>
  <si>
    <t xml:space="preserve">Present value of FCF</t>
  </si>
  <si>
    <t xml:space="preserve">Weighted Average Cost of Capital</t>
  </si>
  <si>
    <t xml:space="preserve">Cost of equity</t>
  </si>
  <si>
    <t xml:space="preserve">Source / calculation basis</t>
  </si>
  <si>
    <t xml:space="preserve">placeholder</t>
  </si>
  <si>
    <t xml:space="preserve">Cost of debt and capital structure</t>
  </si>
  <si>
    <t xml:space="preserve">Tax rate</t>
  </si>
  <si>
    <t xml:space="preserve">After-tax cost of debt</t>
  </si>
  <si>
    <t xml:space="preserve">Target debt / capital</t>
  </si>
  <si>
    <t xml:space="preserve">Target equity / capital</t>
  </si>
  <si>
    <t xml:space="preserve">WACC formula check</t>
  </si>
  <si>
    <t xml:space="preserve">Calculated WACC</t>
  </si>
  <si>
    <t xml:space="preserve">Source notes</t>
  </si>
  <si>
    <t xml:space="preserve">Risk-free source</t>
  </si>
  <si>
    <t xml:space="preserve">Market data confidence</t>
  </si>
  <si>
    <t xml:space="preserve">WACC caveat</t>
  </si>
  <si>
    <t xml:space="preserve">Replace illustrative assumptions with market data as of valuation date</t>
  </si>
  <si>
    <t xml:space="preserve">Terminal value calculation</t>
  </si>
  <si>
    <t xml:space="preserve">Selected method</t>
  </si>
  <si>
    <t xml:space="preserve">Terminal EBITDA</t>
  </si>
  <si>
    <t xml:space="preserve">Terminal FCF</t>
  </si>
  <si>
    <t xml:space="preserve">Gordon growth terminal value</t>
  </si>
  <si>
    <t xml:space="preserve">Exit multiple terminal value</t>
  </si>
  <si>
    <t xml:space="preserve">Selected terminal value</t>
  </si>
  <si>
    <t xml:space="preserve">Terminal discount factor</t>
  </si>
  <si>
    <t xml:space="preserve">PV of terminal value</t>
  </si>
  <si>
    <t xml:space="preserve">Implied terminal EBITDA multiple</t>
  </si>
  <si>
    <t xml:space="preserve">Implied terminal FCF yield</t>
  </si>
  <si>
    <t xml:space="preserve">Implied perpetual growth cross-check</t>
  </si>
  <si>
    <t xml:space="preserve">Terminal value sanity checks</t>
  </si>
  <si>
    <t xml:space="preserve">Terminal value / enterprise value</t>
  </si>
  <si>
    <t xml:space="preserve">Growth below WACC</t>
  </si>
  <si>
    <t xml:space="preserve">Positive selected terminal value</t>
  </si>
  <si>
    <t xml:space="preserve">PV of forecast FCF</t>
  </si>
  <si>
    <t xml:space="preserve">Terminal value % of enterprise value</t>
  </si>
  <si>
    <t xml:space="preserve">Enterprise value check</t>
  </si>
  <si>
    <t xml:space="preserve">EV-to-equity bridge</t>
  </si>
  <si>
    <t xml:space="preserve">Less: net debt</t>
  </si>
  <si>
    <t xml:space="preserve">Less: minority interest</t>
  </si>
  <si>
    <t xml:space="preserve">Less: preferred stock</t>
  </si>
  <si>
    <t xml:space="preserve">Plus: non-operating assets</t>
  </si>
  <si>
    <t xml:space="preserve">Implied EV / EBITDA</t>
  </si>
  <si>
    <t xml:space="preserve">Implied FCF yield</t>
  </si>
  <si>
    <t xml:space="preserve">Implied share price by WACC and terminal growth</t>
  </si>
  <si>
    <t xml:space="preserve">Terminal growth</t>
  </si>
  <si>
    <t xml:space="preserve">Implied share price by WACC and exit multiple</t>
  </si>
  <si>
    <t xml:space="preserve">Enterprise value by revenue CAGR and EBITDA margin</t>
  </si>
  <si>
    <t xml:space="preserve">Equity value by WACC and terminal growth</t>
  </si>
  <si>
    <t xml:space="preserve">Upside / downside by WACC and terminal growth</t>
  </si>
  <si>
    <t xml:space="preserve">Base / downside / upside case matrix</t>
  </si>
  <si>
    <t xml:space="preserve">Case</t>
  </si>
  <si>
    <t xml:space="preserve">Revenue CAGR</t>
  </si>
  <si>
    <t xml:space="preserve">Model Integrity Checks</t>
  </si>
  <si>
    <t xml:space="preserve">Check</t>
  </si>
  <si>
    <t xml:space="preserve">Formula / tie-out</t>
  </si>
  <si>
    <t xml:space="preserve">Status</t>
  </si>
  <si>
    <t xml:space="preserve">Severity</t>
  </si>
  <si>
    <t xml:space="preserve">Owner</t>
  </si>
  <si>
    <t xml:space="preserve">Revenue forecast ties</t>
  </si>
  <si>
    <t xml:space="preserve">Revenue Build output ties to Margin Cost Build</t>
  </si>
  <si>
    <t xml:space="preserve">Hard failure</t>
  </si>
  <si>
    <t xml:space="preserve">Model owner</t>
  </si>
  <si>
    <t xml:space="preserve">EBITDA ties</t>
  </si>
  <si>
    <t xml:space="preserve">EBITDA equals revenue times EBITDA margin</t>
  </si>
  <si>
    <t xml:space="preserve">D&amp;A ties to Capex / D&amp;A tab</t>
  </si>
  <si>
    <t xml:space="preserve">Change in NWC ties</t>
  </si>
  <si>
    <t xml:space="preserve">Change in NWC ties to Working Capital</t>
  </si>
  <si>
    <t xml:space="preserve">Unlevered FCF ties</t>
  </si>
  <si>
    <t xml:space="preserve">FCF formula integrity</t>
  </si>
  <si>
    <t xml:space="preserve">Discount factors are positive</t>
  </si>
  <si>
    <t xml:space="preserve">Discount factors must be positive</t>
  </si>
  <si>
    <t xml:space="preserve">Terminal value is positive</t>
  </si>
  <si>
    <t xml:space="preserve">Selected terminal value must be positive</t>
  </si>
  <si>
    <t xml:space="preserve">Enterprise value equals PV FCF + PV terminal value</t>
  </si>
  <si>
    <t xml:space="preserve">Enterprise value ties</t>
  </si>
  <si>
    <t xml:space="preserve">Equity bridge ties</t>
  </si>
  <si>
    <t xml:space="preserve">EV-to-equity bridge ties</t>
  </si>
  <si>
    <t xml:space="preserve">Share price calculation ties</t>
  </si>
  <si>
    <t xml:space="preserve">Implied share price ties</t>
  </si>
  <si>
    <t xml:space="preserve">No missing scenario selection</t>
  </si>
  <si>
    <t xml:space="preserve">Scenario selection must be valid</t>
  </si>
  <si>
    <t xml:space="preserve">Validated by builder and tests</t>
  </si>
  <si>
    <t xml:space="preserve">Formula directionality - WACC sensitivity</t>
  </si>
  <si>
    <t xml:space="preserve">Share price should decrease as WACC increases</t>
  </si>
  <si>
    <t xml:space="preserve">Warning</t>
  </si>
  <si>
    <t xml:space="preserve">Terminal growth directionality</t>
  </si>
  <si>
    <t xml:space="preserve">Share price should increase as terminal growth increases</t>
  </si>
  <si>
    <t xml:space="preserve">Diluted shares positive</t>
  </si>
  <si>
    <t xml:space="preserve">Share count must be positive</t>
  </si>
  <si>
    <t xml:space="preserve">WACC greater than terminal growth</t>
  </si>
  <si>
    <t xml:space="preserve">Gordon growth requires WACC &gt; g</t>
  </si>
  <si>
    <t xml:space="preserve">Ending PP&amp;E non-negative when roll-forward modeled</t>
  </si>
  <si>
    <t xml:space="preserve">A source-backed PP&amp;E roll-forward must not project negative assets</t>
  </si>
  <si>
    <t xml:space="preserve">Hard failure when modeled</t>
  </si>
  <si>
    <t xml:space="preserve">Source labels present</t>
  </si>
  <si>
    <t xml:space="preserve">Source notes and confidence labels are required</t>
  </si>
  <si>
    <t xml:space="preserve">Source Notes and Evidence Tracking</t>
  </si>
  <si>
    <t xml:space="preserve">Input area</t>
  </si>
  <si>
    <t xml:space="preserve">Source</t>
  </si>
  <si>
    <t xml:space="preserve">Evidence label</t>
  </si>
  <si>
    <t xml:space="preserve">As-of date</t>
  </si>
  <si>
    <t xml:space="preserve">Confidence</t>
  </si>
  <si>
    <t xml:space="preserve">Notes / diligence items</t>
  </si>
  <si>
    <t xml:space="preserve">Historical financials</t>
  </si>
  <si>
    <t xml:space="preserve">ServiceNow FY2025 Form 10-K</t>
  </si>
  <si>
    <t xml:space="preserve">2025-12-31</t>
  </si>
  <si>
    <t xml:space="preserve">High</t>
  </si>
  <si>
    <t xml:space="preserve">Revenue, non-GAAP operating income, SBC, D&amp;A, capex, cash flow, deferred revenue, and other working-capital inputs are from the filing. Owner FCFF treats SBC as an economic expense. https://www.sec.gov/Archives/edgar/data/1373715/000137371526000007/now-20251231.htm</t>
  </si>
  <si>
    <t xml:space="preserve">Reviewed</t>
  </si>
  <si>
    <t xml:space="preserve">Forecast assumptions</t>
  </si>
  <si>
    <t xml:space="preserve">Analyst operating cases anchored to ServiceNow Q2 2026 results, FY2026 guidance, and 2030 targets</t>
  </si>
  <si>
    <t xml:space="preserve">analyst_estimate</t>
  </si>
  <si>
    <t xml:space="preserve">Medium</t>
  </si>
  <si>
    <t xml:space="preserve">No consensus estimates are used. Revenue growth is anchored to Q2 cRPO growth, FY2026 subscription guidance, and the company's $30bn+ 2030 subscription revenue target. Margin cases deduct SBC as an economic cost. https://investor.servicenow.com/news/news-details/2026/ServiceNow-Reports-Second-Quarter-2026-Financial-Results/default.aspx</t>
  </si>
  <si>
    <t xml:space="preserve">Open</t>
  </si>
  <si>
    <t xml:space="preserve">WACC assumptions</t>
  </si>
  <si>
    <t xml:space="preserve">10-year Treasury, observed beta, and analyst ERP/company-risk assumptions</t>
  </si>
  <si>
    <t xml:space="preserve">Risk-free rate is the 10-year Treasury yield; beta is a current public market-data observation. ERP and company-specific premium are analyst assumptions. https://home.treasury.gov/resource-center/data-chart-center/interest-rates/TextView?field_tdr_date_value=2026&amp;type=daily_treasury_yield_curve ; https://stockanalysis.com/stocks/now/</t>
  </si>
  <si>
    <t xml:space="preserve">Terminal value</t>
  </si>
  <si>
    <t xml:space="preserve">Analyst long-run nominal growth framework</t>
  </si>
  <si>
    <t xml:space="preserve">Perpetual growth is scenario-based and remains below the scenario discount rate. The sensitivity grid shows the concentration of value in terminal assumptions.</t>
  </si>
  <si>
    <t xml:space="preserve">ServiceNow Q2 2026 earnings release balance sheet</t>
  </si>
  <si>
    <t xml:space="preserve">reported</t>
  </si>
  <si>
    <t xml:space="preserve">2026-06-30</t>
  </si>
  <si>
    <t xml:space="preserve">Cash plus current and long-term marketable securities is $6,707mm; short- and long-term debt is $7,517mm. Strategic investments are excluded from the bridge. https://investor.servicenow.com/news/news-details/2026/ServiceNow-Reports-Second-Quarter-2026-Financial-Results/default.aspx</t>
  </si>
  <si>
    <t xml:space="preserve">ServiceNow Q2 2026 earnings release</t>
  </si>
  <si>
    <t xml:space="preserve">Q2 2026 diluted weighted-average shares were 1,034mm after the five-for-one split. https://investor.servicenow.com/news/news-details/2026/ServiceNow-Reports-Second-Quarter-2026-Financial-Results/default.aspx</t>
  </si>
  <si>
    <t xml:space="preserve">NOW real-time market snapshot</t>
  </si>
  <si>
    <t xml:space="preserve">web_research</t>
  </si>
  <si>
    <t xml:space="preserve">Observed share price was $97.35 at 10:12 a.m. EDT on July 23, 2026. This short-lived market-data input is used only for comparison and the reverse DCF. https://stockanalysis.com/stocks/now/</t>
  </si>
  <si>
    <t xml:space="preserve">Segment assumptions</t>
  </si>
  <si>
    <t xml:space="preserve">Plan schema</t>
  </si>
  <si>
    <t xml:space="preserve">Forecast begins from total revenue unless a sector-relevant operating-driver schedule is provided; disclose any KPI proxy used for valuation.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</si>
</sst>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;[RED]&quot;($&quot;#,##0.0\);\-"/>
    <numFmt numFmtId="166" formatCode="\$#,##0.00;[RED]&quot;($&quot;#,##0.00\);\-"/>
    <numFmt numFmtId="167" formatCode="0.0%"/>
    <numFmt numFmtId="168" formatCode="0.00\x"/>
    <numFmt numFmtId="169" formatCode="0.0\x"/>
    <numFmt numFmtId="170" formatCode="#,##0.0"/>
    <numFmt numFmtId="171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2F4F7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FFFFFF"/>
        <bgColor rgb="FFF2F4F7"/>
      </patternFill>
    </fill>
    <fill>
      <patternFill patternType="solid">
        <fgColor rgb="FFFFF2CC"/>
        <bgColor rgb="FFF2F4F7"/>
      </patternFill>
    </fill>
    <fill>
      <patternFill patternType="solid">
        <fgColor rgb="FFD9EAF7"/>
        <bgColor rgb="FFD9E1F2"/>
      </patternFill>
    </fill>
    <fill>
      <patternFill patternType="solid">
        <fgColor rgb="FFD9E1F2"/>
        <bgColor rgb="FFD9EA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medium">
        <color rgb="FF1F4E78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F4E78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8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8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9" fillId="8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9" fillId="8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7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7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7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6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9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7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1" fontId="7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8" min="3" style="1" width="1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4" t="s">
        <v>2</v>
      </c>
      <c r="B4" s="5" t="s">
        <v>3</v>
      </c>
      <c r="D4" s="3" t="s">
        <v>4</v>
      </c>
      <c r="E4" s="3"/>
      <c r="F4" s="3"/>
      <c r="G4" s="3"/>
      <c r="H4" s="3"/>
    </row>
    <row r="5" customFormat="false" ht="24" hidden="false" customHeight="true" outlineLevel="0" collapsed="false">
      <c r="A5" s="4" t="s">
        <v>5</v>
      </c>
      <c r="B5" s="6" t="s">
        <v>6</v>
      </c>
      <c r="D5" s="7" t="s">
        <v>7</v>
      </c>
      <c r="E5" s="7"/>
      <c r="F5" s="7"/>
      <c r="G5" s="7"/>
      <c r="H5" s="7"/>
    </row>
    <row r="6" customFormat="false" ht="30" hidden="false" customHeight="true" outlineLevel="0" collapsed="false">
      <c r="A6" s="4" t="s">
        <v>8</v>
      </c>
      <c r="B6" s="5" t="s">
        <v>9</v>
      </c>
      <c r="D6" s="8" t="s">
        <v>10</v>
      </c>
      <c r="E6" s="8"/>
      <c r="F6" s="8"/>
      <c r="G6" s="8"/>
      <c r="H6" s="8"/>
    </row>
    <row r="7" customFormat="false" ht="30" hidden="false" customHeight="true" outlineLevel="0" collapsed="false">
      <c r="A7" s="4" t="s">
        <v>11</v>
      </c>
      <c r="B7" s="5" t="str">
        <f aca="false">TEXT('Executive Summary'!B10,"$#,##0.00")&amp;" / "&amp;TEXT('Executive Summary'!B9,"$#,##0.00")</f>
        <v>$97.35 / $112.47</v>
      </c>
      <c r="D7" s="8" t="s">
        <v>12</v>
      </c>
      <c r="E7" s="8"/>
      <c r="F7" s="8"/>
      <c r="G7" s="8"/>
      <c r="H7" s="8"/>
    </row>
    <row r="8" customFormat="false" ht="34" hidden="false" customHeight="true" outlineLevel="0" collapsed="false">
      <c r="A8" s="4" t="s">
        <v>13</v>
      </c>
      <c r="B8" s="6" t="str">
        <f aca="false">TEXT('Executive Summary'!B11,"0.0%")</f>
        <v>15.5%</v>
      </c>
      <c r="D8" s="8" t="s">
        <v>14</v>
      </c>
      <c r="E8" s="8"/>
      <c r="F8" s="8"/>
      <c r="G8" s="8"/>
      <c r="H8" s="8"/>
    </row>
    <row r="9" customFormat="false" ht="30" hidden="false" customHeight="true" outlineLevel="0" collapsed="false">
      <c r="A9" s="4" t="s">
        <v>15</v>
      </c>
      <c r="B9" s="6" t="str">
        <f aca="false">TEXT('Control Panel'!B78,"0.0%")&amp;" / "&amp;TEXT('Control Panel'!B83,"0.0%")</f>
        <v>8.6% / 3.0%</v>
      </c>
      <c r="D9" s="8" t="s">
        <v>16</v>
      </c>
      <c r="E9" s="8"/>
      <c r="F9" s="8"/>
      <c r="G9" s="8"/>
      <c r="H9" s="8"/>
    </row>
    <row r="10" customFormat="false" ht="34" hidden="false" customHeight="true" outlineLevel="0" collapsed="false">
      <c r="D10" s="7" t="s">
        <v>17</v>
      </c>
      <c r="E10" s="7"/>
      <c r="F10" s="7"/>
      <c r="G10" s="7"/>
      <c r="H10" s="7"/>
    </row>
    <row r="12" customFormat="false" ht="15" hidden="false" customHeight="true" outlineLevel="0" collapsed="false">
      <c r="A12" s="3" t="s">
        <v>18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9" t="s">
        <v>19</v>
      </c>
      <c r="B13" s="10" t="str">
        <f aca="false">HYPERLINK("#'Executive Summary'!A1","Open Executive Summary")</f>
        <v>Open Executive Summary</v>
      </c>
    </row>
    <row r="14" customFormat="false" ht="15" hidden="false" customHeight="false" outlineLevel="0" collapsed="false">
      <c r="A14" s="9" t="s">
        <v>20</v>
      </c>
      <c r="B14" s="10" t="str">
        <f aca="false">HYPERLINK("#'Control Panel'!A1","Open Control Panel")</f>
        <v>Open Control Panel</v>
      </c>
    </row>
    <row r="15" customFormat="false" ht="15" hidden="false" customHeight="false" outlineLevel="0" collapsed="false">
      <c r="A15" s="11" t="s">
        <v>21</v>
      </c>
      <c r="B15" s="10" t="str">
        <f aca="false">HYPERLINK("#'Historical Financials'!A1","Open Historical Financials")</f>
        <v>Open Historical Financials</v>
      </c>
    </row>
    <row r="16" customFormat="false" ht="15" hidden="false" customHeight="false" outlineLevel="0" collapsed="false">
      <c r="A16" s="11" t="s">
        <v>22</v>
      </c>
      <c r="B16" s="10" t="str">
        <f aca="false">HYPERLINK("#'Revenue Build'!A1","Open Revenue Build")</f>
        <v>Open Revenue Build</v>
      </c>
    </row>
    <row r="17" customFormat="false" ht="15" hidden="false" customHeight="false" outlineLevel="0" collapsed="false">
      <c r="A17" s="11" t="s">
        <v>23</v>
      </c>
      <c r="B17" s="10" t="str">
        <f aca="false">HYPERLINK("#'Margin Cost Build'!A1","Open Margin Cost Build")</f>
        <v>Open Margin Cost Build</v>
      </c>
    </row>
    <row r="18" customFormat="false" ht="15" hidden="false" customHeight="false" outlineLevel="0" collapsed="false">
      <c r="A18" s="11" t="s">
        <v>24</v>
      </c>
      <c r="B18" s="10" t="str">
        <f aca="false">HYPERLINK("#'Working Capital'!A1","Open Working Capital")</f>
        <v>Open Working Capital</v>
      </c>
    </row>
    <row r="19" customFormat="false" ht="15" hidden="false" customHeight="false" outlineLevel="0" collapsed="false">
      <c r="A19" s="11" t="s">
        <v>25</v>
      </c>
      <c r="B19" s="10" t="str">
        <f aca="false">HYPERLINK("#'Capex D&amp;A'!A1","Open Capex D&amp;A")</f>
        <v>Open Capex D&amp;A</v>
      </c>
    </row>
    <row r="20" customFormat="false" ht="15" hidden="false" customHeight="false" outlineLevel="0" collapsed="false">
      <c r="A20" s="11" t="s">
        <v>26</v>
      </c>
      <c r="B20" s="10" t="str">
        <f aca="false">HYPERLINK("#'Tax Schedule'!A1","Open Tax Schedule")</f>
        <v>Open Tax Schedule</v>
      </c>
    </row>
    <row r="21" customFormat="false" ht="15" hidden="false" customHeight="false" outlineLevel="0" collapsed="false">
      <c r="A21" s="11" t="s">
        <v>27</v>
      </c>
      <c r="B21" s="10" t="str">
        <f aca="false">HYPERLINK("#'Unlevered FCF'!A1","Open Unlevered FCF")</f>
        <v>Open Unlevered FCF</v>
      </c>
    </row>
    <row r="22" customFormat="false" ht="15" hidden="false" customHeight="false" outlineLevel="0" collapsed="false">
      <c r="A22" s="11" t="s">
        <v>28</v>
      </c>
      <c r="B22" s="10" t="str">
        <f aca="false">HYPERLINK("#'WACC'!A1","Open WACC")</f>
        <v>Open WACC</v>
      </c>
    </row>
    <row r="23" customFormat="false" ht="15" hidden="false" customHeight="false" outlineLevel="0" collapsed="false">
      <c r="A23" s="11" t="s">
        <v>29</v>
      </c>
      <c r="B23" s="10" t="str">
        <f aca="false">HYPERLINK("#'Terminal Value'!A1","Open Terminal Value")</f>
        <v>Open Terminal Value</v>
      </c>
    </row>
    <row r="24" customFormat="false" ht="15" hidden="false" customHeight="false" outlineLevel="0" collapsed="false">
      <c r="A24" s="9" t="s">
        <v>30</v>
      </c>
      <c r="B24" s="10" t="str">
        <f aca="false">HYPERLINK("#'DCF Valuation'!A1","Open DCF Valuation")</f>
        <v>Open DCF Valuation</v>
      </c>
    </row>
    <row r="25" customFormat="false" ht="15" hidden="false" customHeight="false" outlineLevel="0" collapsed="false">
      <c r="A25" s="11" t="s">
        <v>31</v>
      </c>
      <c r="B25" s="10" t="str">
        <f aca="false">HYPERLINK("#'Sensitivities'!A1","Open Sensitivities")</f>
        <v>Open Sensitivities</v>
      </c>
    </row>
    <row r="26" customFormat="false" ht="15" hidden="false" customHeight="false" outlineLevel="0" collapsed="false">
      <c r="A26" s="9" t="s">
        <v>32</v>
      </c>
      <c r="B26" s="10" t="str">
        <f aca="false">HYPERLINK("#'Checks'!A1","Open Checks")</f>
        <v>Open Checks</v>
      </c>
    </row>
    <row r="27" customFormat="false" ht="15" hidden="false" customHeight="false" outlineLevel="0" collapsed="false">
      <c r="A27" s="11" t="s">
        <v>33</v>
      </c>
      <c r="B27" s="10" t="str">
        <f aca="false">HYPERLINK("#'Source Notes'!A1","Open Source Notes")</f>
        <v>Open Source Notes</v>
      </c>
    </row>
    <row r="31" customFormat="false" ht="15" hidden="false" customHeight="true" outlineLevel="0" collapsed="false">
      <c r="A31" s="3" t="s">
        <v>34</v>
      </c>
      <c r="B31" s="3"/>
      <c r="C31" s="3"/>
      <c r="D31" s="3"/>
      <c r="E31" s="3"/>
      <c r="F31" s="3"/>
      <c r="G31" s="3"/>
      <c r="H31" s="3"/>
    </row>
    <row r="32" customFormat="false" ht="23.85" hidden="false" customHeight="false" outlineLevel="0" collapsed="false">
      <c r="A32" s="4" t="s">
        <v>35</v>
      </c>
      <c r="B32" s="6" t="s">
        <v>36</v>
      </c>
    </row>
    <row r="33" customFormat="false" ht="23.85" hidden="false" customHeight="false" outlineLevel="0" collapsed="false">
      <c r="A33" s="4" t="s">
        <v>37</v>
      </c>
      <c r="B33" s="6" t="s">
        <v>38</v>
      </c>
    </row>
    <row r="34" customFormat="false" ht="23.85" hidden="false" customHeight="false" outlineLevel="0" collapsed="false">
      <c r="A34" s="4" t="s">
        <v>39</v>
      </c>
      <c r="B34" s="6" t="s">
        <v>40</v>
      </c>
    </row>
    <row r="35" customFormat="false" ht="15" hidden="false" customHeight="false" outlineLevel="0" collapsed="false">
      <c r="A35" s="4" t="s">
        <v>41</v>
      </c>
      <c r="B35" s="6" t="s">
        <v>9</v>
      </c>
    </row>
  </sheetData>
  <mergeCells count="11">
    <mergeCell ref="A1:H1"/>
    <mergeCell ref="A3:H3"/>
    <mergeCell ref="D4:H4"/>
    <mergeCell ref="D5:H5"/>
    <mergeCell ref="D6:H6"/>
    <mergeCell ref="D7:H7"/>
    <mergeCell ref="D8:H8"/>
    <mergeCell ref="D9:H9"/>
    <mergeCell ref="D10:H10"/>
    <mergeCell ref="A12:H12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8" min="5" style="1" width="18"/>
  </cols>
  <sheetData>
    <row r="1" customFormat="false" ht="24" hidden="false" customHeight="true" outlineLevel="0" collapsed="false">
      <c r="A1" s="2" t="s">
        <v>19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42</v>
      </c>
      <c r="B3" s="3" t="s">
        <v>43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1" t="s">
        <v>44</v>
      </c>
      <c r="B4" s="10" t="str">
        <f aca="false">'Control Panel'!$B$4</f>
        <v>ServiceNow, Inc.</v>
      </c>
    </row>
    <row r="5" customFormat="false" ht="15" hidden="false" customHeight="false" outlineLevel="0" collapsed="false">
      <c r="A5" s="11" t="s">
        <v>5</v>
      </c>
      <c r="B5" s="10" t="str">
        <f aca="false">'Control Panel'!$B$7</f>
        <v>2026-07-23</v>
      </c>
    </row>
    <row r="6" customFormat="false" ht="23.85" hidden="false" customHeight="false" outlineLevel="0" collapsed="false">
      <c r="A6" s="11" t="s">
        <v>45</v>
      </c>
      <c r="B6" s="10" t="str">
        <f aca="false">'Control Panel'!$B$5&amp;" / "&amp;'Control Panel'!$B$6</f>
        <v>USD / $mm except per-share data</v>
      </c>
    </row>
    <row r="7" customFormat="false" ht="15" hidden="false" customHeight="false" outlineLevel="0" collapsed="false">
      <c r="A7" s="4" t="s">
        <v>46</v>
      </c>
      <c r="B7" s="12" t="n">
        <f aca="false">'DCF Valuation'!$B$6</f>
        <v>117103.743927986</v>
      </c>
    </row>
    <row r="8" customFormat="false" ht="15" hidden="false" customHeight="false" outlineLevel="0" collapsed="false">
      <c r="A8" s="4" t="s">
        <v>47</v>
      </c>
      <c r="B8" s="12" t="n">
        <f aca="false">'DCF Valuation'!$B$16</f>
        <v>116293.743927986</v>
      </c>
    </row>
    <row r="9" customFormat="false" ht="15" hidden="false" customHeight="false" outlineLevel="0" collapsed="false">
      <c r="A9" s="4" t="s">
        <v>48</v>
      </c>
      <c r="B9" s="13" t="n">
        <f aca="false">'DCF Valuation'!$B$18</f>
        <v>112.469771690509</v>
      </c>
    </row>
    <row r="10" customFormat="false" ht="15" hidden="false" customHeight="false" outlineLevel="0" collapsed="false">
      <c r="A10" s="11" t="s">
        <v>49</v>
      </c>
      <c r="B10" s="14" t="n">
        <f aca="false">'DCF Valuation'!$B$19</f>
        <v>97.35</v>
      </c>
    </row>
    <row r="11" customFormat="false" ht="15" hidden="false" customHeight="false" outlineLevel="0" collapsed="false">
      <c r="A11" s="4" t="s">
        <v>50</v>
      </c>
      <c r="B11" s="15" t="n">
        <f aca="false">'DCF Valuation'!$B$20</f>
        <v>0.155313525326237</v>
      </c>
    </row>
    <row r="12" customFormat="false" ht="15" hidden="false" customHeight="false" outlineLevel="0" collapsed="false">
      <c r="A12" s="11" t="s">
        <v>51</v>
      </c>
      <c r="B12" s="14" t="n">
        <f aca="false">Sensitivities!G$51</f>
        <v>112.469771690509</v>
      </c>
    </row>
    <row r="13" customFormat="false" ht="15" hidden="false" customHeight="false" outlineLevel="0" collapsed="false">
      <c r="A13" s="11" t="s">
        <v>52</v>
      </c>
      <c r="B13" s="16" t="n">
        <f aca="false">Sensitivities!G$50</f>
        <v>65.0914411732505</v>
      </c>
    </row>
    <row r="14" customFormat="false" ht="15" hidden="false" customHeight="false" outlineLevel="0" collapsed="false">
      <c r="A14" s="11" t="s">
        <v>53</v>
      </c>
      <c r="B14" s="16" t="n">
        <f aca="false">Sensitivities!G$52</f>
        <v>147.699186990919</v>
      </c>
    </row>
    <row r="15" customFormat="false" ht="35.05" hidden="false" customHeight="false" outlineLevel="0" collapsed="false">
      <c r="A15" s="11" t="s">
        <v>54</v>
      </c>
      <c r="B15" s="10" t="str">
        <f aca="false">'Control Panel'!$B$13</f>
        <v>Screen-grade only; open assumptions or evidence gaps remain.</v>
      </c>
    </row>
    <row r="18" customFormat="false" ht="15" hidden="false" customHeight="true" outlineLevel="0" collapsed="false">
      <c r="A18" s="3" t="s">
        <v>55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7" t="s">
        <v>56</v>
      </c>
      <c r="B19" s="15" t="n">
        <f aca="false">(('Revenue Build'!J$14/'Revenue Build'!D$14)^(1/6))-1</f>
        <v>0.176356889359953</v>
      </c>
    </row>
    <row r="20" customFormat="false" ht="15" hidden="false" customHeight="false" outlineLevel="0" collapsed="false">
      <c r="A20" s="17" t="s">
        <v>57</v>
      </c>
      <c r="B20" s="15" t="n">
        <f aca="false">'Margin Cost Build'!J$11</f>
        <v>0.31</v>
      </c>
    </row>
    <row r="21" customFormat="false" ht="15" hidden="false" customHeight="false" outlineLevel="0" collapsed="false">
      <c r="A21" s="17" t="s">
        <v>58</v>
      </c>
      <c r="B21" s="15" t="n">
        <f aca="false">'Control Panel'!$B$78</f>
        <v>0.0862765</v>
      </c>
    </row>
    <row r="22" customFormat="false" ht="15" hidden="false" customHeight="false" outlineLevel="0" collapsed="false">
      <c r="A22" s="17" t="s">
        <v>59</v>
      </c>
      <c r="B22" s="15" t="n">
        <f aca="false">'Control Panel'!$B$83</f>
        <v>0.03</v>
      </c>
    </row>
    <row r="23" customFormat="false" ht="15" hidden="false" customHeight="false" outlineLevel="0" collapsed="false">
      <c r="A23" s="17" t="s">
        <v>60</v>
      </c>
      <c r="B23" s="15" t="n">
        <f aca="false">'DCF Valuation'!$B$7</f>
        <v>0.793876329428131</v>
      </c>
    </row>
    <row r="26" customFormat="false" ht="15" hidden="false" customHeight="true" outlineLevel="0" collapsed="false">
      <c r="A26" s="3" t="s">
        <v>61</v>
      </c>
      <c r="B26" s="3"/>
      <c r="C26" s="3"/>
      <c r="D26" s="3"/>
      <c r="E26" s="3"/>
      <c r="F26" s="3"/>
      <c r="G26" s="3"/>
      <c r="H26" s="3"/>
    </row>
    <row r="27" customFormat="false" ht="46.25" hidden="false" customHeight="false" outlineLevel="0" collapsed="false">
      <c r="A27" s="18" t="s">
        <v>62</v>
      </c>
      <c r="B27" s="6" t="s">
        <v>63</v>
      </c>
    </row>
    <row r="28" customFormat="false" ht="35.05" hidden="false" customHeight="false" outlineLevel="0" collapsed="false">
      <c r="A28" s="18" t="s">
        <v>64</v>
      </c>
      <c r="B28" s="6" t="s">
        <v>65</v>
      </c>
    </row>
    <row r="29" customFormat="false" ht="46.25" hidden="false" customHeight="false" outlineLevel="0" collapsed="false">
      <c r="A29" s="18" t="s">
        <v>66</v>
      </c>
      <c r="B29" s="6" t="s">
        <v>67</v>
      </c>
    </row>
    <row r="30" customFormat="false" ht="46.25" hidden="false" customHeight="false" outlineLevel="0" collapsed="false">
      <c r="A30" s="18" t="s">
        <v>68</v>
      </c>
      <c r="B30" s="6" t="s">
        <v>69</v>
      </c>
    </row>
  </sheetData>
  <mergeCells count="4">
    <mergeCell ref="A1:H1"/>
    <mergeCell ref="A3:H3"/>
    <mergeCell ref="A18:H18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4"/>
    <col collapsed="false" customWidth="true" hidden="false" outlineLevel="0" max="10" min="10" style="1" width="18"/>
  </cols>
  <sheetData>
    <row r="1" customFormat="false" ht="24" hidden="false" customHeight="tru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70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3.85" hidden="false" customHeight="false" outlineLevel="0" collapsed="false">
      <c r="A4" s="4" t="s">
        <v>44</v>
      </c>
      <c r="B4" s="19" t="s">
        <v>71</v>
      </c>
    </row>
    <row r="5" customFormat="false" ht="15" hidden="false" customHeight="false" outlineLevel="0" collapsed="false">
      <c r="A5" s="17" t="s">
        <v>72</v>
      </c>
      <c r="B5" s="19" t="s">
        <v>73</v>
      </c>
    </row>
    <row r="6" customFormat="false" ht="23.85" hidden="false" customHeight="false" outlineLevel="0" collapsed="false">
      <c r="A6" s="17" t="s">
        <v>74</v>
      </c>
      <c r="B6" s="19" t="s">
        <v>75</v>
      </c>
    </row>
    <row r="7" customFormat="false" ht="15" hidden="false" customHeight="false" outlineLevel="0" collapsed="false">
      <c r="A7" s="17" t="s">
        <v>5</v>
      </c>
      <c r="B7" s="19" t="s">
        <v>6</v>
      </c>
    </row>
    <row r="8" customFormat="false" ht="15" hidden="false" customHeight="false" outlineLevel="0" collapsed="false">
      <c r="A8" s="17" t="s">
        <v>8</v>
      </c>
      <c r="B8" s="19" t="s">
        <v>9</v>
      </c>
    </row>
    <row r="9" customFormat="false" ht="23.85" hidden="false" customHeight="false" outlineLevel="0" collapsed="false">
      <c r="A9" s="17" t="s">
        <v>76</v>
      </c>
      <c r="B9" s="19" t="s">
        <v>77</v>
      </c>
    </row>
    <row r="10" customFormat="false" ht="15" hidden="false" customHeight="false" outlineLevel="0" collapsed="false">
      <c r="A10" s="4" t="s">
        <v>78</v>
      </c>
      <c r="B10" s="19" t="s">
        <v>79</v>
      </c>
    </row>
    <row r="11" customFormat="false" ht="15" hidden="false" customHeight="false" outlineLevel="0" collapsed="false">
      <c r="A11" s="17" t="s">
        <v>80</v>
      </c>
      <c r="B11" s="19" t="s">
        <v>81</v>
      </c>
    </row>
    <row r="12" customFormat="false" ht="15" hidden="false" customHeight="false" outlineLevel="0" collapsed="false">
      <c r="A12" s="17" t="s">
        <v>49</v>
      </c>
      <c r="B12" s="20" t="n">
        <v>97.35</v>
      </c>
    </row>
    <row r="13" customFormat="false" ht="57.45" hidden="false" customHeight="false" outlineLevel="0" collapsed="false">
      <c r="A13" s="17" t="s">
        <v>54</v>
      </c>
      <c r="B13" s="19" t="s">
        <v>43</v>
      </c>
    </row>
    <row r="14" customFormat="false" ht="15" hidden="false" customHeight="false" outlineLevel="0" collapsed="false">
      <c r="A14" s="4" t="s">
        <v>82</v>
      </c>
      <c r="B14" s="19" t="s">
        <v>83</v>
      </c>
    </row>
    <row r="15" customFormat="false" ht="15" hidden="false" customHeight="false" outlineLevel="0" collapsed="false">
      <c r="A15" s="17" t="s">
        <v>84</v>
      </c>
      <c r="B15" s="21" t="n">
        <v>0</v>
      </c>
    </row>
    <row r="16" customFormat="false" ht="15" hidden="false" customHeight="false" outlineLevel="0" collapsed="false">
      <c r="A16" s="17" t="s">
        <v>85</v>
      </c>
      <c r="B16" s="21" t="n">
        <v>0.345</v>
      </c>
    </row>
    <row r="17" customFormat="false" ht="15" hidden="false" customHeight="true" outlineLevel="0" collapsed="false">
      <c r="A17" s="3" t="s">
        <v>86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22" t="s">
        <v>87</v>
      </c>
      <c r="B18" s="22" t="s">
        <v>88</v>
      </c>
      <c r="C18" s="22" t="s">
        <v>89</v>
      </c>
      <c r="D18" s="22" t="s">
        <v>90</v>
      </c>
      <c r="E18" s="22" t="s">
        <v>91</v>
      </c>
      <c r="F18" s="22" t="s">
        <v>92</v>
      </c>
      <c r="G18" s="22" t="s">
        <v>93</v>
      </c>
      <c r="H18" s="23"/>
      <c r="I18" s="23"/>
      <c r="J18" s="23"/>
    </row>
    <row r="20" customFormat="false" ht="15" hidden="false" customHeight="true" outlineLevel="0" collapsed="false">
      <c r="A20" s="3" t="s">
        <v>94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false" outlineLevel="0" collapsed="false">
      <c r="A21" s="4" t="s">
        <v>79</v>
      </c>
      <c r="B21" s="21" t="n">
        <v>0.2208</v>
      </c>
      <c r="C21" s="21" t="n">
        <v>0.2</v>
      </c>
      <c r="D21" s="21" t="n">
        <v>0.19</v>
      </c>
      <c r="E21" s="21" t="n">
        <v>0.17</v>
      </c>
      <c r="F21" s="21" t="n">
        <v>0.16</v>
      </c>
      <c r="G21" s="21" t="n">
        <v>0.12</v>
      </c>
    </row>
    <row r="22" customFormat="false" ht="15" hidden="false" customHeight="false" outlineLevel="0" collapsed="false">
      <c r="A22" s="17" t="s">
        <v>95</v>
      </c>
      <c r="B22" s="21" t="n">
        <v>0.2208</v>
      </c>
      <c r="C22" s="21" t="n">
        <v>0.17</v>
      </c>
      <c r="D22" s="21" t="n">
        <v>0.14</v>
      </c>
      <c r="E22" s="21" t="n">
        <v>0.11</v>
      </c>
      <c r="F22" s="21" t="n">
        <v>0.08</v>
      </c>
      <c r="G22" s="21" t="n">
        <v>0.06</v>
      </c>
    </row>
    <row r="23" customFormat="false" ht="15" hidden="false" customHeight="false" outlineLevel="0" collapsed="false">
      <c r="A23" s="17" t="s">
        <v>96</v>
      </c>
      <c r="B23" s="21" t="n">
        <v>0.2208</v>
      </c>
      <c r="C23" s="21" t="n">
        <v>0.22</v>
      </c>
      <c r="D23" s="21" t="n">
        <v>0.21</v>
      </c>
      <c r="E23" s="21" t="n">
        <v>0.19</v>
      </c>
      <c r="F23" s="21" t="n">
        <v>0.17</v>
      </c>
      <c r="G23" s="21" t="n">
        <v>0.15</v>
      </c>
    </row>
    <row r="25" customFormat="false" ht="15" hidden="false" customHeight="true" outlineLevel="0" collapsed="false">
      <c r="A25" s="3" t="s">
        <v>97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4" t="s">
        <v>79</v>
      </c>
      <c r="B26" s="21" t="n">
        <v>0.215</v>
      </c>
      <c r="C26" s="21" t="n">
        <v>0.23</v>
      </c>
      <c r="D26" s="21" t="n">
        <v>0.25</v>
      </c>
      <c r="E26" s="21" t="n">
        <v>0.27</v>
      </c>
      <c r="F26" s="21" t="n">
        <v>0.29</v>
      </c>
      <c r="G26" s="21" t="n">
        <v>0.31</v>
      </c>
    </row>
    <row r="27" customFormat="false" ht="15" hidden="false" customHeight="false" outlineLevel="0" collapsed="false">
      <c r="A27" s="17" t="s">
        <v>95</v>
      </c>
      <c r="B27" s="21" t="n">
        <v>0.215</v>
      </c>
      <c r="C27" s="21" t="n">
        <v>0.21</v>
      </c>
      <c r="D27" s="21" t="n">
        <v>0.22</v>
      </c>
      <c r="E27" s="21" t="n">
        <v>0.23</v>
      </c>
      <c r="F27" s="21" t="n">
        <v>0.24</v>
      </c>
      <c r="G27" s="21" t="n">
        <v>0.25</v>
      </c>
    </row>
    <row r="28" customFormat="false" ht="15" hidden="false" customHeight="false" outlineLevel="0" collapsed="false">
      <c r="A28" s="17" t="s">
        <v>96</v>
      </c>
      <c r="B28" s="21" t="n">
        <v>0.215</v>
      </c>
      <c r="C28" s="21" t="n">
        <v>0.25</v>
      </c>
      <c r="D28" s="21" t="n">
        <v>0.28</v>
      </c>
      <c r="E28" s="21" t="n">
        <v>0.31</v>
      </c>
      <c r="F28" s="21" t="n">
        <v>0.34</v>
      </c>
      <c r="G28" s="21" t="n">
        <v>0.36</v>
      </c>
    </row>
    <row r="30" customFormat="false" ht="15" hidden="false" customHeight="true" outlineLevel="0" collapsed="false">
      <c r="A30" s="3" t="s">
        <v>98</v>
      </c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false" outlineLevel="0" collapsed="false">
      <c r="A31" s="4" t="s">
        <v>79</v>
      </c>
      <c r="B31" s="21" t="n">
        <v>0.165</v>
      </c>
      <c r="C31" s="21" t="n">
        <v>0.18</v>
      </c>
      <c r="D31" s="21" t="n">
        <v>0.2</v>
      </c>
      <c r="E31" s="21" t="n">
        <v>0.22</v>
      </c>
      <c r="F31" s="21" t="n">
        <v>0.24</v>
      </c>
      <c r="G31" s="21" t="n">
        <v>0.26</v>
      </c>
    </row>
    <row r="32" customFormat="false" ht="15" hidden="false" customHeight="false" outlineLevel="0" collapsed="false">
      <c r="A32" s="17" t="s">
        <v>95</v>
      </c>
      <c r="B32" s="21" t="n">
        <v>0.165</v>
      </c>
      <c r="C32" s="21" t="n">
        <v>0.16</v>
      </c>
      <c r="D32" s="21" t="n">
        <v>0.17</v>
      </c>
      <c r="E32" s="21" t="n">
        <v>0.18</v>
      </c>
      <c r="F32" s="21" t="n">
        <v>0.19</v>
      </c>
      <c r="G32" s="21" t="n">
        <v>0.2</v>
      </c>
    </row>
    <row r="33" customFormat="false" ht="15" hidden="false" customHeight="false" outlineLevel="0" collapsed="false">
      <c r="A33" s="17" t="s">
        <v>96</v>
      </c>
      <c r="B33" s="21" t="n">
        <v>0.165</v>
      </c>
      <c r="C33" s="21" t="n">
        <v>0.2</v>
      </c>
      <c r="D33" s="21" t="n">
        <v>0.23</v>
      </c>
      <c r="E33" s="21" t="n">
        <v>0.26</v>
      </c>
      <c r="F33" s="21" t="n">
        <v>0.29</v>
      </c>
      <c r="G33" s="21" t="n">
        <v>0.31</v>
      </c>
    </row>
    <row r="35" customFormat="false" ht="15" hidden="false" customHeight="true" outlineLevel="0" collapsed="false">
      <c r="A35" s="3" t="s">
        <v>99</v>
      </c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4" t="s">
        <v>79</v>
      </c>
      <c r="B36" s="21" t="n">
        <v>0.05</v>
      </c>
      <c r="C36" s="21" t="n">
        <v>0.05</v>
      </c>
      <c r="D36" s="21" t="n">
        <v>0.05</v>
      </c>
      <c r="E36" s="21" t="n">
        <v>0.05</v>
      </c>
      <c r="F36" s="21" t="n">
        <v>0.05</v>
      </c>
      <c r="G36" s="21" t="n">
        <v>0.05</v>
      </c>
    </row>
    <row r="37" customFormat="false" ht="15" hidden="false" customHeight="false" outlineLevel="0" collapsed="false">
      <c r="A37" s="17" t="s">
        <v>95</v>
      </c>
      <c r="B37" s="21" t="n">
        <v>0.05</v>
      </c>
      <c r="C37" s="21" t="n">
        <v>0.05</v>
      </c>
      <c r="D37" s="21" t="n">
        <v>0.05</v>
      </c>
      <c r="E37" s="21" t="n">
        <v>0.05</v>
      </c>
      <c r="F37" s="21" t="n">
        <v>0.05</v>
      </c>
      <c r="G37" s="21" t="n">
        <v>0.05</v>
      </c>
    </row>
    <row r="38" customFormat="false" ht="15" hidden="false" customHeight="false" outlineLevel="0" collapsed="false">
      <c r="A38" s="17" t="s">
        <v>96</v>
      </c>
      <c r="B38" s="21" t="n">
        <v>0.05</v>
      </c>
      <c r="C38" s="21" t="n">
        <v>0.05</v>
      </c>
      <c r="D38" s="21" t="n">
        <v>0.05</v>
      </c>
      <c r="E38" s="21" t="n">
        <v>0.05</v>
      </c>
      <c r="F38" s="21" t="n">
        <v>0.05</v>
      </c>
      <c r="G38" s="21" t="n">
        <v>0.05</v>
      </c>
    </row>
    <row r="40" customFormat="false" ht="15" hidden="false" customHeight="true" outlineLevel="0" collapsed="false">
      <c r="A40" s="3" t="s">
        <v>100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false" outlineLevel="0" collapsed="false">
      <c r="A41" s="4" t="s">
        <v>79</v>
      </c>
      <c r="B41" s="21" t="n">
        <v>0.06</v>
      </c>
      <c r="C41" s="21" t="n">
        <v>0.06</v>
      </c>
      <c r="D41" s="21" t="n">
        <v>0.06</v>
      </c>
      <c r="E41" s="21" t="n">
        <v>0.06</v>
      </c>
      <c r="F41" s="21" t="n">
        <v>0.06</v>
      </c>
      <c r="G41" s="21" t="n">
        <v>0.06</v>
      </c>
    </row>
    <row r="42" customFormat="false" ht="15" hidden="false" customHeight="false" outlineLevel="0" collapsed="false">
      <c r="A42" s="17" t="s">
        <v>95</v>
      </c>
      <c r="B42" s="21" t="n">
        <v>0.06</v>
      </c>
      <c r="C42" s="21" t="n">
        <v>0.06</v>
      </c>
      <c r="D42" s="21" t="n">
        <v>0.06</v>
      </c>
      <c r="E42" s="21" t="n">
        <v>0.06</v>
      </c>
      <c r="F42" s="21" t="n">
        <v>0.06</v>
      </c>
      <c r="G42" s="21" t="n">
        <v>0.06</v>
      </c>
    </row>
    <row r="43" customFormat="false" ht="15" hidden="false" customHeight="false" outlineLevel="0" collapsed="false">
      <c r="A43" s="17" t="s">
        <v>96</v>
      </c>
      <c r="B43" s="21" t="n">
        <v>0.06</v>
      </c>
      <c r="C43" s="21" t="n">
        <v>0.06</v>
      </c>
      <c r="D43" s="21" t="n">
        <v>0.06</v>
      </c>
      <c r="E43" s="21" t="n">
        <v>0.06</v>
      </c>
      <c r="F43" s="21" t="n">
        <v>0.06</v>
      </c>
      <c r="G43" s="21" t="n">
        <v>0.06</v>
      </c>
    </row>
    <row r="45" customFormat="false" ht="15" hidden="false" customHeight="true" outlineLevel="0" collapsed="false">
      <c r="A45" s="3" t="s">
        <v>101</v>
      </c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false" outlineLevel="0" collapsed="false">
      <c r="A46" s="4" t="s">
        <v>79</v>
      </c>
      <c r="B46" s="21" t="n">
        <v>-0.39</v>
      </c>
      <c r="C46" s="21" t="n">
        <v>-0.39</v>
      </c>
      <c r="D46" s="21" t="n">
        <v>-0.39</v>
      </c>
      <c r="E46" s="21" t="n">
        <v>-0.39</v>
      </c>
      <c r="F46" s="21" t="n">
        <v>-0.39</v>
      </c>
      <c r="G46" s="21" t="n">
        <v>-0.39</v>
      </c>
    </row>
    <row r="47" customFormat="false" ht="15" hidden="false" customHeight="false" outlineLevel="0" collapsed="false">
      <c r="A47" s="17" t="s">
        <v>95</v>
      </c>
      <c r="B47" s="21" t="n">
        <v>-0.39</v>
      </c>
      <c r="C47" s="21" t="n">
        <v>-0.36</v>
      </c>
      <c r="D47" s="21" t="n">
        <v>-0.36</v>
      </c>
      <c r="E47" s="21" t="n">
        <v>-0.36</v>
      </c>
      <c r="F47" s="21" t="n">
        <v>-0.36</v>
      </c>
      <c r="G47" s="21" t="n">
        <v>-0.36</v>
      </c>
    </row>
    <row r="48" customFormat="false" ht="15" hidden="false" customHeight="false" outlineLevel="0" collapsed="false">
      <c r="A48" s="17" t="s">
        <v>96</v>
      </c>
      <c r="B48" s="21" t="n">
        <v>-0.39</v>
      </c>
      <c r="C48" s="21" t="n">
        <v>-0.42</v>
      </c>
      <c r="D48" s="21" t="n">
        <v>-0.42</v>
      </c>
      <c r="E48" s="21" t="n">
        <v>-0.42</v>
      </c>
      <c r="F48" s="21" t="n">
        <v>-0.42</v>
      </c>
      <c r="G48" s="21" t="n">
        <v>-0.42</v>
      </c>
    </row>
    <row r="50" customFormat="false" ht="15" hidden="false" customHeight="true" outlineLevel="0" collapsed="false">
      <c r="A50" s="3" t="s">
        <v>102</v>
      </c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false" outlineLevel="0" collapsed="false">
      <c r="A51" s="4" t="s">
        <v>79</v>
      </c>
      <c r="B51" s="21" t="n">
        <v>0.21</v>
      </c>
      <c r="C51" s="21" t="n">
        <v>0.21</v>
      </c>
      <c r="D51" s="21" t="n">
        <v>0.21</v>
      </c>
      <c r="E51" s="21" t="n">
        <v>0.21</v>
      </c>
      <c r="F51" s="21" t="n">
        <v>0.21</v>
      </c>
      <c r="G51" s="21" t="n">
        <v>0.21</v>
      </c>
    </row>
    <row r="52" customFormat="false" ht="15" hidden="false" customHeight="false" outlineLevel="0" collapsed="false">
      <c r="A52" s="17" t="s">
        <v>95</v>
      </c>
      <c r="B52" s="21" t="n">
        <v>0.21</v>
      </c>
      <c r="C52" s="21" t="n">
        <v>0.21</v>
      </c>
      <c r="D52" s="21" t="n">
        <v>0.21</v>
      </c>
      <c r="E52" s="21" t="n">
        <v>0.21</v>
      </c>
      <c r="F52" s="21" t="n">
        <v>0.21</v>
      </c>
      <c r="G52" s="21" t="n">
        <v>0.21</v>
      </c>
    </row>
    <row r="53" customFormat="false" ht="15" hidden="false" customHeight="false" outlineLevel="0" collapsed="false">
      <c r="A53" s="17" t="s">
        <v>96</v>
      </c>
      <c r="B53" s="21" t="n">
        <v>0.21</v>
      </c>
      <c r="C53" s="21" t="n">
        <v>0.21</v>
      </c>
      <c r="D53" s="21" t="n">
        <v>0.21</v>
      </c>
      <c r="E53" s="21" t="n">
        <v>0.21</v>
      </c>
      <c r="F53" s="21" t="n">
        <v>0.21</v>
      </c>
      <c r="G53" s="21" t="n">
        <v>0.21</v>
      </c>
    </row>
    <row r="55" customFormat="false" ht="15" hidden="false" customHeight="true" outlineLevel="0" collapsed="false">
      <c r="A55" s="3" t="s">
        <v>103</v>
      </c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false" outlineLevel="0" collapsed="false">
      <c r="A56" s="4" t="s">
        <v>79</v>
      </c>
      <c r="B56" s="21" t="n">
        <v>0.21</v>
      </c>
      <c r="C56" s="21" t="n">
        <v>0.21</v>
      </c>
      <c r="D56" s="21" t="n">
        <v>0.21</v>
      </c>
      <c r="E56" s="21" t="n">
        <v>0.21</v>
      </c>
      <c r="F56" s="21" t="n">
        <v>0.21</v>
      </c>
      <c r="G56" s="21" t="n">
        <v>0.21</v>
      </c>
    </row>
    <row r="57" customFormat="false" ht="15" hidden="false" customHeight="false" outlineLevel="0" collapsed="false">
      <c r="A57" s="17" t="s">
        <v>95</v>
      </c>
      <c r="B57" s="21" t="n">
        <v>0.21</v>
      </c>
      <c r="C57" s="21" t="n">
        <v>0.21</v>
      </c>
      <c r="D57" s="21" t="n">
        <v>0.21</v>
      </c>
      <c r="E57" s="21" t="n">
        <v>0.21</v>
      </c>
      <c r="F57" s="21" t="n">
        <v>0.21</v>
      </c>
      <c r="G57" s="21" t="n">
        <v>0.21</v>
      </c>
    </row>
    <row r="58" customFormat="false" ht="15" hidden="false" customHeight="false" outlineLevel="0" collapsed="false">
      <c r="A58" s="17" t="s">
        <v>96</v>
      </c>
      <c r="B58" s="21" t="n">
        <v>0.21</v>
      </c>
      <c r="C58" s="21" t="n">
        <v>0.21</v>
      </c>
      <c r="D58" s="21" t="n">
        <v>0.21</v>
      </c>
      <c r="E58" s="21" t="n">
        <v>0.21</v>
      </c>
      <c r="F58" s="21" t="n">
        <v>0.21</v>
      </c>
      <c r="G58" s="21" t="n">
        <v>0.21</v>
      </c>
    </row>
    <row r="60" customFormat="false" ht="15" hidden="false" customHeight="true" outlineLevel="0" collapsed="false">
      <c r="A60" s="3" t="s">
        <v>104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A61" s="17" t="s">
        <v>105</v>
      </c>
      <c r="B61" s="21" t="n">
        <v>-0.39</v>
      </c>
      <c r="C61" s="21" t="n">
        <v>-0.39</v>
      </c>
      <c r="D61" s="21" t="n">
        <v>-0.39</v>
      </c>
      <c r="E61" s="21" t="n">
        <v>-0.39</v>
      </c>
      <c r="F61" s="21" t="n">
        <v>-0.39</v>
      </c>
      <c r="G61" s="21" t="n">
        <v>-0.39</v>
      </c>
    </row>
    <row r="62" customFormat="false" ht="15" hidden="false" customHeight="false" outlineLevel="0" collapsed="false">
      <c r="A62" s="17" t="s">
        <v>106</v>
      </c>
      <c r="B62" s="21" t="n">
        <v>0</v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</row>
    <row r="63" customFormat="false" ht="15" hidden="false" customHeight="false" outlineLevel="0" collapsed="false">
      <c r="A63" s="17" t="s">
        <v>107</v>
      </c>
      <c r="B63" s="21" t="n">
        <v>0</v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</row>
    <row r="64" customFormat="false" ht="15" hidden="false" customHeight="false" outlineLevel="0" collapsed="false">
      <c r="A64" s="17" t="s">
        <v>108</v>
      </c>
      <c r="B64" s="21" t="n">
        <v>0</v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</row>
    <row r="65" customFormat="false" ht="15" hidden="false" customHeight="false" outlineLevel="0" collapsed="false">
      <c r="A65" s="17" t="s">
        <v>109</v>
      </c>
      <c r="B65" s="21" t="n">
        <v>0</v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</row>
    <row r="68" customFormat="false" ht="15" hidden="false" customHeight="true" outlineLevel="0" collapsed="false">
      <c r="A68" s="3" t="s">
        <v>110</v>
      </c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false" outlineLevel="0" collapsed="false">
      <c r="A69" s="17" t="s">
        <v>111</v>
      </c>
      <c r="B69" s="21" t="n">
        <v>0.0463</v>
      </c>
    </row>
    <row r="70" customFormat="false" ht="15" hidden="false" customHeight="false" outlineLevel="0" collapsed="false">
      <c r="A70" s="17" t="s">
        <v>112</v>
      </c>
      <c r="B70" s="24" t="n">
        <v>0.96</v>
      </c>
    </row>
    <row r="71" customFormat="false" ht="15" hidden="false" customHeight="false" outlineLevel="0" collapsed="false">
      <c r="A71" s="17" t="s">
        <v>113</v>
      </c>
      <c r="B71" s="21" t="n">
        <v>0.045</v>
      </c>
    </row>
    <row r="72" customFormat="false" ht="15" hidden="false" customHeight="false" outlineLevel="0" collapsed="false">
      <c r="A72" s="17" t="s">
        <v>114</v>
      </c>
      <c r="B72" s="21" t="n">
        <v>0</v>
      </c>
    </row>
    <row r="73" customFormat="false" ht="15" hidden="false" customHeight="false" outlineLevel="0" collapsed="false">
      <c r="A73" s="17" t="s">
        <v>115</v>
      </c>
      <c r="B73" s="21" t="n">
        <v>0.055</v>
      </c>
    </row>
    <row r="74" customFormat="false" ht="15" hidden="false" customHeight="false" outlineLevel="0" collapsed="false">
      <c r="A74" s="17" t="s">
        <v>116</v>
      </c>
      <c r="B74" s="21" t="n">
        <v>0.07</v>
      </c>
    </row>
    <row r="75" customFormat="false" ht="15" hidden="false" customHeight="false" outlineLevel="0" collapsed="false">
      <c r="A75" s="17" t="s">
        <v>117</v>
      </c>
      <c r="B75" s="25" t="n">
        <f aca="false">1-B74</f>
        <v>0.93</v>
      </c>
    </row>
    <row r="76" customFormat="false" ht="15" hidden="false" customHeight="false" outlineLevel="0" collapsed="false">
      <c r="A76" s="17" t="s">
        <v>118</v>
      </c>
      <c r="B76" s="19" t="s">
        <v>81</v>
      </c>
    </row>
    <row r="77" customFormat="false" ht="15" hidden="false" customHeight="false" outlineLevel="0" collapsed="false">
      <c r="A77" s="17" t="s">
        <v>119</v>
      </c>
      <c r="B77" s="21" t="n">
        <v>0.0899965</v>
      </c>
    </row>
    <row r="78" customFormat="false" ht="15" hidden="false" customHeight="false" outlineLevel="0" collapsed="false">
      <c r="A78" s="4" t="s">
        <v>58</v>
      </c>
      <c r="B78" s="15" t="n">
        <f aca="false">IF(B76="Yes",B77,WACC!$B$17)</f>
        <v>0.0862765</v>
      </c>
    </row>
    <row r="79" customFormat="false" ht="15" hidden="false" customHeight="false" outlineLevel="0" collapsed="false">
      <c r="A79" s="17" t="s">
        <v>120</v>
      </c>
      <c r="B79" s="19" t="s">
        <v>121</v>
      </c>
    </row>
    <row r="82" customFormat="false" ht="15" hidden="false" customHeight="true" outlineLevel="0" collapsed="false">
      <c r="A82" s="3" t="s">
        <v>122</v>
      </c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false" outlineLevel="0" collapsed="false">
      <c r="A83" s="17" t="s">
        <v>59</v>
      </c>
      <c r="B83" s="21" t="n">
        <v>0.03</v>
      </c>
    </row>
    <row r="84" customFormat="false" ht="15" hidden="false" customHeight="false" outlineLevel="0" collapsed="false">
      <c r="A84" s="17" t="s">
        <v>123</v>
      </c>
      <c r="B84" s="26" t="n">
        <v>15</v>
      </c>
    </row>
    <row r="85" customFormat="false" ht="15" hidden="false" customHeight="false" outlineLevel="0" collapsed="false">
      <c r="A85" s="17" t="s">
        <v>124</v>
      </c>
      <c r="B85" s="27" t="n">
        <v>810</v>
      </c>
    </row>
    <row r="86" customFormat="false" ht="15" hidden="false" customHeight="false" outlineLevel="0" collapsed="false">
      <c r="A86" s="17" t="s">
        <v>125</v>
      </c>
      <c r="B86" s="28" t="n">
        <v>1034</v>
      </c>
    </row>
    <row r="87" customFormat="false" ht="15" hidden="false" customHeight="false" outlineLevel="0" collapsed="false">
      <c r="A87" s="17" t="s">
        <v>126</v>
      </c>
      <c r="B87" s="27" t="n">
        <v>0</v>
      </c>
    </row>
    <row r="88" customFormat="false" ht="15" hidden="false" customHeight="false" outlineLevel="0" collapsed="false">
      <c r="A88" s="17" t="s">
        <v>127</v>
      </c>
      <c r="B88" s="27" t="n">
        <v>0</v>
      </c>
    </row>
    <row r="89" customFormat="false" ht="15" hidden="false" customHeight="false" outlineLevel="0" collapsed="false">
      <c r="A89" s="17" t="s">
        <v>128</v>
      </c>
      <c r="B89" s="27" t="n">
        <v>0</v>
      </c>
    </row>
    <row r="90" customFormat="false" ht="15" hidden="false" customHeight="false" outlineLevel="0" collapsed="false">
      <c r="A90" s="17" t="s">
        <v>129</v>
      </c>
      <c r="B90" s="27" t="n">
        <v>0</v>
      </c>
    </row>
  </sheetData>
  <mergeCells count="14">
    <mergeCell ref="A1:J1"/>
    <mergeCell ref="A3:J3"/>
    <mergeCell ref="A17:J17"/>
    <mergeCell ref="A20:J20"/>
    <mergeCell ref="A25:J25"/>
    <mergeCell ref="A30:J30"/>
    <mergeCell ref="A35:J35"/>
    <mergeCell ref="A40:J40"/>
    <mergeCell ref="A45:J45"/>
    <mergeCell ref="A50:J50"/>
    <mergeCell ref="A55:J55"/>
    <mergeCell ref="A60:J60"/>
    <mergeCell ref="A68:J68"/>
    <mergeCell ref="A82:J82"/>
  </mergeCells>
  <dataValidations count="4">
    <dataValidation allowBlank="false" errorStyle="stop" operator="between" showDropDown="false" showErrorMessage="false" showInputMessage="false" sqref="B10" type="list">
      <formula1>"Base,Downside,Upside"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  <dataValidation allowBlank="false" errorStyle="stop" operator="between" showDropDown="false" showErrorMessage="false" showInputMessage="false" sqref="B14" type="list">
      <formula1>"Gordon Growth,Exit Multiple"</formula1>
      <formula2>0</formula2>
    </dataValidation>
    <dataValidation allowBlank="false" errorStyle="stop" operator="between" showDropDown="false" showErrorMessage="false" showInputMessage="false" sqref="B7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1" width="13"/>
    <col collapsed="false" customWidth="true" hidden="false" outlineLevel="0" max="11" min="11" style="1" width="24"/>
    <col collapsed="false" customWidth="true" hidden="false" outlineLevel="0" max="12" min="12" style="1" width="20"/>
  </cols>
  <sheetData>
    <row r="1" customFormat="false" ht="24" hidden="false" customHeight="true" outlineLevel="0" collapsed="false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  <c r="K5" s="22" t="s">
        <v>133</v>
      </c>
      <c r="L5" s="22" t="s">
        <v>134</v>
      </c>
    </row>
    <row r="6" customFormat="false" ht="57.45" hidden="false" customHeight="false" outlineLevel="0" collapsed="false">
      <c r="A6" s="4" t="s">
        <v>135</v>
      </c>
      <c r="B6" s="27"/>
      <c r="C6" s="27"/>
      <c r="D6" s="27" t="n">
        <v>13278</v>
      </c>
      <c r="E6" s="31" t="n">
        <f aca="false">'Revenue Build'!E$14</f>
        <v>16209.7824</v>
      </c>
      <c r="F6" s="31" t="n">
        <f aca="false">'Revenue Build'!F$14</f>
        <v>19451.73888</v>
      </c>
      <c r="G6" s="31" t="n">
        <f aca="false">'Revenue Build'!G$14</f>
        <v>23147.5692672</v>
      </c>
      <c r="H6" s="31" t="n">
        <f aca="false">'Revenue Build'!H$14</f>
        <v>27082.656042624</v>
      </c>
      <c r="I6" s="31" t="n">
        <f aca="false">'Revenue Build'!I$14</f>
        <v>31415.8810094438</v>
      </c>
      <c r="J6" s="31" t="n">
        <f aca="false">'Revenue Build'!J$14</f>
        <v>35185.7867305771</v>
      </c>
      <c r="K6" s="6" t="s">
        <v>136</v>
      </c>
      <c r="L6" s="6" t="s">
        <v>137</v>
      </c>
    </row>
    <row r="7" customFormat="false" ht="15" hidden="false" customHeight="false" outlineLevel="0" collapsed="false">
      <c r="A7" s="11" t="s">
        <v>138</v>
      </c>
      <c r="B7" s="32" t="s">
        <v>139</v>
      </c>
      <c r="C7" s="25" t="str">
        <f aca="false">IFERROR(C6/B6-1,"")</f>
        <v/>
      </c>
      <c r="D7" s="25" t="str">
        <f aca="false">IFERROR(D6/C6-1,"")</f>
        <v/>
      </c>
      <c r="E7" s="33" t="n">
        <f aca="false">E6/D6-1</f>
        <v>0.2208</v>
      </c>
      <c r="F7" s="33" t="n">
        <f aca="false">F6/E6-1</f>
        <v>0.2</v>
      </c>
      <c r="G7" s="33" t="n">
        <f aca="false">G6/F6-1</f>
        <v>0.19</v>
      </c>
      <c r="H7" s="33" t="n">
        <f aca="false">H6/G6-1</f>
        <v>0.17</v>
      </c>
      <c r="I7" s="33" t="n">
        <f aca="false">I6/H6-1</f>
        <v>0.16</v>
      </c>
      <c r="J7" s="33" t="n">
        <f aca="false">J6/I6-1</f>
        <v>0.12</v>
      </c>
      <c r="K7" s="6" t="s">
        <v>136</v>
      </c>
      <c r="L7" s="6" t="s">
        <v>140</v>
      </c>
    </row>
    <row r="8" customFormat="false" ht="35.05" hidden="false" customHeight="false" outlineLevel="0" collapsed="false">
      <c r="A8" s="11" t="s">
        <v>141</v>
      </c>
      <c r="B8" s="27"/>
      <c r="C8" s="27"/>
      <c r="D8" s="27" t="n">
        <v>10294.4334</v>
      </c>
      <c r="E8" s="31"/>
      <c r="F8" s="31"/>
      <c r="G8" s="31"/>
      <c r="H8" s="31"/>
      <c r="I8" s="31"/>
      <c r="J8" s="31"/>
      <c r="K8" s="6" t="s">
        <v>142</v>
      </c>
      <c r="L8" s="6" t="s">
        <v>143</v>
      </c>
    </row>
    <row r="9" customFormat="false" ht="35.05" hidden="false" customHeight="false" outlineLevel="0" collapsed="false">
      <c r="A9" s="11" t="s">
        <v>144</v>
      </c>
      <c r="B9" s="25" t="str">
        <f aca="false">IFERROR(B8/B6,"")</f>
        <v/>
      </c>
      <c r="C9" s="25" t="str">
        <f aca="false">IFERROR(C8/C6,"")</f>
        <v/>
      </c>
      <c r="D9" s="25" t="n">
        <f aca="false">D8/D6</f>
        <v>0.7753</v>
      </c>
      <c r="E9" s="33"/>
      <c r="F9" s="33"/>
      <c r="G9" s="33"/>
      <c r="H9" s="33"/>
      <c r="I9" s="33"/>
      <c r="J9" s="33"/>
      <c r="K9" s="6" t="s">
        <v>142</v>
      </c>
      <c r="L9" s="6" t="s">
        <v>143</v>
      </c>
    </row>
    <row r="10" customFormat="false" ht="57.45" hidden="false" customHeight="false" outlineLevel="0" collapsed="false">
      <c r="A10" s="4" t="s">
        <v>145</v>
      </c>
      <c r="B10" s="27"/>
      <c r="C10" s="27"/>
      <c r="D10" s="27" t="n">
        <v>2932</v>
      </c>
      <c r="E10" s="31" t="n">
        <f aca="false">'Margin Cost Build'!E$12</f>
        <v>3485.103216</v>
      </c>
      <c r="F10" s="31" t="n">
        <f aca="false">'Margin Cost Build'!F$12</f>
        <v>4473.8999424</v>
      </c>
      <c r="G10" s="31" t="n">
        <f aca="false">'Margin Cost Build'!G$12</f>
        <v>5786.8923168</v>
      </c>
      <c r="H10" s="31" t="n">
        <f aca="false">'Margin Cost Build'!H$12</f>
        <v>7312.31713150848</v>
      </c>
      <c r="I10" s="31" t="n">
        <f aca="false">'Margin Cost Build'!I$12</f>
        <v>9110.60549273871</v>
      </c>
      <c r="J10" s="31" t="n">
        <f aca="false">'Margin Cost Build'!J$12</f>
        <v>10907.5938864789</v>
      </c>
      <c r="K10" s="6" t="s">
        <v>136</v>
      </c>
      <c r="L10" s="6" t="s">
        <v>137</v>
      </c>
    </row>
    <row r="11" customFormat="false" ht="15" hidden="false" customHeight="false" outlineLevel="0" collapsed="false">
      <c r="A11" s="11" t="s">
        <v>146</v>
      </c>
      <c r="B11" s="25" t="str">
        <f aca="false">IFERROR(B10/B6,"")</f>
        <v/>
      </c>
      <c r="C11" s="25" t="str">
        <f aca="false">IFERROR(C10/C6,"")</f>
        <v/>
      </c>
      <c r="D11" s="25" t="n">
        <f aca="false">D10/D6</f>
        <v>0.220816388010243</v>
      </c>
      <c r="E11" s="33" t="n">
        <f aca="false">E10/E6</f>
        <v>0.215</v>
      </c>
      <c r="F11" s="33" t="n">
        <f aca="false">F10/F6</f>
        <v>0.23</v>
      </c>
      <c r="G11" s="33" t="n">
        <f aca="false">G10/G6</f>
        <v>0.25</v>
      </c>
      <c r="H11" s="33" t="n">
        <f aca="false">H10/H6</f>
        <v>0.27</v>
      </c>
      <c r="I11" s="33" t="n">
        <f aca="false">I10/I6</f>
        <v>0.29</v>
      </c>
      <c r="J11" s="33" t="n">
        <f aca="false">J10/J6</f>
        <v>0.31</v>
      </c>
      <c r="K11" s="6" t="s">
        <v>136</v>
      </c>
      <c r="L11" s="6" t="s">
        <v>140</v>
      </c>
    </row>
    <row r="12" customFormat="false" ht="57.45" hidden="false" customHeight="false" outlineLevel="0" collapsed="false">
      <c r="A12" s="11" t="s">
        <v>147</v>
      </c>
      <c r="B12" s="27"/>
      <c r="C12" s="27"/>
      <c r="D12" s="27" t="n">
        <v>738</v>
      </c>
      <c r="E12" s="31" t="n">
        <f aca="false">'Capex D&amp;A'!E$12</f>
        <v>810.48912</v>
      </c>
      <c r="F12" s="31" t="n">
        <f aca="false">'Capex D&amp;A'!F$12</f>
        <v>972.586944</v>
      </c>
      <c r="G12" s="31" t="n">
        <f aca="false">'Capex D&amp;A'!G$12</f>
        <v>1157.37846336</v>
      </c>
      <c r="H12" s="31" t="n">
        <f aca="false">'Capex D&amp;A'!H$12</f>
        <v>1354.1328021312</v>
      </c>
      <c r="I12" s="31" t="n">
        <f aca="false">'Capex D&amp;A'!I$12</f>
        <v>1570.79405047219</v>
      </c>
      <c r="J12" s="31" t="n">
        <f aca="false">'Capex D&amp;A'!J$12</f>
        <v>1759.28933652886</v>
      </c>
      <c r="K12" s="6" t="s">
        <v>136</v>
      </c>
      <c r="L12" s="6" t="s">
        <v>137</v>
      </c>
    </row>
    <row r="13" customFormat="false" ht="57.45" hidden="false" customHeight="false" outlineLevel="0" collapsed="false">
      <c r="A13" s="4" t="s">
        <v>148</v>
      </c>
      <c r="B13" s="27"/>
      <c r="C13" s="27"/>
      <c r="D13" s="27" t="n">
        <v>2194</v>
      </c>
      <c r="E13" s="31" t="n">
        <f aca="false">'Margin Cost Build'!E$15</f>
        <v>2674.614096</v>
      </c>
      <c r="F13" s="31" t="n">
        <f aca="false">'Margin Cost Build'!F$15</f>
        <v>3501.3129984</v>
      </c>
      <c r="G13" s="31" t="n">
        <f aca="false">'Margin Cost Build'!G$15</f>
        <v>4629.51385344</v>
      </c>
      <c r="H13" s="31" t="n">
        <f aca="false">'Margin Cost Build'!H$15</f>
        <v>5958.18432937728</v>
      </c>
      <c r="I13" s="31" t="n">
        <f aca="false">'Margin Cost Build'!I$15</f>
        <v>7539.81144226652</v>
      </c>
      <c r="J13" s="31" t="n">
        <f aca="false">'Margin Cost Build'!J$15</f>
        <v>9148.30454995005</v>
      </c>
      <c r="K13" s="6" t="s">
        <v>136</v>
      </c>
      <c r="L13" s="6" t="s">
        <v>137</v>
      </c>
    </row>
    <row r="14" customFormat="false" ht="15" hidden="false" customHeight="false" outlineLevel="0" collapsed="false">
      <c r="A14" s="11" t="s">
        <v>149</v>
      </c>
      <c r="B14" s="25" t="str">
        <f aca="false">IFERROR(B13/B6,"")</f>
        <v/>
      </c>
      <c r="C14" s="25" t="str">
        <f aca="false">IFERROR(C13/C6,"")</f>
        <v/>
      </c>
      <c r="D14" s="25" t="n">
        <f aca="false">D13/D6</f>
        <v>0.16523572827233</v>
      </c>
      <c r="E14" s="33" t="n">
        <f aca="false">E13/E6</f>
        <v>0.165</v>
      </c>
      <c r="F14" s="33" t="n">
        <f aca="false">F13/F6</f>
        <v>0.18</v>
      </c>
      <c r="G14" s="33" t="n">
        <f aca="false">G13/G6</f>
        <v>0.2</v>
      </c>
      <c r="H14" s="33" t="n">
        <f aca="false">H13/H6</f>
        <v>0.22</v>
      </c>
      <c r="I14" s="33" t="n">
        <f aca="false">I13/I6</f>
        <v>0.24</v>
      </c>
      <c r="J14" s="33" t="n">
        <f aca="false">J13/J6</f>
        <v>0.26</v>
      </c>
      <c r="K14" s="6" t="s">
        <v>136</v>
      </c>
      <c r="L14" s="6" t="s">
        <v>140</v>
      </c>
    </row>
    <row r="15" customFormat="false" ht="57.45" hidden="false" customHeight="false" outlineLevel="0" collapsed="false">
      <c r="A15" s="11" t="s">
        <v>150</v>
      </c>
      <c r="B15" s="27"/>
      <c r="C15" s="27"/>
      <c r="D15" s="27" t="n">
        <v>461</v>
      </c>
      <c r="E15" s="31" t="n">
        <f aca="false">'Tax Schedule'!E$12</f>
        <v>561.66896016</v>
      </c>
      <c r="F15" s="31" t="n">
        <f aca="false">'Tax Schedule'!F$12</f>
        <v>735.275729664</v>
      </c>
      <c r="G15" s="31" t="n">
        <f aca="false">'Tax Schedule'!G$12</f>
        <v>972.1979092224</v>
      </c>
      <c r="H15" s="31" t="n">
        <f aca="false">'Tax Schedule'!H$12</f>
        <v>1251.21870916923</v>
      </c>
      <c r="I15" s="31" t="n">
        <f aca="false">'Tax Schedule'!I$12</f>
        <v>1583.36040287597</v>
      </c>
      <c r="J15" s="31" t="n">
        <f aca="false">'Tax Schedule'!J$12</f>
        <v>1921.14395548951</v>
      </c>
      <c r="K15" s="6" t="s">
        <v>136</v>
      </c>
      <c r="L15" s="6" t="s">
        <v>137</v>
      </c>
    </row>
    <row r="16" customFormat="false" ht="35.05" hidden="false" customHeight="false" outlineLevel="0" collapsed="false">
      <c r="A16" s="11" t="s">
        <v>151</v>
      </c>
      <c r="B16" s="27"/>
      <c r="C16" s="27"/>
      <c r="D16" s="27"/>
      <c r="E16" s="31" t="n">
        <f aca="false">E13-E15</f>
        <v>2112.94513584</v>
      </c>
      <c r="F16" s="31" t="n">
        <f aca="false">F13-F15</f>
        <v>2766.037268736</v>
      </c>
      <c r="G16" s="31" t="n">
        <f aca="false">G13-G15</f>
        <v>3657.3159442176</v>
      </c>
      <c r="H16" s="31" t="n">
        <f aca="false">H13-H15</f>
        <v>4706.96562020805</v>
      </c>
      <c r="I16" s="31" t="n">
        <f aca="false">I13-I15</f>
        <v>5956.45103939055</v>
      </c>
      <c r="J16" s="31" t="n">
        <f aca="false">J13-J15</f>
        <v>7227.16059446054</v>
      </c>
      <c r="K16" s="6" t="s">
        <v>152</v>
      </c>
      <c r="L16" s="6" t="s">
        <v>153</v>
      </c>
    </row>
    <row r="17" customFormat="false" ht="57.45" hidden="false" customHeight="false" outlineLevel="0" collapsed="false">
      <c r="A17" s="11" t="s">
        <v>154</v>
      </c>
      <c r="B17" s="27"/>
      <c r="C17" s="27"/>
      <c r="D17" s="27" t="n">
        <v>868</v>
      </c>
      <c r="E17" s="31" t="n">
        <f aca="false">'Capex D&amp;A'!E$9</f>
        <v>972.586944</v>
      </c>
      <c r="F17" s="31" t="n">
        <f aca="false">'Capex D&amp;A'!F$9</f>
        <v>1167.1043328</v>
      </c>
      <c r="G17" s="31" t="n">
        <f aca="false">'Capex D&amp;A'!G$9</f>
        <v>1388.854156032</v>
      </c>
      <c r="H17" s="31" t="n">
        <f aca="false">'Capex D&amp;A'!H$9</f>
        <v>1624.95936255744</v>
      </c>
      <c r="I17" s="31" t="n">
        <f aca="false">'Capex D&amp;A'!I$9</f>
        <v>1884.95286056663</v>
      </c>
      <c r="J17" s="31" t="n">
        <f aca="false">'Capex D&amp;A'!J$9</f>
        <v>2111.14720383463</v>
      </c>
      <c r="K17" s="6" t="s">
        <v>136</v>
      </c>
      <c r="L17" s="6" t="s">
        <v>137</v>
      </c>
    </row>
    <row r="18" customFormat="false" ht="57.45" hidden="false" customHeight="false" outlineLevel="0" collapsed="false">
      <c r="A18" s="11" t="s">
        <v>155</v>
      </c>
      <c r="B18" s="27"/>
      <c r="C18" s="27"/>
      <c r="D18" s="27" t="n">
        <v>-5150</v>
      </c>
      <c r="E18" s="31" t="n">
        <f aca="false">'Working Capital'!E$16</f>
        <v>-6321.815136</v>
      </c>
      <c r="F18" s="31" t="n">
        <f aca="false">'Working Capital'!F$16</f>
        <v>-7586.1781632</v>
      </c>
      <c r="G18" s="31" t="n">
        <f aca="false">'Working Capital'!G$16</f>
        <v>-9027.552014208</v>
      </c>
      <c r="H18" s="31" t="n">
        <f aca="false">'Working Capital'!H$16</f>
        <v>-10562.2358566234</v>
      </c>
      <c r="I18" s="31" t="n">
        <f aca="false">'Working Capital'!I$16</f>
        <v>-12252.1935936831</v>
      </c>
      <c r="J18" s="31" t="n">
        <f aca="false">'Working Capital'!J$16</f>
        <v>-13722.4568249251</v>
      </c>
      <c r="K18" s="6" t="s">
        <v>136</v>
      </c>
      <c r="L18" s="6" t="s">
        <v>137</v>
      </c>
    </row>
    <row r="19" customFormat="false" ht="15" hidden="false" customHeight="false" outlineLevel="0" collapsed="false">
      <c r="A19" s="11" t="s">
        <v>156</v>
      </c>
      <c r="B19" s="32" t="s">
        <v>139</v>
      </c>
      <c r="C19" s="25" t="str">
        <f aca="false">IF(AND(ISNUMBER(B18),ISNUMBER(C18)),C18/C6-B18/B6,"")</f>
        <v/>
      </c>
      <c r="D19" s="25" t="str">
        <f aca="false">IF(AND(ISNUMBER(C18),ISNUMBER(D18)),D18/D6-C18/C6,"")</f>
        <v/>
      </c>
      <c r="E19" s="31" t="n">
        <f aca="false">'Working Capital'!E$17</f>
        <v>-1171.815136</v>
      </c>
      <c r="F19" s="31" t="n">
        <f aca="false">'Working Capital'!F$17</f>
        <v>-1264.3630272</v>
      </c>
      <c r="G19" s="31" t="n">
        <f aca="false">'Working Capital'!G$17</f>
        <v>-1441.373851008</v>
      </c>
      <c r="H19" s="31" t="n">
        <f aca="false">'Working Capital'!H$17</f>
        <v>-1534.68384241536</v>
      </c>
      <c r="I19" s="31" t="n">
        <f aca="false">'Working Capital'!I$17</f>
        <v>-1689.95773705974</v>
      </c>
      <c r="J19" s="31" t="n">
        <f aca="false">'Working Capital'!J$17</f>
        <v>-1470.26323124197</v>
      </c>
      <c r="K19" s="6" t="s">
        <v>136</v>
      </c>
      <c r="L19" s="6" t="s">
        <v>140</v>
      </c>
    </row>
    <row r="20" customFormat="false" ht="57.45" hidden="false" customHeight="false" outlineLevel="0" collapsed="false">
      <c r="A20" s="4" t="s">
        <v>27</v>
      </c>
      <c r="B20" s="27"/>
      <c r="C20" s="27"/>
      <c r="D20" s="27" t="n">
        <v>2681</v>
      </c>
      <c r="E20" s="31" t="n">
        <f aca="false">'Unlevered FCF'!E$14</f>
        <v>3122.66244784</v>
      </c>
      <c r="F20" s="31" t="n">
        <f aca="false">'Unlevered FCF'!F$14</f>
        <v>3835.882907136</v>
      </c>
      <c r="G20" s="31" t="n">
        <f aca="false">'Unlevered FCF'!G$14</f>
        <v>4867.2141025536</v>
      </c>
      <c r="H20" s="31" t="n">
        <f aca="false">'Unlevered FCF'!H$14</f>
        <v>5970.82290219717</v>
      </c>
      <c r="I20" s="31" t="n">
        <f aca="false">'Unlevered FCF'!I$14</f>
        <v>7332.24996635585</v>
      </c>
      <c r="J20" s="31" t="n">
        <f aca="false">'Unlevered FCF'!J$14</f>
        <v>8345.56595839674</v>
      </c>
      <c r="K20" s="6" t="s">
        <v>136</v>
      </c>
      <c r="L20" s="6" t="s">
        <v>137</v>
      </c>
    </row>
    <row r="21" customFormat="false" ht="57.45" hidden="false" customHeight="false" outlineLevel="0" collapsed="false">
      <c r="A21" s="11" t="s">
        <v>157</v>
      </c>
      <c r="B21" s="27"/>
      <c r="C21" s="27"/>
      <c r="D21" s="27" t="n">
        <v>2289</v>
      </c>
      <c r="E21" s="31" t="n">
        <f aca="false">'Capex D&amp;A'!E$13</f>
        <v>2451.097824</v>
      </c>
      <c r="F21" s="31" t="n">
        <f aca="false">'Capex D&amp;A'!F$13</f>
        <v>2645.6152128</v>
      </c>
      <c r="G21" s="31" t="n">
        <f aca="false">'Capex D&amp;A'!G$13</f>
        <v>2877.090905472</v>
      </c>
      <c r="H21" s="31" t="n">
        <f aca="false">'Capex D&amp;A'!H$13</f>
        <v>3147.91746589824</v>
      </c>
      <c r="I21" s="31" t="n">
        <f aca="false">'Capex D&amp;A'!I$13</f>
        <v>3462.07627599268</v>
      </c>
      <c r="J21" s="31" t="n">
        <f aca="false">'Capex D&amp;A'!J$13</f>
        <v>3813.93414329845</v>
      </c>
      <c r="K21" s="6" t="s">
        <v>136</v>
      </c>
      <c r="L21" s="6" t="s">
        <v>137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24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</row>
    <row r="7" customFormat="false" ht="15" hidden="false" customHeight="true" outlineLevel="0" collapsed="false">
      <c r="A7" s="3" t="s">
        <v>158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11" t="s">
        <v>159</v>
      </c>
      <c r="B8" s="16" t="s">
        <v>131</v>
      </c>
      <c r="C8" s="16" t="s">
        <v>131</v>
      </c>
      <c r="D8" s="16" t="s">
        <v>160</v>
      </c>
      <c r="E8" s="31" t="str">
        <f aca="false">'Control Panel'!$B$10</f>
        <v>Base</v>
      </c>
      <c r="F8" s="31" t="str">
        <f aca="false">'Control Panel'!$B$10</f>
        <v>Base</v>
      </c>
      <c r="G8" s="31" t="str">
        <f aca="false">'Control Panel'!$B$10</f>
        <v>Base</v>
      </c>
      <c r="H8" s="31" t="str">
        <f aca="false">'Control Panel'!$B$10</f>
        <v>Base</v>
      </c>
      <c r="I8" s="31" t="str">
        <f aca="false">'Control Panel'!$B$10</f>
        <v>Base</v>
      </c>
      <c r="J8" s="31" t="str">
        <f aca="false">'Control Panel'!$B$10</f>
        <v>Base</v>
      </c>
    </row>
    <row r="9" customFormat="false" ht="15" hidden="false" customHeight="false" outlineLevel="0" collapsed="false">
      <c r="A9" s="11" t="s">
        <v>161</v>
      </c>
      <c r="B9" s="32" t="s">
        <v>139</v>
      </c>
      <c r="C9" s="25" t="str">
        <f aca="false">IFERROR(C14/B14-1,"")</f>
        <v/>
      </c>
      <c r="D9" s="25" t="str">
        <f aca="false">IFERROR(D14/C14-1,"")</f>
        <v/>
      </c>
      <c r="E9" s="33" t="n">
        <f aca="false">INDEX('Control Panel'!B$21:B$23,MATCH('Control Panel'!$B$10,'Control Panel'!$A$21:$A$23,0))</f>
        <v>0.2208</v>
      </c>
      <c r="F9" s="33" t="n">
        <f aca="false">INDEX('Control Panel'!C$21:C$23,MATCH('Control Panel'!$B$10,'Control Panel'!$A$21:$A$23,0))</f>
        <v>0.2</v>
      </c>
      <c r="G9" s="33" t="n">
        <f aca="false">INDEX('Control Panel'!D$21:D$23,MATCH('Control Panel'!$B$10,'Control Panel'!$A$21:$A$23,0))</f>
        <v>0.19</v>
      </c>
      <c r="H9" s="33" t="n">
        <f aca="false">INDEX('Control Panel'!E$21:E$23,MATCH('Control Panel'!$B$10,'Control Panel'!$A$21:$A$23,0))</f>
        <v>0.17</v>
      </c>
      <c r="I9" s="33" t="n">
        <f aca="false">INDEX('Control Panel'!F$21:F$23,MATCH('Control Panel'!$B$10,'Control Panel'!$A$21:$A$23,0))</f>
        <v>0.16</v>
      </c>
      <c r="J9" s="33" t="n">
        <f aca="false">INDEX('Control Panel'!G$21:G$23,MATCH('Control Panel'!$B$10,'Control Panel'!$A$21:$A$23,0))</f>
        <v>0.12</v>
      </c>
    </row>
    <row r="10" customFormat="false" ht="15" hidden="false" customHeight="false" outlineLevel="0" collapsed="false">
      <c r="A10" s="11" t="s">
        <v>162</v>
      </c>
      <c r="B10" s="27"/>
      <c r="C10" s="27"/>
      <c r="D10" s="27" t="n">
        <v>13278</v>
      </c>
      <c r="E10" s="34" t="n">
        <f aca="false">D10*(1+E9)</f>
        <v>16209.7824</v>
      </c>
      <c r="F10" s="34" t="n">
        <f aca="false">E10*(1+F9)</f>
        <v>19451.73888</v>
      </c>
      <c r="G10" s="34" t="n">
        <f aca="false">F10*(1+G9)</f>
        <v>23147.5692672</v>
      </c>
      <c r="H10" s="34" t="n">
        <f aca="false">G10*(1+H9)</f>
        <v>27082.656042624</v>
      </c>
      <c r="I10" s="34" t="n">
        <f aca="false">H10*(1+I9)</f>
        <v>31415.8810094438</v>
      </c>
      <c r="J10" s="34" t="n">
        <f aca="false">I10*(1+J9)</f>
        <v>35185.7867305771</v>
      </c>
    </row>
    <row r="11" customFormat="false" ht="15" hidden="false" customHeight="false" outlineLevel="0" collapsed="false">
      <c r="A11" s="11" t="s">
        <v>163</v>
      </c>
      <c r="B11" s="27"/>
      <c r="C11" s="27"/>
      <c r="D11" s="27" t="n">
        <v>0</v>
      </c>
      <c r="E11" s="34" t="n">
        <f aca="false">D11*(1+E9*'Control Panel'!$B$15)</f>
        <v>0</v>
      </c>
      <c r="F11" s="34" t="n">
        <f aca="false">E11*(1+F9*'Control Panel'!$B$15)</f>
        <v>0</v>
      </c>
      <c r="G11" s="34" t="n">
        <f aca="false">F11*(1+G9*'Control Panel'!$B$15)</f>
        <v>0</v>
      </c>
      <c r="H11" s="34" t="n">
        <f aca="false">G11*(1+H9*'Control Panel'!$B$15)</f>
        <v>0</v>
      </c>
      <c r="I11" s="34" t="n">
        <f aca="false">H11*(1+I9*'Control Panel'!$B$15)</f>
        <v>0</v>
      </c>
      <c r="J11" s="34" t="n">
        <f aca="false">I11*(1+J9*'Control Panel'!$B$15)</f>
        <v>0</v>
      </c>
    </row>
    <row r="12" customFormat="false" ht="15" hidden="false" customHeight="false" outlineLevel="0" collapsed="false">
      <c r="A12" s="11" t="s">
        <v>164</v>
      </c>
      <c r="B12" s="25" t="str">
        <f aca="false">IFERROR(B10/B14,"")</f>
        <v/>
      </c>
      <c r="C12" s="25" t="str">
        <f aca="false">IFERROR(C10/C14,"")</f>
        <v/>
      </c>
      <c r="D12" s="25" t="n">
        <f aca="false">D10/D14</f>
        <v>1</v>
      </c>
      <c r="E12" s="25" t="n">
        <f aca="false">E10/E14</f>
        <v>1</v>
      </c>
      <c r="F12" s="25" t="n">
        <f aca="false">F10/F14</f>
        <v>1</v>
      </c>
      <c r="G12" s="25" t="n">
        <f aca="false">G10/G14</f>
        <v>1</v>
      </c>
      <c r="H12" s="25" t="n">
        <f aca="false">H10/H14</f>
        <v>1</v>
      </c>
      <c r="I12" s="25" t="n">
        <f aca="false">I10/I14</f>
        <v>1</v>
      </c>
      <c r="J12" s="25" t="n">
        <f aca="false">J10/J14</f>
        <v>1</v>
      </c>
    </row>
    <row r="14" customFormat="false" ht="15" hidden="false" customHeight="false" outlineLevel="0" collapsed="false">
      <c r="A14" s="4" t="s">
        <v>165</v>
      </c>
      <c r="B14" s="12" t="n">
        <f aca="false">SUM(B10:B11)</f>
        <v>0</v>
      </c>
      <c r="C14" s="12" t="n">
        <f aca="false">SUM(C10:C11)</f>
        <v>0</v>
      </c>
      <c r="D14" s="12" t="n">
        <f aca="false">SUM(D10:D11)</f>
        <v>13278</v>
      </c>
      <c r="E14" s="12" t="n">
        <f aca="false">SUM(E10:E11)</f>
        <v>16209.7824</v>
      </c>
      <c r="F14" s="12" t="n">
        <f aca="false">SUM(F10:F11)</f>
        <v>19451.73888</v>
      </c>
      <c r="G14" s="12" t="n">
        <f aca="false">SUM(G10:G11)</f>
        <v>23147.5692672</v>
      </c>
      <c r="H14" s="12" t="n">
        <f aca="false">SUM(H10:H11)</f>
        <v>27082.656042624</v>
      </c>
      <c r="I14" s="12" t="n">
        <f aca="false">SUM(I10:I11)</f>
        <v>31415.8810094438</v>
      </c>
      <c r="J14" s="12" t="n">
        <f aca="false">SUM(J10:J11)</f>
        <v>35185.7867305771</v>
      </c>
    </row>
    <row r="15" customFormat="false" ht="15" hidden="false" customHeight="false" outlineLevel="0" collapsed="false">
      <c r="A15" s="4" t="s">
        <v>166</v>
      </c>
      <c r="B15" s="35" t="s">
        <v>139</v>
      </c>
      <c r="C15" s="15" t="str">
        <f aca="false">IFERROR(C14/B14-1,"")</f>
        <v/>
      </c>
      <c r="D15" s="15" t="str">
        <f aca="false">IFERROR(D14/C14-1,"")</f>
        <v/>
      </c>
      <c r="E15" s="15" t="n">
        <f aca="false">E14/D14-1</f>
        <v>0.2208</v>
      </c>
      <c r="F15" s="15" t="n">
        <f aca="false">F14/E14-1</f>
        <v>0.2</v>
      </c>
      <c r="G15" s="15" t="n">
        <f aca="false">G14/F14-1</f>
        <v>0.19</v>
      </c>
      <c r="H15" s="15" t="n">
        <f aca="false">H14/G14-1</f>
        <v>0.17</v>
      </c>
      <c r="I15" s="15" t="n">
        <f aca="false">I14/H14-1</f>
        <v>0.16</v>
      </c>
      <c r="J15" s="15" t="n">
        <f aca="false">J14/I14-1</f>
        <v>0.12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24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</row>
    <row r="7" customFormat="false" ht="15" hidden="false" customHeight="true" outlineLevel="0" collapsed="false">
      <c r="A7" s="3" t="s">
        <v>168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4" t="s">
        <v>135</v>
      </c>
      <c r="B8" s="31" t="n">
        <f aca="false">'Historical Financials'!B$6</f>
        <v>0</v>
      </c>
      <c r="C8" s="31" t="n">
        <f aca="false">'Historical Financials'!C$6</f>
        <v>0</v>
      </c>
      <c r="D8" s="31" t="n">
        <f aca="false">'Historical Financials'!D$6</f>
        <v>13278</v>
      </c>
      <c r="E8" s="31" t="n">
        <f aca="false">'Revenue Build'!E$14</f>
        <v>16209.7824</v>
      </c>
      <c r="F8" s="31" t="n">
        <f aca="false">'Revenue Build'!F$14</f>
        <v>19451.73888</v>
      </c>
      <c r="G8" s="31" t="n">
        <f aca="false">'Revenue Build'!G$14</f>
        <v>23147.5692672</v>
      </c>
      <c r="H8" s="31" t="n">
        <f aca="false">'Revenue Build'!H$14</f>
        <v>27082.656042624</v>
      </c>
      <c r="I8" s="31" t="n">
        <f aca="false">'Revenue Build'!I$14</f>
        <v>31415.8810094438</v>
      </c>
      <c r="J8" s="31" t="n">
        <f aca="false">'Revenue Build'!J$14</f>
        <v>35185.7867305771</v>
      </c>
    </row>
    <row r="9" customFormat="false" ht="15" hidden="false" customHeight="false" outlineLevel="0" collapsed="false">
      <c r="A9" s="11" t="s">
        <v>141</v>
      </c>
      <c r="B9" s="31" t="n">
        <f aca="false">'Historical Financials'!B$8</f>
        <v>0</v>
      </c>
      <c r="C9" s="31" t="n">
        <f aca="false">'Historical Financials'!C$8</f>
        <v>0</v>
      </c>
      <c r="D9" s="31" t="n">
        <f aca="false">'Historical Financials'!D$8</f>
        <v>10294.4334</v>
      </c>
      <c r="E9" s="31"/>
      <c r="F9" s="31"/>
      <c r="G9" s="31"/>
      <c r="H9" s="31"/>
      <c r="I9" s="31"/>
      <c r="J9" s="31"/>
    </row>
    <row r="10" customFormat="false" ht="15" hidden="false" customHeight="false" outlineLevel="0" collapsed="false">
      <c r="A10" s="11" t="s">
        <v>144</v>
      </c>
      <c r="B10" s="33" t="str">
        <f aca="false">IFERROR(B9/B8,"")</f>
        <v/>
      </c>
      <c r="C10" s="33" t="str">
        <f aca="false">IFERROR(C9/C8,"")</f>
        <v/>
      </c>
      <c r="D10" s="33" t="n">
        <f aca="false">D9/D8</f>
        <v>0.7753</v>
      </c>
      <c r="E10" s="33"/>
      <c r="F10" s="33"/>
      <c r="G10" s="33"/>
      <c r="H10" s="33"/>
      <c r="I10" s="33"/>
      <c r="J10" s="33"/>
    </row>
    <row r="11" customFormat="false" ht="15" hidden="false" customHeight="false" outlineLevel="0" collapsed="false">
      <c r="A11" s="11" t="s">
        <v>169</v>
      </c>
      <c r="B11" s="33" t="str">
        <f aca="false">'Historical Financials'!B$11</f>
        <v/>
      </c>
      <c r="C11" s="33" t="str">
        <f aca="false">'Historical Financials'!C$11</f>
        <v/>
      </c>
      <c r="D11" s="33" t="n">
        <f aca="false">'Historical Financials'!D$11</f>
        <v>0.220816388010243</v>
      </c>
      <c r="E11" s="33" t="n">
        <f aca="false">INDEX('Control Panel'!B$26:B$28,MATCH('Control Panel'!$B$10,'Control Panel'!$A$26:$A$28,0))</f>
        <v>0.215</v>
      </c>
      <c r="F11" s="33" t="n">
        <f aca="false">INDEX('Control Panel'!C$26:C$28,MATCH('Control Panel'!$B$10,'Control Panel'!$A$26:$A$28,0))</f>
        <v>0.23</v>
      </c>
      <c r="G11" s="33" t="n">
        <f aca="false">INDEX('Control Panel'!D$26:D$28,MATCH('Control Panel'!$B$10,'Control Panel'!$A$26:$A$28,0))</f>
        <v>0.25</v>
      </c>
      <c r="H11" s="33" t="n">
        <f aca="false">INDEX('Control Panel'!E$26:E$28,MATCH('Control Panel'!$B$10,'Control Panel'!$A$26:$A$28,0))</f>
        <v>0.27</v>
      </c>
      <c r="I11" s="33" t="n">
        <f aca="false">INDEX('Control Panel'!F$26:F$28,MATCH('Control Panel'!$B$10,'Control Panel'!$A$26:$A$28,0))</f>
        <v>0.29</v>
      </c>
      <c r="J11" s="33" t="n">
        <f aca="false">INDEX('Control Panel'!G$26:G$28,MATCH('Control Panel'!$B$10,'Control Panel'!$A$26:$A$28,0))</f>
        <v>0.31</v>
      </c>
    </row>
    <row r="12" customFormat="false" ht="15" hidden="false" customHeight="false" outlineLevel="0" collapsed="false">
      <c r="A12" s="4" t="s">
        <v>145</v>
      </c>
      <c r="B12" s="31" t="n">
        <f aca="false">'Historical Financials'!B$10</f>
        <v>0</v>
      </c>
      <c r="C12" s="31" t="n">
        <f aca="false">'Historical Financials'!C$10</f>
        <v>0</v>
      </c>
      <c r="D12" s="31" t="n">
        <f aca="false">'Historical Financials'!D$10</f>
        <v>2932</v>
      </c>
      <c r="E12" s="12" t="n">
        <f aca="false">E8*E11</f>
        <v>3485.103216</v>
      </c>
      <c r="F12" s="12" t="n">
        <f aca="false">F8*F11</f>
        <v>4473.8999424</v>
      </c>
      <c r="G12" s="12" t="n">
        <f aca="false">G8*G11</f>
        <v>5786.8923168</v>
      </c>
      <c r="H12" s="12" t="n">
        <f aca="false">H8*H11</f>
        <v>7312.31713150848</v>
      </c>
      <c r="I12" s="12" t="n">
        <f aca="false">I8*I11</f>
        <v>9110.60549273871</v>
      </c>
      <c r="J12" s="12" t="n">
        <f aca="false">J8*J11</f>
        <v>10907.5938864789</v>
      </c>
    </row>
    <row r="13" customFormat="false" ht="15" hidden="false" customHeight="false" outlineLevel="0" collapsed="false">
      <c r="A13" s="11" t="s">
        <v>147</v>
      </c>
      <c r="B13" s="31" t="n">
        <f aca="false">'Historical Financials'!B$12</f>
        <v>0</v>
      </c>
      <c r="C13" s="31" t="n">
        <f aca="false">'Historical Financials'!C$12</f>
        <v>0</v>
      </c>
      <c r="D13" s="31" t="n">
        <f aca="false">'Historical Financials'!D$12</f>
        <v>738</v>
      </c>
      <c r="E13" s="31" t="n">
        <f aca="false">'Capex D&amp;A'!E$12</f>
        <v>810.48912</v>
      </c>
      <c r="F13" s="31" t="n">
        <f aca="false">'Capex D&amp;A'!F$12</f>
        <v>972.586944</v>
      </c>
      <c r="G13" s="31" t="n">
        <f aca="false">'Capex D&amp;A'!G$12</f>
        <v>1157.37846336</v>
      </c>
      <c r="H13" s="31" t="n">
        <f aca="false">'Capex D&amp;A'!H$12</f>
        <v>1354.1328021312</v>
      </c>
      <c r="I13" s="31" t="n">
        <f aca="false">'Capex D&amp;A'!I$12</f>
        <v>1570.79405047219</v>
      </c>
      <c r="J13" s="31" t="n">
        <f aca="false">'Capex D&amp;A'!J$12</f>
        <v>1759.28933652886</v>
      </c>
    </row>
    <row r="14" customFormat="false" ht="15" hidden="false" customHeight="false" outlineLevel="0" collapsed="false">
      <c r="A14" s="11" t="s">
        <v>170</v>
      </c>
      <c r="B14" s="33" t="str">
        <f aca="false">IFERROR(B13/B8,"")</f>
        <v/>
      </c>
      <c r="C14" s="33" t="str">
        <f aca="false">IFERROR(C13/C8,"")</f>
        <v/>
      </c>
      <c r="D14" s="33" t="n">
        <f aca="false">D13/D8</f>
        <v>0.0555806597379123</v>
      </c>
      <c r="E14" s="25" t="n">
        <f aca="false">E13/E8</f>
        <v>0.05</v>
      </c>
      <c r="F14" s="25" t="n">
        <f aca="false">F13/F8</f>
        <v>0.05</v>
      </c>
      <c r="G14" s="25" t="n">
        <f aca="false">G13/G8</f>
        <v>0.05</v>
      </c>
      <c r="H14" s="25" t="n">
        <f aca="false">H13/H8</f>
        <v>0.05</v>
      </c>
      <c r="I14" s="25" t="n">
        <f aca="false">I13/I8</f>
        <v>0.05</v>
      </c>
      <c r="J14" s="25" t="n">
        <f aca="false">J13/J8</f>
        <v>0.05</v>
      </c>
    </row>
    <row r="15" customFormat="false" ht="15" hidden="false" customHeight="false" outlineLevel="0" collapsed="false">
      <c r="A15" s="4" t="s">
        <v>148</v>
      </c>
      <c r="B15" s="31" t="n">
        <f aca="false">B12-B13</f>
        <v>0</v>
      </c>
      <c r="C15" s="31" t="n">
        <f aca="false">C12-C13</f>
        <v>0</v>
      </c>
      <c r="D15" s="31" t="n">
        <f aca="false">D12-D13</f>
        <v>2194</v>
      </c>
      <c r="E15" s="12" t="n">
        <f aca="false">E12-E13</f>
        <v>2674.614096</v>
      </c>
      <c r="F15" s="12" t="n">
        <f aca="false">F12-F13</f>
        <v>3501.3129984</v>
      </c>
      <c r="G15" s="12" t="n">
        <f aca="false">G12-G13</f>
        <v>4629.51385344</v>
      </c>
      <c r="H15" s="12" t="n">
        <f aca="false">H12-H13</f>
        <v>5958.18432937728</v>
      </c>
      <c r="I15" s="12" t="n">
        <f aca="false">I12-I13</f>
        <v>7539.81144226652</v>
      </c>
      <c r="J15" s="12" t="n">
        <f aca="false">J12-J13</f>
        <v>9148.30454995005</v>
      </c>
    </row>
    <row r="16" customFormat="false" ht="15" hidden="false" customHeight="false" outlineLevel="0" collapsed="false">
      <c r="A16" s="11" t="s">
        <v>149</v>
      </c>
      <c r="B16" s="33" t="str">
        <f aca="false">IFERROR(B15/B8,"")</f>
        <v/>
      </c>
      <c r="C16" s="33" t="str">
        <f aca="false">IFERROR(C15/C8,"")</f>
        <v/>
      </c>
      <c r="D16" s="33" t="n">
        <f aca="false">D15/D8</f>
        <v>0.16523572827233</v>
      </c>
      <c r="E16" s="25" t="n">
        <f aca="false">E15/E8</f>
        <v>0.165</v>
      </c>
      <c r="F16" s="25" t="n">
        <f aca="false">F15/F8</f>
        <v>0.18</v>
      </c>
      <c r="G16" s="25" t="n">
        <f aca="false">G15/G8</f>
        <v>0.2</v>
      </c>
      <c r="H16" s="25" t="n">
        <f aca="false">H15/H8</f>
        <v>0.22</v>
      </c>
      <c r="I16" s="25" t="n">
        <f aca="false">I15/I8</f>
        <v>0.24</v>
      </c>
      <c r="J16" s="25" t="n">
        <f aca="false">J15/J8</f>
        <v>0.26</v>
      </c>
    </row>
    <row r="17" customFormat="false" ht="23.85" hidden="false" customHeight="false" outlineLevel="0" collapsed="false">
      <c r="A17" s="11" t="s">
        <v>171</v>
      </c>
      <c r="B17" s="36" t="s">
        <v>139</v>
      </c>
      <c r="C17" s="33" t="str">
        <f aca="false">IF(AND(ISNUMBER(B16),ISNUMBER(C16)),C16-B16,"")</f>
        <v/>
      </c>
      <c r="D17" s="33" t="str">
        <f aca="false">IF(AND(ISNUMBER(C16),ISNUMBER(D16)),D16-C16,"")</f>
        <v/>
      </c>
      <c r="E17" s="25" t="n">
        <f aca="false">E16-D16</f>
        <v>-0.000235728272330121</v>
      </c>
      <c r="F17" s="25" t="n">
        <f aca="false">F16-E16</f>
        <v>0.0149999999999999</v>
      </c>
      <c r="G17" s="25" t="n">
        <f aca="false">G16-F16</f>
        <v>0.02</v>
      </c>
      <c r="H17" s="25" t="n">
        <f aca="false">H16-G16</f>
        <v>0.02</v>
      </c>
      <c r="I17" s="25" t="n">
        <f aca="false">I16-H16</f>
        <v>0.02</v>
      </c>
      <c r="J17" s="25" t="n">
        <f aca="false">J16-I16</f>
        <v>0.02</v>
      </c>
    </row>
    <row r="18" customFormat="false" ht="15" hidden="false" customHeight="false" outlineLevel="0" collapsed="false">
      <c r="A18" s="4" t="s">
        <v>172</v>
      </c>
      <c r="B18" s="31" t="n">
        <f aca="false">'Historical Financials'!B$15</f>
        <v>0</v>
      </c>
      <c r="C18" s="31" t="n">
        <f aca="false">'Historical Financials'!C$15</f>
        <v>0</v>
      </c>
      <c r="D18" s="31" t="n">
        <f aca="false">'Historical Financials'!D$15</f>
        <v>461</v>
      </c>
      <c r="E18" s="37" t="n">
        <f aca="false">'Tax Schedule'!E$12</f>
        <v>561.66896016</v>
      </c>
      <c r="F18" s="37" t="n">
        <f aca="false">'Tax Schedule'!F$12</f>
        <v>735.275729664</v>
      </c>
      <c r="G18" s="37" t="n">
        <f aca="false">'Tax Schedule'!G$12</f>
        <v>972.1979092224</v>
      </c>
      <c r="H18" s="37" t="n">
        <f aca="false">'Tax Schedule'!H$12</f>
        <v>1251.21870916923</v>
      </c>
      <c r="I18" s="37" t="n">
        <f aca="false">'Tax Schedule'!I$12</f>
        <v>1583.36040287597</v>
      </c>
      <c r="J18" s="37" t="n">
        <f aca="false">'Tax Schedule'!J$12</f>
        <v>1921.14395548951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10" min="2" style="1" width="13"/>
  </cols>
  <sheetData>
    <row r="1" customFormat="false" ht="24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</row>
    <row r="7" customFormat="false" ht="15" hidden="false" customHeight="true" outlineLevel="0" collapsed="false">
      <c r="A7" s="3" t="s">
        <v>173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4" t="s">
        <v>135</v>
      </c>
      <c r="B8" s="31" t="n">
        <f aca="false">'Historical Financials'!B$6</f>
        <v>0</v>
      </c>
      <c r="C8" s="31" t="n">
        <f aca="false">'Historical Financials'!C$6</f>
        <v>0</v>
      </c>
      <c r="D8" s="31" t="n">
        <f aca="false">'Historical Financials'!D$6</f>
        <v>13278</v>
      </c>
      <c r="E8" s="31" t="n">
        <f aca="false">'Revenue Build'!E$14</f>
        <v>16209.7824</v>
      </c>
      <c r="F8" s="31" t="n">
        <f aca="false">'Revenue Build'!F$14</f>
        <v>19451.73888</v>
      </c>
      <c r="G8" s="31" t="n">
        <f aca="false">'Revenue Build'!G$14</f>
        <v>23147.5692672</v>
      </c>
      <c r="H8" s="31" t="n">
        <f aca="false">'Revenue Build'!H$14</f>
        <v>27082.656042624</v>
      </c>
      <c r="I8" s="31" t="n">
        <f aca="false">'Revenue Build'!I$14</f>
        <v>31415.8810094438</v>
      </c>
      <c r="J8" s="31" t="n">
        <f aca="false">'Revenue Build'!J$14</f>
        <v>35185.7867305771</v>
      </c>
    </row>
    <row r="9" customFormat="false" ht="15" hidden="false" customHeight="false" outlineLevel="0" collapsed="false">
      <c r="A9" s="11" t="s">
        <v>105</v>
      </c>
      <c r="B9" s="25" t="str">
        <f aca="false">""</f>
        <v/>
      </c>
      <c r="C9" s="25" t="str">
        <f aca="false">""</f>
        <v/>
      </c>
      <c r="D9" s="25" t="str">
        <f aca="false">""</f>
        <v/>
      </c>
      <c r="E9" s="33" t="n">
        <f aca="false">'Control Panel'!B$61</f>
        <v>-0.39</v>
      </c>
      <c r="F9" s="33" t="n">
        <f aca="false">'Control Panel'!C$61</f>
        <v>-0.39</v>
      </c>
      <c r="G9" s="33" t="n">
        <f aca="false">'Control Panel'!D$61</f>
        <v>-0.39</v>
      </c>
      <c r="H9" s="33" t="n">
        <f aca="false">'Control Panel'!E$61</f>
        <v>-0.39</v>
      </c>
      <c r="I9" s="33" t="n">
        <f aca="false">'Control Panel'!F$61</f>
        <v>-0.39</v>
      </c>
      <c r="J9" s="33" t="n">
        <f aca="false">'Control Panel'!G$61</f>
        <v>-0.39</v>
      </c>
    </row>
    <row r="10" customFormat="false" ht="15" hidden="false" customHeight="false" outlineLevel="0" collapsed="false">
      <c r="A10" s="11" t="s">
        <v>174</v>
      </c>
      <c r="B10" s="34" t="str">
        <f aca="false">""</f>
        <v/>
      </c>
      <c r="C10" s="34" t="str">
        <f aca="false">""</f>
        <v/>
      </c>
      <c r="D10" s="34" t="str">
        <f aca="false">""</f>
        <v/>
      </c>
      <c r="E10" s="34" t="n">
        <f aca="false">E8*E9</f>
        <v>-6321.815136</v>
      </c>
      <c r="F10" s="34" t="n">
        <f aca="false">F8*F9</f>
        <v>-7586.1781632</v>
      </c>
      <c r="G10" s="34" t="n">
        <f aca="false">G8*G9</f>
        <v>-9027.552014208</v>
      </c>
      <c r="H10" s="34" t="n">
        <f aca="false">H8*H9</f>
        <v>-10562.2358566234</v>
      </c>
      <c r="I10" s="34" t="n">
        <f aca="false">I8*I9</f>
        <v>-12252.1935936831</v>
      </c>
      <c r="J10" s="34" t="n">
        <f aca="false">J8*J9</f>
        <v>-13722.4568249251</v>
      </c>
    </row>
    <row r="11" customFormat="false" ht="15" hidden="false" customHeight="false" outlineLevel="0" collapsed="false">
      <c r="A11" s="11" t="s">
        <v>106</v>
      </c>
      <c r="B11" s="25" t="str">
        <f aca="false">""</f>
        <v/>
      </c>
      <c r="C11" s="25" t="str">
        <f aca="false">""</f>
        <v/>
      </c>
      <c r="D11" s="25" t="str">
        <f aca="false">""</f>
        <v/>
      </c>
      <c r="E11" s="33" t="n">
        <f aca="false">'Control Panel'!B$62</f>
        <v>0</v>
      </c>
      <c r="F11" s="33" t="n">
        <f aca="false">'Control Panel'!C$62</f>
        <v>0</v>
      </c>
      <c r="G11" s="33" t="n">
        <f aca="false">'Control Panel'!D$62</f>
        <v>0</v>
      </c>
      <c r="H11" s="33" t="n">
        <f aca="false">'Control Panel'!E$62</f>
        <v>0</v>
      </c>
      <c r="I11" s="33" t="n">
        <f aca="false">'Control Panel'!F$62</f>
        <v>0</v>
      </c>
      <c r="J11" s="33" t="n">
        <f aca="false">'Control Panel'!G$62</f>
        <v>0</v>
      </c>
    </row>
    <row r="12" customFormat="false" ht="15" hidden="false" customHeight="false" outlineLevel="0" collapsed="false">
      <c r="A12" s="11" t="s">
        <v>175</v>
      </c>
      <c r="B12" s="34" t="str">
        <f aca="false">""</f>
        <v/>
      </c>
      <c r="C12" s="34" t="str">
        <f aca="false">""</f>
        <v/>
      </c>
      <c r="D12" s="34" t="str">
        <f aca="false">""</f>
        <v/>
      </c>
      <c r="E12" s="34" t="n">
        <f aca="false">E8*E11</f>
        <v>0</v>
      </c>
      <c r="F12" s="34" t="n">
        <f aca="false">F8*F11</f>
        <v>0</v>
      </c>
      <c r="G12" s="34" t="n">
        <f aca="false">G8*G11</f>
        <v>0</v>
      </c>
      <c r="H12" s="34" t="n">
        <f aca="false">H8*H11</f>
        <v>0</v>
      </c>
      <c r="I12" s="34" t="n">
        <f aca="false">I8*I11</f>
        <v>0</v>
      </c>
      <c r="J12" s="34" t="n">
        <f aca="false">J8*J11</f>
        <v>0</v>
      </c>
    </row>
    <row r="13" customFormat="false" ht="15" hidden="false" customHeight="false" outlineLevel="0" collapsed="false">
      <c r="A13" s="11" t="s">
        <v>107</v>
      </c>
      <c r="B13" s="25" t="str">
        <f aca="false">""</f>
        <v/>
      </c>
      <c r="C13" s="25" t="str">
        <f aca="false">""</f>
        <v/>
      </c>
      <c r="D13" s="25" t="str">
        <f aca="false">""</f>
        <v/>
      </c>
      <c r="E13" s="33" t="n">
        <f aca="false">'Control Panel'!B$63</f>
        <v>0</v>
      </c>
      <c r="F13" s="33" t="n">
        <f aca="false">'Control Panel'!C$63</f>
        <v>0</v>
      </c>
      <c r="G13" s="33" t="n">
        <f aca="false">'Control Panel'!D$63</f>
        <v>0</v>
      </c>
      <c r="H13" s="33" t="n">
        <f aca="false">'Control Panel'!E$63</f>
        <v>0</v>
      </c>
      <c r="I13" s="33" t="n">
        <f aca="false">'Control Panel'!F$63</f>
        <v>0</v>
      </c>
      <c r="J13" s="33" t="n">
        <f aca="false">'Control Panel'!G$63</f>
        <v>0</v>
      </c>
    </row>
    <row r="14" customFormat="false" ht="15" hidden="false" customHeight="false" outlineLevel="0" collapsed="false">
      <c r="A14" s="11" t="s">
        <v>176</v>
      </c>
      <c r="B14" s="34" t="str">
        <f aca="false">""</f>
        <v/>
      </c>
      <c r="C14" s="34" t="str">
        <f aca="false">""</f>
        <v/>
      </c>
      <c r="D14" s="34" t="str">
        <f aca="false">""</f>
        <v/>
      </c>
      <c r="E14" s="34" t="n">
        <f aca="false">E8*E13</f>
        <v>0</v>
      </c>
      <c r="F14" s="34" t="n">
        <f aca="false">F8*F13</f>
        <v>0</v>
      </c>
      <c r="G14" s="34" t="n">
        <f aca="false">G8*G13</f>
        <v>0</v>
      </c>
      <c r="H14" s="34" t="n">
        <f aca="false">H8*H13</f>
        <v>0</v>
      </c>
      <c r="I14" s="34" t="n">
        <f aca="false">I8*I13</f>
        <v>0</v>
      </c>
      <c r="J14" s="34" t="n">
        <f aca="false">J8*J13</f>
        <v>0</v>
      </c>
    </row>
    <row r="15" customFormat="false" ht="15" hidden="false" customHeight="false" outlineLevel="0" collapsed="false">
      <c r="A15" s="11" t="s">
        <v>177</v>
      </c>
      <c r="B15" s="34" t="str">
        <f aca="false">""</f>
        <v/>
      </c>
      <c r="C15" s="34" t="str">
        <f aca="false">""</f>
        <v/>
      </c>
      <c r="D15" s="34" t="str">
        <f aca="false">""</f>
        <v/>
      </c>
      <c r="E15" s="34" t="n">
        <f aca="false">E8*('Control Panel'!B$64-'Control Panel'!B$65)</f>
        <v>0</v>
      </c>
      <c r="F15" s="34" t="n">
        <f aca="false">F8*('Control Panel'!C$64-'Control Panel'!C$65)</f>
        <v>0</v>
      </c>
      <c r="G15" s="34" t="n">
        <f aca="false">G8*('Control Panel'!D$64-'Control Panel'!D$65)</f>
        <v>0</v>
      </c>
      <c r="H15" s="34" t="n">
        <f aca="false">H8*('Control Panel'!E$64-'Control Panel'!E$65)</f>
        <v>0</v>
      </c>
      <c r="I15" s="34" t="n">
        <f aca="false">I8*('Control Panel'!F$64-'Control Panel'!F$65)</f>
        <v>0</v>
      </c>
      <c r="J15" s="34" t="n">
        <f aca="false">J8*('Control Panel'!G$64-'Control Panel'!G$65)</f>
        <v>0</v>
      </c>
    </row>
    <row r="16" customFormat="false" ht="15" hidden="false" customHeight="false" outlineLevel="0" collapsed="false">
      <c r="A16" s="4" t="s">
        <v>155</v>
      </c>
      <c r="B16" s="31" t="str">
        <f aca="false">""</f>
        <v/>
      </c>
      <c r="C16" s="31" t="str">
        <f aca="false">""</f>
        <v/>
      </c>
      <c r="D16" s="31" t="n">
        <f aca="false">'Historical Financials'!D$18</f>
        <v>-5150</v>
      </c>
      <c r="E16" s="12" t="n">
        <f aca="false">E10+E12-E14+E15</f>
        <v>-6321.815136</v>
      </c>
      <c r="F16" s="12" t="n">
        <f aca="false">F10+F12-F14+F15</f>
        <v>-7586.1781632</v>
      </c>
      <c r="G16" s="12" t="n">
        <f aca="false">G10+G12-G14+G15</f>
        <v>-9027.552014208</v>
      </c>
      <c r="H16" s="12" t="n">
        <f aca="false">H10+H12-H14+H15</f>
        <v>-10562.2358566234</v>
      </c>
      <c r="I16" s="12" t="n">
        <f aca="false">I10+I12-I14+I15</f>
        <v>-12252.1935936831</v>
      </c>
      <c r="J16" s="12" t="n">
        <f aca="false">J10+J12-J14+J15</f>
        <v>-13722.4568249251</v>
      </c>
    </row>
    <row r="17" customFormat="false" ht="15" hidden="false" customHeight="false" outlineLevel="0" collapsed="false">
      <c r="A17" s="4" t="s">
        <v>156</v>
      </c>
      <c r="B17" s="34" t="str">
        <f aca="false">""</f>
        <v/>
      </c>
      <c r="C17" s="34" t="str">
        <f aca="false">""</f>
        <v/>
      </c>
      <c r="D17" s="34" t="n">
        <v>-1078</v>
      </c>
      <c r="E17" s="12" t="n">
        <f aca="false">E16-D16</f>
        <v>-1171.815136</v>
      </c>
      <c r="F17" s="12" t="n">
        <f aca="false">F16-E16</f>
        <v>-1264.3630272</v>
      </c>
      <c r="G17" s="12" t="n">
        <f aca="false">G16-F16</f>
        <v>-1441.373851008</v>
      </c>
      <c r="H17" s="12" t="n">
        <f aca="false">H16-G16</f>
        <v>-1534.68384241536</v>
      </c>
      <c r="I17" s="12" t="n">
        <f aca="false">I16-H16</f>
        <v>-1689.95773705974</v>
      </c>
      <c r="J17" s="12" t="n">
        <f aca="false">J16-I16</f>
        <v>-1470.26323124197</v>
      </c>
    </row>
    <row r="18" customFormat="false" ht="15" hidden="false" customHeight="false" outlineLevel="0" collapsed="false">
      <c r="A18" s="11" t="s">
        <v>178</v>
      </c>
      <c r="B18" s="25" t="str">
        <f aca="false">""</f>
        <v/>
      </c>
      <c r="C18" s="25" t="str">
        <f aca="false">""</f>
        <v/>
      </c>
      <c r="D18" s="25" t="n">
        <f aca="false">IFERROR(D16/D8,"")</f>
        <v>-0.387859617412261</v>
      </c>
      <c r="E18" s="25" t="n">
        <f aca="false">E16/E8</f>
        <v>-0.39</v>
      </c>
      <c r="F18" s="25" t="n">
        <f aca="false">F16/F8</f>
        <v>-0.39</v>
      </c>
      <c r="G18" s="25" t="n">
        <f aca="false">G16/G8</f>
        <v>-0.39</v>
      </c>
      <c r="H18" s="25" t="n">
        <f aca="false">H16/H8</f>
        <v>-0.39</v>
      </c>
      <c r="I18" s="25" t="n">
        <f aca="false">I16/I8</f>
        <v>-0.39</v>
      </c>
      <c r="J18" s="25" t="n">
        <f aca="false">J16/J8</f>
        <v>-0.39</v>
      </c>
    </row>
    <row r="19" customFormat="false" ht="15" hidden="false" customHeight="false" outlineLevel="0" collapsed="false">
      <c r="A19" s="4" t="s">
        <v>179</v>
      </c>
      <c r="B19" s="34" t="str">
        <f aca="false">""</f>
        <v/>
      </c>
      <c r="C19" s="34" t="str">
        <f aca="false">""</f>
        <v/>
      </c>
      <c r="D19" s="34" t="n">
        <f aca="false">-D17</f>
        <v>1078</v>
      </c>
      <c r="E19" s="12" t="n">
        <f aca="false">-E17</f>
        <v>1171.815136</v>
      </c>
      <c r="F19" s="12" t="n">
        <f aca="false">-F17</f>
        <v>1264.3630272</v>
      </c>
      <c r="G19" s="12" t="n">
        <f aca="false">-G17</f>
        <v>1441.373851008</v>
      </c>
      <c r="H19" s="12" t="n">
        <f aca="false">-H17</f>
        <v>1534.68384241536</v>
      </c>
      <c r="I19" s="12" t="n">
        <f aca="false">-I17</f>
        <v>1689.95773705974</v>
      </c>
      <c r="J19" s="12" t="n">
        <f aca="false">-J17</f>
        <v>1470.26323124197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24" hidden="false" customHeight="true" outlineLevel="0" collapsed="false">
      <c r="A1" s="2" t="s">
        <v>180</v>
      </c>
      <c r="B1" s="2"/>
      <c r="C1" s="2"/>
      <c r="D1" s="2"/>
      <c r="E1" s="2"/>
      <c r="F1" s="2"/>
      <c r="G1" s="2"/>
      <c r="H1" s="2"/>
      <c r="I1" s="2"/>
      <c r="J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</row>
    <row r="7" customFormat="false" ht="15" hidden="false" customHeight="true" outlineLevel="0" collapsed="false">
      <c r="A7" s="3" t="s">
        <v>181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4" t="s">
        <v>135</v>
      </c>
      <c r="B8" s="31" t="n">
        <f aca="false">'Historical Financials'!B$6</f>
        <v>0</v>
      </c>
      <c r="C8" s="31" t="n">
        <f aca="false">'Historical Financials'!C$6</f>
        <v>0</v>
      </c>
      <c r="D8" s="31" t="n">
        <f aca="false">'Historical Financials'!D$6</f>
        <v>13278</v>
      </c>
      <c r="E8" s="31" t="n">
        <f aca="false">'Revenue Build'!E$14</f>
        <v>16209.7824</v>
      </c>
      <c r="F8" s="31" t="n">
        <f aca="false">'Revenue Build'!F$14</f>
        <v>19451.73888</v>
      </c>
      <c r="G8" s="31" t="n">
        <f aca="false">'Revenue Build'!G$14</f>
        <v>23147.5692672</v>
      </c>
      <c r="H8" s="31" t="n">
        <f aca="false">'Revenue Build'!H$14</f>
        <v>27082.656042624</v>
      </c>
      <c r="I8" s="31" t="n">
        <f aca="false">'Revenue Build'!I$14</f>
        <v>31415.8810094438</v>
      </c>
      <c r="J8" s="31" t="n">
        <f aca="false">'Revenue Build'!J$14</f>
        <v>35185.7867305771</v>
      </c>
    </row>
    <row r="9" customFormat="false" ht="15" hidden="false" customHeight="false" outlineLevel="0" collapsed="false">
      <c r="A9" s="4" t="s">
        <v>154</v>
      </c>
      <c r="B9" s="31" t="n">
        <f aca="false">'Historical Financials'!B$17</f>
        <v>0</v>
      </c>
      <c r="C9" s="31" t="n">
        <f aca="false">'Historical Financials'!C$17</f>
        <v>0</v>
      </c>
      <c r="D9" s="31" t="n">
        <f aca="false">'Historical Financials'!D$17</f>
        <v>868</v>
      </c>
      <c r="E9" s="12" t="n">
        <f aca="false">E8*E10</f>
        <v>972.586944</v>
      </c>
      <c r="F9" s="12" t="n">
        <f aca="false">F8*F10</f>
        <v>1167.1043328</v>
      </c>
      <c r="G9" s="12" t="n">
        <f aca="false">G8*G10</f>
        <v>1388.854156032</v>
      </c>
      <c r="H9" s="12" t="n">
        <f aca="false">H8*H10</f>
        <v>1624.95936255744</v>
      </c>
      <c r="I9" s="12" t="n">
        <f aca="false">I8*I10</f>
        <v>1884.95286056663</v>
      </c>
      <c r="J9" s="12" t="n">
        <f aca="false">J8*J10</f>
        <v>2111.14720383463</v>
      </c>
    </row>
    <row r="10" customFormat="false" ht="15" hidden="false" customHeight="false" outlineLevel="0" collapsed="false">
      <c r="A10" s="11" t="s">
        <v>182</v>
      </c>
      <c r="B10" s="25" t="str">
        <f aca="false">IFERROR(B9/B8,"")</f>
        <v/>
      </c>
      <c r="C10" s="25" t="str">
        <f aca="false">IFERROR(C9/C8,"")</f>
        <v/>
      </c>
      <c r="D10" s="25" t="n">
        <f aca="false">D9/D8</f>
        <v>0.0653712908570568</v>
      </c>
      <c r="E10" s="33" t="n">
        <f aca="false">INDEX('Control Panel'!B$41:B$43,MATCH('Control Panel'!$B$10,'Control Panel'!$A$41:$A$43,0))</f>
        <v>0.06</v>
      </c>
      <c r="F10" s="33" t="n">
        <f aca="false">INDEX('Control Panel'!C$41:C$43,MATCH('Control Panel'!$B$10,'Control Panel'!$A$41:$A$43,0))</f>
        <v>0.06</v>
      </c>
      <c r="G10" s="33" t="n">
        <f aca="false">INDEX('Control Panel'!D$41:D$43,MATCH('Control Panel'!$B$10,'Control Panel'!$A$41:$A$43,0))</f>
        <v>0.06</v>
      </c>
      <c r="H10" s="33" t="n">
        <f aca="false">INDEX('Control Panel'!E$41:E$43,MATCH('Control Panel'!$B$10,'Control Panel'!$A$41:$A$43,0))</f>
        <v>0.06</v>
      </c>
      <c r="I10" s="33" t="n">
        <f aca="false">INDEX('Control Panel'!F$41:F$43,MATCH('Control Panel'!$B$10,'Control Panel'!$A$41:$A$43,0))</f>
        <v>0.06</v>
      </c>
      <c r="J10" s="33" t="n">
        <f aca="false">INDEX('Control Panel'!G$41:G$43,MATCH('Control Panel'!$B$10,'Control Panel'!$A$41:$A$43,0))</f>
        <v>0.06</v>
      </c>
    </row>
    <row r="11" customFormat="false" ht="15" hidden="false" customHeight="false" outlineLevel="0" collapsed="false">
      <c r="A11" s="11" t="s">
        <v>183</v>
      </c>
      <c r="B11" s="34" t="s">
        <v>184</v>
      </c>
      <c r="C11" s="34" t="s">
        <v>184</v>
      </c>
      <c r="D11" s="34"/>
      <c r="E11" s="34" t="n">
        <f aca="false">D13</f>
        <v>2289</v>
      </c>
      <c r="F11" s="34" t="n">
        <f aca="false">E13</f>
        <v>2451.097824</v>
      </c>
      <c r="G11" s="34" t="n">
        <f aca="false">F13</f>
        <v>2645.6152128</v>
      </c>
      <c r="H11" s="34" t="n">
        <f aca="false">G13</f>
        <v>2877.090905472</v>
      </c>
      <c r="I11" s="34" t="n">
        <f aca="false">H13</f>
        <v>3147.91746589824</v>
      </c>
      <c r="J11" s="34" t="n">
        <f aca="false">I13</f>
        <v>3462.07627599268</v>
      </c>
    </row>
    <row r="12" customFormat="false" ht="15" hidden="false" customHeight="false" outlineLevel="0" collapsed="false">
      <c r="A12" s="4" t="s">
        <v>147</v>
      </c>
      <c r="B12" s="31" t="n">
        <f aca="false">'Historical Financials'!B$12</f>
        <v>0</v>
      </c>
      <c r="C12" s="31" t="n">
        <f aca="false">'Historical Financials'!C$12</f>
        <v>0</v>
      </c>
      <c r="D12" s="31" t="n">
        <f aca="false">'Historical Financials'!D$12</f>
        <v>738</v>
      </c>
      <c r="E12" s="12" t="n">
        <f aca="false">E8*E14</f>
        <v>810.48912</v>
      </c>
      <c r="F12" s="12" t="n">
        <f aca="false">F8*F14</f>
        <v>972.586944</v>
      </c>
      <c r="G12" s="12" t="n">
        <f aca="false">G8*G14</f>
        <v>1157.37846336</v>
      </c>
      <c r="H12" s="12" t="n">
        <f aca="false">H8*H14</f>
        <v>1354.1328021312</v>
      </c>
      <c r="I12" s="12" t="n">
        <f aca="false">I8*I14</f>
        <v>1570.79405047219</v>
      </c>
      <c r="J12" s="12" t="n">
        <f aca="false">J8*J14</f>
        <v>1759.28933652886</v>
      </c>
    </row>
    <row r="13" customFormat="false" ht="15" hidden="false" customHeight="false" outlineLevel="0" collapsed="false">
      <c r="A13" s="4" t="s">
        <v>185</v>
      </c>
      <c r="B13" s="34" t="s">
        <v>184</v>
      </c>
      <c r="C13" s="34" t="s">
        <v>184</v>
      </c>
      <c r="D13" s="34" t="n">
        <v>2289</v>
      </c>
      <c r="E13" s="12" t="n">
        <f aca="false">E11+E9-E12</f>
        <v>2451.097824</v>
      </c>
      <c r="F13" s="12" t="n">
        <f aca="false">F11+F9-F12</f>
        <v>2645.6152128</v>
      </c>
      <c r="G13" s="12" t="n">
        <f aca="false">G11+G9-G12</f>
        <v>2877.090905472</v>
      </c>
      <c r="H13" s="12" t="n">
        <f aca="false">H11+H9-H12</f>
        <v>3147.91746589824</v>
      </c>
      <c r="I13" s="12" t="n">
        <f aca="false">I11+I9-I12</f>
        <v>3462.07627599268</v>
      </c>
      <c r="J13" s="12" t="n">
        <f aca="false">J11+J9-J12</f>
        <v>3813.93414329845</v>
      </c>
    </row>
    <row r="14" customFormat="false" ht="15" hidden="false" customHeight="false" outlineLevel="0" collapsed="false">
      <c r="A14" s="11" t="s">
        <v>170</v>
      </c>
      <c r="B14" s="25" t="str">
        <f aca="false">IFERROR(B12/B8,"")</f>
        <v/>
      </c>
      <c r="C14" s="25" t="str">
        <f aca="false">IFERROR(C12/C8,"")</f>
        <v/>
      </c>
      <c r="D14" s="25" t="n">
        <f aca="false">D12/D8</f>
        <v>0.0555806597379123</v>
      </c>
      <c r="E14" s="33" t="n">
        <f aca="false">INDEX('Control Panel'!B$36:B$38,MATCH('Control Panel'!$B$10,'Control Panel'!$A$36:$A$38,0))</f>
        <v>0.05</v>
      </c>
      <c r="F14" s="33" t="n">
        <f aca="false">INDEX('Control Panel'!C$36:C$38,MATCH('Control Panel'!$B$10,'Control Panel'!$A$36:$A$38,0))</f>
        <v>0.05</v>
      </c>
      <c r="G14" s="33" t="n">
        <f aca="false">INDEX('Control Panel'!D$36:D$38,MATCH('Control Panel'!$B$10,'Control Panel'!$A$36:$A$38,0))</f>
        <v>0.05</v>
      </c>
      <c r="H14" s="33" t="n">
        <f aca="false">INDEX('Control Panel'!E$36:E$38,MATCH('Control Panel'!$B$10,'Control Panel'!$A$36:$A$38,0))</f>
        <v>0.05</v>
      </c>
      <c r="I14" s="33" t="n">
        <f aca="false">INDEX('Control Panel'!F$36:F$38,MATCH('Control Panel'!$B$10,'Control Panel'!$A$36:$A$38,0))</f>
        <v>0.05</v>
      </c>
      <c r="J14" s="33" t="n">
        <f aca="false">INDEX('Control Panel'!G$36:G$38,MATCH('Control Panel'!$B$10,'Control Panel'!$A$36:$A$38,0))</f>
        <v>0.05</v>
      </c>
    </row>
    <row r="15" customFormat="false" ht="15" hidden="false" customHeight="false" outlineLevel="0" collapsed="false">
      <c r="A15" s="11" t="s">
        <v>186</v>
      </c>
      <c r="B15" s="25" t="s">
        <v>184</v>
      </c>
      <c r="C15" s="25" t="s">
        <v>184</v>
      </c>
      <c r="D15" s="25"/>
      <c r="E15" s="25" t="n">
        <f aca="false">E12/E11</f>
        <v>0.35408</v>
      </c>
      <c r="F15" s="25" t="n">
        <f aca="false">F12/F11</f>
        <v>0.396796461763739</v>
      </c>
      <c r="G15" s="25" t="n">
        <f aca="false">G12/G11</f>
        <v>0.437470444590876</v>
      </c>
      <c r="H15" s="25" t="n">
        <f aca="false">H12/H11</f>
        <v>0.470660415892924</v>
      </c>
      <c r="I15" s="25" t="n">
        <f aca="false">I12/I11</f>
        <v>0.498994674253308</v>
      </c>
      <c r="J15" s="25" t="n">
        <f aca="false">J12/J11</f>
        <v>0.508160189516453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24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</row>
    <row r="7" customFormat="false" ht="15" hidden="false" customHeight="true" outlineLevel="0" collapsed="false">
      <c r="A7" s="3" t="s">
        <v>187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4" t="s">
        <v>148</v>
      </c>
      <c r="B8" s="31" t="n">
        <f aca="false">'Historical Financials'!B$13</f>
        <v>0</v>
      </c>
      <c r="C8" s="31" t="n">
        <f aca="false">'Historical Financials'!C$13</f>
        <v>0</v>
      </c>
      <c r="D8" s="31" t="n">
        <f aca="false">'Historical Financials'!D$13</f>
        <v>2194</v>
      </c>
      <c r="E8" s="31" t="n">
        <f aca="false">'Margin Cost Build'!E$15</f>
        <v>2674.614096</v>
      </c>
      <c r="F8" s="31" t="n">
        <f aca="false">'Margin Cost Build'!F$15</f>
        <v>3501.3129984</v>
      </c>
      <c r="G8" s="31" t="n">
        <f aca="false">'Margin Cost Build'!G$15</f>
        <v>4629.51385344</v>
      </c>
      <c r="H8" s="31" t="n">
        <f aca="false">'Margin Cost Build'!H$15</f>
        <v>5958.18432937728</v>
      </c>
      <c r="I8" s="31" t="n">
        <f aca="false">'Margin Cost Build'!I$15</f>
        <v>7539.81144226652</v>
      </c>
      <c r="J8" s="31" t="n">
        <f aca="false">'Margin Cost Build'!J$15</f>
        <v>9148.30454995005</v>
      </c>
    </row>
    <row r="9" customFormat="false" ht="15" hidden="false" customHeight="false" outlineLevel="0" collapsed="false">
      <c r="A9" s="11" t="s">
        <v>188</v>
      </c>
      <c r="B9" s="25" t="str">
        <f aca="false">IFERROR('Historical Financials'!B$15/B8,"")</f>
        <v/>
      </c>
      <c r="C9" s="25" t="str">
        <f aca="false">IFERROR('Historical Financials'!C$15/C8,"")</f>
        <v/>
      </c>
      <c r="D9" s="25" t="n">
        <f aca="false">'Historical Financials'!D$15/D8</f>
        <v>0.210118505013674</v>
      </c>
      <c r="E9" s="33" t="n">
        <f aca="false">INDEX('Control Panel'!B$51:B$53,MATCH('Control Panel'!$B$10,'Control Panel'!$A$51:$A$53,0))</f>
        <v>0.21</v>
      </c>
      <c r="F9" s="33" t="n">
        <f aca="false">INDEX('Control Panel'!C$51:C$53,MATCH('Control Panel'!$B$10,'Control Panel'!$A$51:$A$53,0))</f>
        <v>0.21</v>
      </c>
      <c r="G9" s="33" t="n">
        <f aca="false">INDEX('Control Panel'!D$51:D$53,MATCH('Control Panel'!$B$10,'Control Panel'!$A$51:$A$53,0))</f>
        <v>0.21</v>
      </c>
      <c r="H9" s="33" t="n">
        <f aca="false">INDEX('Control Panel'!E$51:E$53,MATCH('Control Panel'!$B$10,'Control Panel'!$A$51:$A$53,0))</f>
        <v>0.21</v>
      </c>
      <c r="I9" s="33" t="n">
        <f aca="false">INDEX('Control Panel'!F$51:F$53,MATCH('Control Panel'!$B$10,'Control Panel'!$A$51:$A$53,0))</f>
        <v>0.21</v>
      </c>
      <c r="J9" s="33" t="n">
        <f aca="false">INDEX('Control Panel'!G$51:G$53,MATCH('Control Panel'!$B$10,'Control Panel'!$A$51:$A$53,0))</f>
        <v>0.21</v>
      </c>
    </row>
    <row r="10" customFormat="false" ht="15" hidden="false" customHeight="false" outlineLevel="0" collapsed="false">
      <c r="A10" s="11" t="s">
        <v>189</v>
      </c>
      <c r="B10" s="25" t="str">
        <f aca="false">B9</f>
        <v/>
      </c>
      <c r="C10" s="25" t="str">
        <f aca="false">C9</f>
        <v/>
      </c>
      <c r="D10" s="25" t="n">
        <f aca="false">D9</f>
        <v>0.210118505013674</v>
      </c>
      <c r="E10" s="33" t="n">
        <f aca="false">INDEX('Control Panel'!B$56:B$58,MATCH('Control Panel'!$B$10,'Control Panel'!$A$56:$A$58,0))</f>
        <v>0.21</v>
      </c>
      <c r="F10" s="33" t="n">
        <f aca="false">INDEX('Control Panel'!C$56:C$58,MATCH('Control Panel'!$B$10,'Control Panel'!$A$56:$A$58,0))</f>
        <v>0.21</v>
      </c>
      <c r="G10" s="33" t="n">
        <f aca="false">INDEX('Control Panel'!D$56:D$58,MATCH('Control Panel'!$B$10,'Control Panel'!$A$56:$A$58,0))</f>
        <v>0.21</v>
      </c>
      <c r="H10" s="33" t="n">
        <f aca="false">INDEX('Control Panel'!E$56:E$58,MATCH('Control Panel'!$B$10,'Control Panel'!$A$56:$A$58,0))</f>
        <v>0.21</v>
      </c>
      <c r="I10" s="33" t="n">
        <f aca="false">INDEX('Control Panel'!F$56:F$58,MATCH('Control Panel'!$B$10,'Control Panel'!$A$56:$A$58,0))</f>
        <v>0.21</v>
      </c>
      <c r="J10" s="33" t="n">
        <f aca="false">INDEX('Control Panel'!G$56:G$58,MATCH('Control Panel'!$B$10,'Control Panel'!$A$56:$A$58,0))</f>
        <v>0.21</v>
      </c>
    </row>
    <row r="11" customFormat="false" ht="15" hidden="false" customHeight="false" outlineLevel="0" collapsed="false">
      <c r="A11" s="11" t="s">
        <v>190</v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</row>
    <row r="12" customFormat="false" ht="15" hidden="false" customHeight="false" outlineLevel="0" collapsed="false">
      <c r="A12" s="4" t="s">
        <v>172</v>
      </c>
      <c r="B12" s="31" t="n">
        <f aca="false">'Historical Financials'!B$15</f>
        <v>0</v>
      </c>
      <c r="C12" s="31" t="n">
        <f aca="false">'Historical Financials'!C$15</f>
        <v>0</v>
      </c>
      <c r="D12" s="31" t="n">
        <f aca="false">'Historical Financials'!D$15</f>
        <v>461</v>
      </c>
      <c r="E12" s="12" t="n">
        <f aca="false">MAX(0,E8*E10-E11)</f>
        <v>561.66896016</v>
      </c>
      <c r="F12" s="12" t="n">
        <f aca="false">MAX(0,F8*F10-F11)</f>
        <v>735.275729664</v>
      </c>
      <c r="G12" s="12" t="n">
        <f aca="false">MAX(0,G8*G10-G11)</f>
        <v>972.1979092224</v>
      </c>
      <c r="H12" s="12" t="n">
        <f aca="false">MAX(0,H8*H10-H11)</f>
        <v>1251.21870916923</v>
      </c>
      <c r="I12" s="12" t="n">
        <f aca="false">MAX(0,I8*I10-I11)</f>
        <v>1583.36040287597</v>
      </c>
      <c r="J12" s="12" t="n">
        <f aca="false">MAX(0,J8*J10-J11)</f>
        <v>1921.14395548951</v>
      </c>
    </row>
    <row r="13" customFormat="false" ht="15" hidden="false" customHeight="false" outlineLevel="0" collapsed="false">
      <c r="A13" s="11" t="s">
        <v>191</v>
      </c>
      <c r="B13" s="27" t="n">
        <v>0</v>
      </c>
      <c r="C13" s="27" t="n">
        <v>0</v>
      </c>
      <c r="D13" s="27" t="n">
        <v>0</v>
      </c>
      <c r="E13" s="12" t="n">
        <f aca="false">E8*E9-E12</f>
        <v>0</v>
      </c>
      <c r="F13" s="12" t="n">
        <f aca="false">F8*F9-F12</f>
        <v>0</v>
      </c>
      <c r="G13" s="12" t="n">
        <f aca="false">G8*G9-G12</f>
        <v>0</v>
      </c>
      <c r="H13" s="12" t="n">
        <f aca="false">H8*H9-H12</f>
        <v>0</v>
      </c>
      <c r="I13" s="12" t="n">
        <f aca="false">I8*I9-I12</f>
        <v>0</v>
      </c>
      <c r="J13" s="12" t="n">
        <f aca="false">J8*J9-J12</f>
        <v>0</v>
      </c>
    </row>
    <row r="14" customFormat="false" ht="57.45" hidden="false" customHeight="false" outlineLevel="0" collapsed="false">
      <c r="A14" s="38" t="s">
        <v>192</v>
      </c>
      <c r="B14" s="6" t="s">
        <v>193</v>
      </c>
      <c r="C14" s="6" t="s">
        <v>193</v>
      </c>
      <c r="D14" s="6" t="s">
        <v>193</v>
      </c>
      <c r="E14" s="6" t="s">
        <v>194</v>
      </c>
      <c r="F14" s="6" t="s">
        <v>194</v>
      </c>
      <c r="G14" s="6" t="s">
        <v>194</v>
      </c>
      <c r="H14" s="6" t="s">
        <v>194</v>
      </c>
      <c r="I14" s="6" t="s">
        <v>194</v>
      </c>
      <c r="J14" s="6" t="s">
        <v>194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24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  <c r="I1" s="2"/>
      <c r="J1" s="2"/>
    </row>
    <row r="5" customFormat="false" ht="15" hidden="false" customHeight="false" outlineLevel="0" collapsed="false">
      <c r="A5" s="29" t="s">
        <v>130</v>
      </c>
      <c r="B5" s="30" t="s">
        <v>131</v>
      </c>
      <c r="C5" s="30" t="s">
        <v>131</v>
      </c>
      <c r="D5" s="30" t="s">
        <v>132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</row>
    <row r="7" customFormat="false" ht="15" hidden="false" customHeight="true" outlineLevel="0" collapsed="false">
      <c r="A7" s="3" t="s">
        <v>196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11" t="s">
        <v>148</v>
      </c>
      <c r="B8" s="31" t="n">
        <f aca="false">'Historical Financials'!B$13</f>
        <v>0</v>
      </c>
      <c r="C8" s="31" t="n">
        <f aca="false">'Historical Financials'!C$13</f>
        <v>0</v>
      </c>
      <c r="D8" s="31" t="n">
        <f aca="false">'Historical Financials'!D$13</f>
        <v>2194</v>
      </c>
      <c r="E8" s="31" t="n">
        <f aca="false">'Margin Cost Build'!E$15</f>
        <v>2674.614096</v>
      </c>
      <c r="F8" s="31" t="n">
        <f aca="false">'Margin Cost Build'!F$15</f>
        <v>3501.3129984</v>
      </c>
      <c r="G8" s="31" t="n">
        <f aca="false">'Margin Cost Build'!G$15</f>
        <v>4629.51385344</v>
      </c>
      <c r="H8" s="31" t="n">
        <f aca="false">'Margin Cost Build'!H$15</f>
        <v>5958.18432937728</v>
      </c>
      <c r="I8" s="31" t="n">
        <f aca="false">'Margin Cost Build'!I$15</f>
        <v>7539.81144226652</v>
      </c>
      <c r="J8" s="31" t="n">
        <f aca="false">'Margin Cost Build'!J$15</f>
        <v>9148.30454995005</v>
      </c>
    </row>
    <row r="9" customFormat="false" ht="15" hidden="false" customHeight="false" outlineLevel="0" collapsed="false">
      <c r="A9" s="11" t="s">
        <v>197</v>
      </c>
      <c r="B9" s="31" t="n">
        <f aca="false">'Historical Financials'!B$15</f>
        <v>0</v>
      </c>
      <c r="C9" s="31" t="n">
        <f aca="false">'Historical Financials'!C$15</f>
        <v>0</v>
      </c>
      <c r="D9" s="31" t="n">
        <f aca="false">'Historical Financials'!D$15</f>
        <v>461</v>
      </c>
      <c r="E9" s="31" t="n">
        <f aca="false">'Tax Schedule'!E$12</f>
        <v>561.66896016</v>
      </c>
      <c r="F9" s="31" t="n">
        <f aca="false">'Tax Schedule'!F$12</f>
        <v>735.275729664</v>
      </c>
      <c r="G9" s="31" t="n">
        <f aca="false">'Tax Schedule'!G$12</f>
        <v>972.1979092224</v>
      </c>
      <c r="H9" s="31" t="n">
        <f aca="false">'Tax Schedule'!H$12</f>
        <v>1251.21870916923</v>
      </c>
      <c r="I9" s="31" t="n">
        <f aca="false">'Tax Schedule'!I$12</f>
        <v>1583.36040287597</v>
      </c>
      <c r="J9" s="31" t="n">
        <f aca="false">'Tax Schedule'!J$12</f>
        <v>1921.14395548951</v>
      </c>
    </row>
    <row r="10" customFormat="false" ht="15" hidden="false" customHeight="false" outlineLevel="0" collapsed="false">
      <c r="A10" s="4" t="s">
        <v>198</v>
      </c>
      <c r="B10" s="34" t="n">
        <f aca="false">B8-B9</f>
        <v>0</v>
      </c>
      <c r="C10" s="34" t="n">
        <f aca="false">C8-C9</f>
        <v>0</v>
      </c>
      <c r="D10" s="34" t="n">
        <f aca="false">D8-D9</f>
        <v>1733</v>
      </c>
      <c r="E10" s="34" t="n">
        <f aca="false">E8-E9</f>
        <v>2112.94513584</v>
      </c>
      <c r="F10" s="34" t="n">
        <f aca="false">F8-F9</f>
        <v>2766.037268736</v>
      </c>
      <c r="G10" s="34" t="n">
        <f aca="false">G8-G9</f>
        <v>3657.3159442176</v>
      </c>
      <c r="H10" s="34" t="n">
        <f aca="false">H8-H9</f>
        <v>4706.96562020805</v>
      </c>
      <c r="I10" s="34" t="n">
        <f aca="false">I8-I9</f>
        <v>5956.45103939055</v>
      </c>
      <c r="J10" s="34" t="n">
        <f aca="false">J8-J9</f>
        <v>7227.16059446054</v>
      </c>
    </row>
    <row r="11" customFormat="false" ht="15" hidden="false" customHeight="false" outlineLevel="0" collapsed="false">
      <c r="A11" s="11" t="s">
        <v>199</v>
      </c>
      <c r="B11" s="31" t="n">
        <f aca="false">'Historical Financials'!B$12</f>
        <v>0</v>
      </c>
      <c r="C11" s="31" t="n">
        <f aca="false">'Historical Financials'!C$12</f>
        <v>0</v>
      </c>
      <c r="D11" s="31" t="n">
        <f aca="false">'Historical Financials'!D$12</f>
        <v>738</v>
      </c>
      <c r="E11" s="31" t="n">
        <f aca="false">'Capex D&amp;A'!E$12</f>
        <v>810.48912</v>
      </c>
      <c r="F11" s="31" t="n">
        <f aca="false">'Capex D&amp;A'!F$12</f>
        <v>972.586944</v>
      </c>
      <c r="G11" s="31" t="n">
        <f aca="false">'Capex D&amp;A'!G$12</f>
        <v>1157.37846336</v>
      </c>
      <c r="H11" s="31" t="n">
        <f aca="false">'Capex D&amp;A'!H$12</f>
        <v>1354.1328021312</v>
      </c>
      <c r="I11" s="31" t="n">
        <f aca="false">'Capex D&amp;A'!I$12</f>
        <v>1570.79405047219</v>
      </c>
      <c r="J11" s="31" t="n">
        <f aca="false">'Capex D&amp;A'!J$12</f>
        <v>1759.28933652886</v>
      </c>
    </row>
    <row r="12" customFormat="false" ht="15" hidden="false" customHeight="false" outlineLevel="0" collapsed="false">
      <c r="A12" s="11" t="s">
        <v>200</v>
      </c>
      <c r="B12" s="31" t="n">
        <f aca="false">'Historical Financials'!B$17</f>
        <v>0</v>
      </c>
      <c r="C12" s="31" t="n">
        <f aca="false">'Historical Financials'!C$17</f>
        <v>0</v>
      </c>
      <c r="D12" s="31" t="n">
        <f aca="false">'Historical Financials'!D$17</f>
        <v>868</v>
      </c>
      <c r="E12" s="31" t="n">
        <f aca="false">'Capex D&amp;A'!E$9</f>
        <v>972.586944</v>
      </c>
      <c r="F12" s="31" t="n">
        <f aca="false">'Capex D&amp;A'!F$9</f>
        <v>1167.1043328</v>
      </c>
      <c r="G12" s="31" t="n">
        <f aca="false">'Capex D&amp;A'!G$9</f>
        <v>1388.854156032</v>
      </c>
      <c r="H12" s="31" t="n">
        <f aca="false">'Capex D&amp;A'!H$9</f>
        <v>1624.95936255744</v>
      </c>
      <c r="I12" s="31" t="n">
        <f aca="false">'Capex D&amp;A'!I$9</f>
        <v>1884.95286056663</v>
      </c>
      <c r="J12" s="31" t="n">
        <f aca="false">'Capex D&amp;A'!J$9</f>
        <v>2111.14720383463</v>
      </c>
    </row>
    <row r="13" customFormat="false" ht="15" hidden="false" customHeight="false" outlineLevel="0" collapsed="false">
      <c r="A13" s="11" t="s">
        <v>201</v>
      </c>
      <c r="B13" s="31"/>
      <c r="C13" s="31"/>
      <c r="D13" s="31" t="n">
        <v>-1078</v>
      </c>
      <c r="E13" s="31" t="n">
        <f aca="false">'Working Capital'!E$17</f>
        <v>-1171.815136</v>
      </c>
      <c r="F13" s="31" t="n">
        <f aca="false">'Working Capital'!F$17</f>
        <v>-1264.3630272</v>
      </c>
      <c r="G13" s="31" t="n">
        <f aca="false">'Working Capital'!G$17</f>
        <v>-1441.373851008</v>
      </c>
      <c r="H13" s="31" t="n">
        <f aca="false">'Working Capital'!H$17</f>
        <v>-1534.68384241536</v>
      </c>
      <c r="I13" s="31" t="n">
        <f aca="false">'Working Capital'!I$17</f>
        <v>-1689.95773705974</v>
      </c>
      <c r="J13" s="31" t="n">
        <f aca="false">'Working Capital'!J$17</f>
        <v>-1470.26323124197</v>
      </c>
    </row>
    <row r="14" customFormat="false" ht="15" hidden="false" customHeight="false" outlineLevel="0" collapsed="false">
      <c r="A14" s="4" t="s">
        <v>202</v>
      </c>
      <c r="B14" s="12" t="n">
        <f aca="false">B10+B11-B12-B13</f>
        <v>0</v>
      </c>
      <c r="C14" s="12" t="n">
        <f aca="false">C10+C11-C12-C13</f>
        <v>0</v>
      </c>
      <c r="D14" s="12" t="n">
        <f aca="false">D10+D11-D12-D13</f>
        <v>2681</v>
      </c>
      <c r="E14" s="12" t="n">
        <f aca="false">E10+E11-E12-E13</f>
        <v>3122.66244784</v>
      </c>
      <c r="F14" s="12" t="n">
        <f aca="false">F10+F11-F12-F13</f>
        <v>3835.882907136</v>
      </c>
      <c r="G14" s="12" t="n">
        <f aca="false">G10+G11-G12-G13</f>
        <v>4867.2141025536</v>
      </c>
      <c r="H14" s="12" t="n">
        <f aca="false">H10+H11-H12-H13</f>
        <v>5970.82290219717</v>
      </c>
      <c r="I14" s="12" t="n">
        <f aca="false">I10+I11-I12-I13</f>
        <v>7332.24996635585</v>
      </c>
      <c r="J14" s="12" t="n">
        <f aca="false">J10+J11-J12-J13</f>
        <v>8345.56595839674</v>
      </c>
    </row>
    <row r="15" customFormat="false" ht="15" hidden="false" customHeight="false" outlineLevel="0" collapsed="false">
      <c r="A15" s="11" t="s">
        <v>203</v>
      </c>
      <c r="B15" s="39" t="s">
        <v>204</v>
      </c>
      <c r="C15" s="39" t="s">
        <v>204</v>
      </c>
      <c r="D15" s="39" t="s">
        <v>204</v>
      </c>
      <c r="E15" s="40" t="n">
        <f aca="false">IF('Control Panel'!$B$11="Yes",1-0.5,1)</f>
        <v>1</v>
      </c>
      <c r="F15" s="40" t="n">
        <f aca="false">IF('Control Panel'!$B$11="Yes",2-0.5,2)</f>
        <v>2</v>
      </c>
      <c r="G15" s="40" t="n">
        <f aca="false">IF('Control Panel'!$B$11="Yes",3-0.5,3)</f>
        <v>3</v>
      </c>
      <c r="H15" s="40" t="n">
        <f aca="false">IF('Control Panel'!$B$11="Yes",4-0.5,4)</f>
        <v>4</v>
      </c>
      <c r="I15" s="40" t="n">
        <f aca="false">IF('Control Panel'!$B$11="Yes",5-0.5,5)</f>
        <v>5</v>
      </c>
      <c r="J15" s="40" t="n">
        <f aca="false">IF('Control Panel'!$B$11="Yes",6-0.5,6)</f>
        <v>6</v>
      </c>
    </row>
    <row r="16" customFormat="false" ht="15" hidden="false" customHeight="false" outlineLevel="0" collapsed="false">
      <c r="A16" s="11" t="s">
        <v>205</v>
      </c>
      <c r="B16" s="39" t="s">
        <v>204</v>
      </c>
      <c r="C16" s="39" t="s">
        <v>204</v>
      </c>
      <c r="D16" s="39" t="s">
        <v>204</v>
      </c>
      <c r="E16" s="41" t="n">
        <f aca="false">1/(1+'Control Panel'!$B$78)^E15</f>
        <v>0.920575930713773</v>
      </c>
      <c r="F16" s="41" t="n">
        <f aca="false">1/(1+'Control Panel'!$B$78)^F15</f>
        <v>0.84746004420953</v>
      </c>
      <c r="G16" s="41" t="n">
        <f aca="false">1/(1+'Control Panel'!$B$78)^G15</f>
        <v>0.780151318940923</v>
      </c>
      <c r="H16" s="41" t="n">
        <f aca="false">1/(1+'Control Panel'!$B$78)^H15</f>
        <v>0.718188526531618</v>
      </c>
      <c r="I16" s="41" t="n">
        <f aca="false">1/(1+'Control Panel'!$B$78)^I15</f>
        <v>0.661147071239797</v>
      </c>
      <c r="J16" s="41" t="n">
        <f aca="false">1/(1+'Control Panel'!$B$78)^J15</f>
        <v>0.608636080445262</v>
      </c>
    </row>
    <row r="17" customFormat="false" ht="15" hidden="false" customHeight="false" outlineLevel="0" collapsed="false">
      <c r="A17" s="4" t="s">
        <v>206</v>
      </c>
      <c r="B17" s="42" t="s">
        <v>204</v>
      </c>
      <c r="C17" s="42" t="s">
        <v>204</v>
      </c>
      <c r="D17" s="42" t="s">
        <v>204</v>
      </c>
      <c r="E17" s="12" t="n">
        <f aca="false">E14*E16</f>
        <v>2874.64788922526</v>
      </c>
      <c r="F17" s="12" t="n">
        <f aca="false">F14*F16</f>
        <v>3250.75749806405</v>
      </c>
      <c r="G17" s="12" t="n">
        <f aca="false">G14*G16</f>
        <v>3797.16350167505</v>
      </c>
      <c r="H17" s="12" t="n">
        <f aca="false">H14*H16</f>
        <v>4288.17650231022</v>
      </c>
      <c r="I17" s="12" t="n">
        <f aca="false">I14*I16</f>
        <v>4847.69559085427</v>
      </c>
      <c r="J17" s="12" t="n">
        <f aca="false">J14*J16</f>
        <v>5079.41255401599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7" min="6" style="1" width="18"/>
  </cols>
  <sheetData>
    <row r="1" customFormat="false" ht="24" hidden="false" customHeight="true" outlineLevel="0" collapsed="false">
      <c r="A1" s="2" t="s">
        <v>207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208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17" t="s">
        <v>111</v>
      </c>
      <c r="B4" s="33" t="n">
        <f aca="false">'Control Panel'!$B$69</f>
        <v>0.0463</v>
      </c>
      <c r="C4" s="6" t="s">
        <v>209</v>
      </c>
      <c r="D4" s="6" t="s">
        <v>210</v>
      </c>
    </row>
    <row r="5" customFormat="false" ht="15" hidden="false" customHeight="false" outlineLevel="0" collapsed="false">
      <c r="A5" s="17" t="s">
        <v>112</v>
      </c>
      <c r="B5" s="41" t="n">
        <f aca="false">'Control Panel'!$B$70</f>
        <v>0.96</v>
      </c>
      <c r="C5" s="6" t="s">
        <v>209</v>
      </c>
      <c r="D5" s="6" t="s">
        <v>210</v>
      </c>
    </row>
    <row r="6" customFormat="false" ht="15" hidden="false" customHeight="false" outlineLevel="0" collapsed="false">
      <c r="A6" s="17" t="s">
        <v>113</v>
      </c>
      <c r="B6" s="33" t="n">
        <f aca="false">'Control Panel'!$B$71</f>
        <v>0.045</v>
      </c>
      <c r="C6" s="6" t="s">
        <v>209</v>
      </c>
      <c r="D6" s="6" t="s">
        <v>210</v>
      </c>
    </row>
    <row r="7" customFormat="false" ht="15" hidden="false" customHeight="false" outlineLevel="0" collapsed="false">
      <c r="A7" s="17" t="s">
        <v>114</v>
      </c>
      <c r="B7" s="33" t="n">
        <f aca="false">'Control Panel'!$B$72</f>
        <v>0</v>
      </c>
      <c r="C7" s="6" t="s">
        <v>209</v>
      </c>
      <c r="D7" s="6" t="s">
        <v>210</v>
      </c>
    </row>
    <row r="8" customFormat="false" ht="15" hidden="false" customHeight="false" outlineLevel="0" collapsed="false">
      <c r="A8" s="4" t="s">
        <v>208</v>
      </c>
      <c r="B8" s="15" t="n">
        <f aca="false">B4+B5*B6+B7</f>
        <v>0.0895</v>
      </c>
      <c r="C8" s="6" t="s">
        <v>209</v>
      </c>
      <c r="D8" s="6" t="s">
        <v>136</v>
      </c>
    </row>
    <row r="10" customFormat="false" ht="15" hidden="false" customHeight="true" outlineLevel="0" collapsed="false">
      <c r="A10" s="3" t="s">
        <v>211</v>
      </c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17" t="s">
        <v>115</v>
      </c>
      <c r="B11" s="33" t="n">
        <f aca="false">'Control Panel'!$B$73</f>
        <v>0.055</v>
      </c>
      <c r="C11" s="6" t="s">
        <v>209</v>
      </c>
      <c r="D11" s="6" t="s">
        <v>210</v>
      </c>
    </row>
    <row r="12" customFormat="false" ht="15" hidden="false" customHeight="false" outlineLevel="0" collapsed="false">
      <c r="A12" s="17" t="s">
        <v>212</v>
      </c>
      <c r="B12" s="33" t="n">
        <f aca="false">'Tax Schedule'!J$9</f>
        <v>0.21</v>
      </c>
      <c r="C12" s="6" t="s">
        <v>209</v>
      </c>
      <c r="D12" s="6" t="s">
        <v>210</v>
      </c>
    </row>
    <row r="13" customFormat="false" ht="15" hidden="false" customHeight="false" outlineLevel="0" collapsed="false">
      <c r="A13" s="4" t="s">
        <v>213</v>
      </c>
      <c r="B13" s="15" t="n">
        <f aca="false">B11*(1-B12)</f>
        <v>0.04345</v>
      </c>
      <c r="C13" s="6" t="s">
        <v>209</v>
      </c>
      <c r="D13" s="6" t="s">
        <v>136</v>
      </c>
    </row>
    <row r="14" customFormat="false" ht="15" hidden="false" customHeight="false" outlineLevel="0" collapsed="false">
      <c r="A14" s="17" t="s">
        <v>214</v>
      </c>
      <c r="B14" s="33" t="n">
        <f aca="false">'Control Panel'!$B$74</f>
        <v>0.07</v>
      </c>
      <c r="C14" s="6" t="s">
        <v>209</v>
      </c>
      <c r="D14" s="6" t="s">
        <v>210</v>
      </c>
    </row>
    <row r="15" customFormat="false" ht="15" hidden="false" customHeight="false" outlineLevel="0" collapsed="false">
      <c r="A15" s="17" t="s">
        <v>215</v>
      </c>
      <c r="B15" s="33" t="n">
        <f aca="false">'Control Panel'!$B$75</f>
        <v>0.93</v>
      </c>
      <c r="C15" s="6" t="s">
        <v>209</v>
      </c>
      <c r="D15" s="6" t="s">
        <v>210</v>
      </c>
    </row>
    <row r="16" customFormat="false" ht="15" hidden="false" customHeight="false" outlineLevel="0" collapsed="false">
      <c r="A16" s="17" t="s">
        <v>216</v>
      </c>
      <c r="B16" s="15" t="n">
        <f aca="false">B14+B15</f>
        <v>1</v>
      </c>
      <c r="C16" s="6" t="s">
        <v>209</v>
      </c>
      <c r="D16" s="6" t="s">
        <v>136</v>
      </c>
    </row>
    <row r="17" customFormat="false" ht="15" hidden="false" customHeight="false" outlineLevel="0" collapsed="false">
      <c r="A17" s="4" t="s">
        <v>217</v>
      </c>
      <c r="B17" s="15" t="n">
        <f aca="false">B8*B15+B13*B14</f>
        <v>0.0862765</v>
      </c>
      <c r="C17" s="6" t="s">
        <v>209</v>
      </c>
      <c r="D17" s="6" t="s">
        <v>136</v>
      </c>
    </row>
    <row r="19" customFormat="false" ht="15" hidden="false" customHeight="true" outlineLevel="0" collapsed="false">
      <c r="A19" s="3" t="s">
        <v>218</v>
      </c>
      <c r="B19" s="3"/>
      <c r="C19" s="3"/>
      <c r="D19" s="3"/>
      <c r="E19" s="3"/>
      <c r="F19" s="3"/>
      <c r="G19" s="3"/>
    </row>
    <row r="20" customFormat="false" ht="68.65" hidden="false" customHeight="false" outlineLevel="0" collapsed="false">
      <c r="A20" s="17" t="s">
        <v>219</v>
      </c>
      <c r="B20" s="10" t="str">
        <f aca="false">'Source Notes'!B7</f>
        <v>10-year Treasury, observed beta, and analyst ERP/company-risk assumptions</v>
      </c>
    </row>
    <row r="21" customFormat="false" ht="15" hidden="false" customHeight="false" outlineLevel="0" collapsed="false">
      <c r="A21" s="17" t="s">
        <v>220</v>
      </c>
      <c r="B21" s="10" t="str">
        <f aca="false">'Source Notes'!E7</f>
        <v>Medium</v>
      </c>
    </row>
    <row r="22" customFormat="false" ht="68.65" hidden="false" customHeight="false" outlineLevel="0" collapsed="false">
      <c r="A22" s="18" t="s">
        <v>221</v>
      </c>
      <c r="B22" s="6" t="s">
        <v>222</v>
      </c>
    </row>
  </sheetData>
  <mergeCells count="4">
    <mergeCell ref="A1:G1"/>
    <mergeCell ref="A3:G3"/>
    <mergeCell ref="A10:G10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8" min="5" style="1" width="18"/>
  </cols>
  <sheetData>
    <row r="1" customFormat="false" ht="24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223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1" t="s">
        <v>224</v>
      </c>
      <c r="B4" s="10" t="str">
        <f aca="false">'Control Panel'!$B$14</f>
        <v>Gordon Growth</v>
      </c>
    </row>
    <row r="5" customFormat="false" ht="15" hidden="false" customHeight="false" outlineLevel="0" collapsed="false">
      <c r="A5" s="11" t="s">
        <v>58</v>
      </c>
      <c r="B5" s="33" t="n">
        <f aca="false">'Control Panel'!$B$78</f>
        <v>0.0862765</v>
      </c>
    </row>
    <row r="6" customFormat="false" ht="15" hidden="false" customHeight="false" outlineLevel="0" collapsed="false">
      <c r="A6" s="11" t="s">
        <v>59</v>
      </c>
      <c r="B6" s="33" t="n">
        <f aca="false">'Control Panel'!$B$83</f>
        <v>0.03</v>
      </c>
    </row>
    <row r="7" customFormat="false" ht="15" hidden="false" customHeight="false" outlineLevel="0" collapsed="false">
      <c r="A7" s="11" t="s">
        <v>123</v>
      </c>
      <c r="B7" s="43" t="n">
        <f aca="false">'Control Panel'!$B$84</f>
        <v>15</v>
      </c>
    </row>
    <row r="8" customFormat="false" ht="15" hidden="false" customHeight="false" outlineLevel="0" collapsed="false">
      <c r="A8" s="11" t="s">
        <v>225</v>
      </c>
      <c r="B8" s="31" t="n">
        <f aca="false">'Margin Cost Build'!J$12</f>
        <v>10907.5938864789</v>
      </c>
    </row>
    <row r="9" customFormat="false" ht="15" hidden="false" customHeight="false" outlineLevel="0" collapsed="false">
      <c r="A9" s="11" t="s">
        <v>226</v>
      </c>
      <c r="B9" s="31" t="n">
        <f aca="false">'Unlevered FCF'!J$14</f>
        <v>8345.56595839674</v>
      </c>
    </row>
    <row r="10" customFormat="false" ht="15" hidden="false" customHeight="false" outlineLevel="0" collapsed="false">
      <c r="A10" s="4" t="s">
        <v>227</v>
      </c>
      <c r="B10" s="12" t="n">
        <f aca="false">B9*(1+B6)/(B5-B6)</f>
        <v>152744.625858905</v>
      </c>
    </row>
    <row r="11" customFormat="false" ht="15" hidden="false" customHeight="false" outlineLevel="0" collapsed="false">
      <c r="A11" s="4" t="s">
        <v>228</v>
      </c>
      <c r="B11" s="12" t="n">
        <f aca="false">B8*B7</f>
        <v>163613.908297184</v>
      </c>
    </row>
    <row r="12" customFormat="false" ht="15" hidden="false" customHeight="false" outlineLevel="0" collapsed="false">
      <c r="A12" s="4" t="s">
        <v>229</v>
      </c>
      <c r="B12" s="12" t="n">
        <f aca="false">IF(B4="Gordon Growth",B10,B11)</f>
        <v>152744.625858905</v>
      </c>
    </row>
    <row r="13" customFormat="false" ht="15" hidden="false" customHeight="false" outlineLevel="0" collapsed="false">
      <c r="A13" s="11" t="s">
        <v>230</v>
      </c>
      <c r="B13" s="44" t="n">
        <f aca="false">1/(1+B5)^6</f>
        <v>0.608636080445262</v>
      </c>
    </row>
    <row r="14" customFormat="false" ht="15" hidden="false" customHeight="false" outlineLevel="0" collapsed="false">
      <c r="A14" s="4" t="s">
        <v>231</v>
      </c>
      <c r="B14" s="12" t="n">
        <f aca="false">B12*B13</f>
        <v>92965.8903918416</v>
      </c>
    </row>
    <row r="15" customFormat="false" ht="15" hidden="false" customHeight="false" outlineLevel="0" collapsed="false">
      <c r="A15" s="11" t="s">
        <v>232</v>
      </c>
      <c r="B15" s="45" t="n">
        <f aca="false">B12/B8</f>
        <v>14.0035123647432</v>
      </c>
    </row>
    <row r="16" customFormat="false" ht="15" hidden="false" customHeight="false" outlineLevel="0" collapsed="false">
      <c r="A16" s="11" t="s">
        <v>233</v>
      </c>
      <c r="B16" s="15" t="n">
        <f aca="false">B9/B12</f>
        <v>0.0546373786407767</v>
      </c>
    </row>
    <row r="17" customFormat="false" ht="15" hidden="false" customHeight="false" outlineLevel="0" collapsed="false">
      <c r="A17" s="11" t="s">
        <v>234</v>
      </c>
      <c r="B17" s="15" t="n">
        <f aca="false">B5-B9/B12</f>
        <v>0.0316391213592233</v>
      </c>
    </row>
    <row r="20" customFormat="false" ht="15" hidden="false" customHeight="true" outlineLevel="0" collapsed="false">
      <c r="A20" s="3" t="s">
        <v>235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17" t="s">
        <v>236</v>
      </c>
      <c r="B21" s="15" t="n">
        <f aca="false">B14/'DCF Valuation'!B$8</f>
        <v>0.793876329428131</v>
      </c>
    </row>
    <row r="22" customFormat="false" ht="15" hidden="false" customHeight="false" outlineLevel="0" collapsed="false">
      <c r="A22" s="17" t="s">
        <v>237</v>
      </c>
      <c r="B22" s="46" t="str">
        <f aca="false">IF(B6&lt;B5,"OK","FAIL")</f>
        <v>OK</v>
      </c>
    </row>
    <row r="23" customFormat="false" ht="15" hidden="false" customHeight="false" outlineLevel="0" collapsed="false">
      <c r="A23" s="17" t="s">
        <v>238</v>
      </c>
      <c r="B23" s="46" t="str">
        <f aca="false">IF(B12&gt;0,"OK","FAIL")</f>
        <v>OK</v>
      </c>
    </row>
  </sheetData>
  <mergeCells count="3">
    <mergeCell ref="A1:H1"/>
    <mergeCell ref="A3:H3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8" min="5" style="1" width="18"/>
  </cols>
  <sheetData>
    <row r="1" customFormat="false" ht="24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46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239</v>
      </c>
      <c r="B4" s="12" t="n">
        <f aca="false">SUM('Unlevered FCF'!E$17:J$17)</f>
        <v>24137.8535361449</v>
      </c>
    </row>
    <row r="5" customFormat="false" ht="15" hidden="false" customHeight="false" outlineLevel="0" collapsed="false">
      <c r="A5" s="4" t="s">
        <v>231</v>
      </c>
      <c r="B5" s="31" t="n">
        <f aca="false">'Terminal Value'!B$14</f>
        <v>92965.8903918416</v>
      </c>
    </row>
    <row r="6" customFormat="false" ht="15" hidden="false" customHeight="false" outlineLevel="0" collapsed="false">
      <c r="A6" s="4" t="s">
        <v>46</v>
      </c>
      <c r="B6" s="12" t="n">
        <f aca="false">B4+B5</f>
        <v>117103.743927986</v>
      </c>
    </row>
    <row r="7" customFormat="false" ht="15" hidden="false" customHeight="false" outlineLevel="0" collapsed="false">
      <c r="A7" s="11" t="s">
        <v>240</v>
      </c>
      <c r="B7" s="15" t="n">
        <f aca="false">B5/B6</f>
        <v>0.793876329428131</v>
      </c>
    </row>
    <row r="8" customFormat="false" ht="15" hidden="false" customHeight="false" outlineLevel="0" collapsed="false">
      <c r="A8" s="11" t="s">
        <v>241</v>
      </c>
      <c r="B8" s="12" t="n">
        <f aca="false">B4+B5</f>
        <v>117103.743927986</v>
      </c>
    </row>
    <row r="10" customFormat="false" ht="15" hidden="false" customHeight="true" outlineLevel="0" collapsed="false">
      <c r="A10" s="3" t="s">
        <v>242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11" t="s">
        <v>243</v>
      </c>
      <c r="B11" s="31" t="n">
        <f aca="false">'Control Panel'!$B$85</f>
        <v>810</v>
      </c>
    </row>
    <row r="12" customFormat="false" ht="15" hidden="false" customHeight="false" outlineLevel="0" collapsed="false">
      <c r="A12" s="11" t="s">
        <v>244</v>
      </c>
      <c r="B12" s="31" t="n">
        <f aca="false">'Control Panel'!$B$87</f>
        <v>0</v>
      </c>
    </row>
    <row r="13" customFormat="false" ht="15" hidden="false" customHeight="false" outlineLevel="0" collapsed="false">
      <c r="A13" s="11" t="s">
        <v>245</v>
      </c>
      <c r="B13" s="31" t="n">
        <f aca="false">'Control Panel'!$B$88</f>
        <v>0</v>
      </c>
    </row>
    <row r="14" customFormat="false" ht="15" hidden="false" customHeight="false" outlineLevel="0" collapsed="false">
      <c r="A14" s="11" t="s">
        <v>246</v>
      </c>
      <c r="B14" s="31" t="n">
        <f aca="false">'Control Panel'!$B$89</f>
        <v>0</v>
      </c>
    </row>
    <row r="15" customFormat="false" ht="15" hidden="false" customHeight="false" outlineLevel="0" collapsed="false">
      <c r="A15" s="11" t="s">
        <v>129</v>
      </c>
      <c r="B15" s="31" t="n">
        <f aca="false">'Control Panel'!$B$90</f>
        <v>-0</v>
      </c>
    </row>
    <row r="16" customFormat="false" ht="15" hidden="false" customHeight="false" outlineLevel="0" collapsed="false">
      <c r="A16" s="4" t="s">
        <v>47</v>
      </c>
      <c r="B16" s="12" t="n">
        <f aca="false">B6-B11-B12-B13+B14+B15</f>
        <v>116293.743927986</v>
      </c>
    </row>
    <row r="17" customFormat="false" ht="15" hidden="false" customHeight="false" outlineLevel="0" collapsed="false">
      <c r="A17" s="11" t="s">
        <v>125</v>
      </c>
      <c r="B17" s="47" t="n">
        <f aca="false">'Control Panel'!$B$86</f>
        <v>1034</v>
      </c>
    </row>
    <row r="18" customFormat="false" ht="15" hidden="false" customHeight="false" outlineLevel="0" collapsed="false">
      <c r="A18" s="4" t="s">
        <v>48</v>
      </c>
      <c r="B18" s="13" t="n">
        <f aca="false">B16/B17</f>
        <v>112.469771690509</v>
      </c>
    </row>
    <row r="19" customFormat="false" ht="15" hidden="false" customHeight="false" outlineLevel="0" collapsed="false">
      <c r="A19" s="11" t="s">
        <v>49</v>
      </c>
      <c r="B19" s="14" t="n">
        <f aca="false">'Control Panel'!$B$12</f>
        <v>97.35</v>
      </c>
    </row>
    <row r="20" customFormat="false" ht="15" hidden="false" customHeight="false" outlineLevel="0" collapsed="false">
      <c r="A20" s="4" t="s">
        <v>50</v>
      </c>
      <c r="B20" s="15" t="n">
        <f aca="false">B18/B19-1</f>
        <v>0.155313525326237</v>
      </c>
    </row>
    <row r="21" customFormat="false" ht="15" hidden="false" customHeight="false" outlineLevel="0" collapsed="false">
      <c r="A21" s="11" t="s">
        <v>247</v>
      </c>
      <c r="B21" s="45" t="n">
        <f aca="false">B6/'Margin Cost Build'!J$12</f>
        <v>10.7359831276033</v>
      </c>
    </row>
    <row r="22" customFormat="false" ht="15" hidden="false" customHeight="false" outlineLevel="0" collapsed="false">
      <c r="A22" s="11" t="s">
        <v>248</v>
      </c>
      <c r="B22" s="15" t="n">
        <f aca="false">'Unlevered FCF'!J$14/B6</f>
        <v>0.0712664316140813</v>
      </c>
    </row>
  </sheetData>
  <mergeCells count="3">
    <mergeCell ref="A1:H1"/>
    <mergeCell ref="A3:H3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3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2" min="11" style="1" width="13"/>
  </cols>
  <sheetData>
    <row r="1" customFormat="false" ht="24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" t="s">
        <v>249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2" t="s">
        <v>250</v>
      </c>
      <c r="B4" s="48" t="n">
        <v>0.075</v>
      </c>
      <c r="C4" s="48" t="n">
        <v>0.08</v>
      </c>
      <c r="D4" s="48" t="n">
        <v>0.085</v>
      </c>
      <c r="E4" s="48" t="n">
        <v>0.09</v>
      </c>
      <c r="F4" s="48" t="n">
        <v>0.095</v>
      </c>
      <c r="G4" s="48" t="n">
        <v>0.1</v>
      </c>
      <c r="H4" s="48" t="n">
        <v>0.105</v>
      </c>
    </row>
    <row r="5" customFormat="false" ht="15" hidden="false" customHeight="false" outlineLevel="0" collapsed="false">
      <c r="A5" s="49" t="n">
        <v>0.015</v>
      </c>
      <c r="B5" s="13" t="n">
        <f aca="false">(('Unlevered FCF'!E$14/(1+B$4)^1+'Unlevered FCF'!F$14/(1+B$4)^2+'Unlevered FCF'!G$14/(1+B$4)^3+'Unlevered FCF'!H$14/(1+B$4)^4+'Unlevered FCF'!I$14/(1+B$4)^5+'Unlevered FCF'!J$14/(1+B$4)^6)+('Unlevered FCF'!J$14*(1+$A5)/(B$4-$A5))/(1+B$4)^6-'Control Panel'!$B$85-'Control Panel'!$B$87-'Control Panel'!$B$88+'Control Panel'!$B$89+'Control Panel'!$B$90)/'Control Panel'!$B$86</f>
        <v>111.988971456782</v>
      </c>
      <c r="C5" s="13" t="n">
        <f aca="false">(('Unlevered FCF'!E$14/(1+C$4)^1+'Unlevered FCF'!F$14/(1+C$4)^2+'Unlevered FCF'!G$14/(1+C$4)^3+'Unlevered FCF'!H$14/(1+C$4)^4+'Unlevered FCF'!I$14/(1+C$4)^5+'Unlevered FCF'!J$14/(1+C$4)^6)+('Unlevered FCF'!J$14*(1+$A5)/(C$4-$A5))/(1+C$4)^6-'Control Panel'!$B$85-'Control Panel'!$B$87-'Control Panel'!$B$88+'Control Panel'!$B$89+'Control Panel'!$B$90)/'Control Panel'!$B$86</f>
        <v>102.509704049948</v>
      </c>
      <c r="D5" s="13" t="n">
        <f aca="false">(('Unlevered FCF'!E$14/(1+D$4)^1+'Unlevered FCF'!F$14/(1+D$4)^2+'Unlevered FCF'!G$14/(1+D$4)^3+'Unlevered FCF'!H$14/(1+D$4)^4+'Unlevered FCF'!I$14/(1+D$4)^5+'Unlevered FCF'!J$14/(1+D$4)^6)+('Unlevered FCF'!J$14*(1+$A5)/(D$4-$A5))/(1+D$4)^6-'Control Panel'!$B$85-'Control Panel'!$B$87-'Control Panel'!$B$88+'Control Panel'!$B$89+'Control Panel'!$B$90)/'Control Panel'!$B$86</f>
        <v>94.4003731915995</v>
      </c>
      <c r="E5" s="13" t="n">
        <f aca="false">(('Unlevered FCF'!E$14/(1+E$4)^1+'Unlevered FCF'!F$14/(1+E$4)^2+'Unlevered FCF'!G$14/(1+E$4)^3+'Unlevered FCF'!H$14/(1+E$4)^4+'Unlevered FCF'!I$14/(1+E$4)^5+'Unlevered FCF'!J$14/(1+E$4)^6)+('Unlevered FCF'!J$14*(1+$A5)/(E$4-$A5))/(1+E$4)^6-'Control Panel'!$B$85-'Control Panel'!$B$87-'Control Panel'!$B$88+'Control Panel'!$B$89+'Control Panel'!$B$90)/'Control Panel'!$B$86</f>
        <v>87.3865961196025</v>
      </c>
      <c r="F5" s="13" t="n">
        <f aca="false">(('Unlevered FCF'!E$14/(1+F$4)^1+'Unlevered FCF'!F$14/(1+F$4)^2+'Unlevered FCF'!G$14/(1+F$4)^3+'Unlevered FCF'!H$14/(1+F$4)^4+'Unlevered FCF'!I$14/(1+F$4)^5+'Unlevered FCF'!J$14/(1+F$4)^6)+('Unlevered FCF'!J$14*(1+$A5)/(F$4-$A5))/(1+F$4)^6-'Control Panel'!$B$85-'Control Panel'!$B$87-'Control Panel'!$B$88+'Control Panel'!$B$89+'Control Panel'!$B$90)/'Control Panel'!$B$86</f>
        <v>81.2625976761649</v>
      </c>
      <c r="G5" s="13" t="n">
        <f aca="false">(('Unlevered FCF'!E$14/(1+G$4)^1+'Unlevered FCF'!F$14/(1+G$4)^2+'Unlevered FCF'!G$14/(1+G$4)^3+'Unlevered FCF'!H$14/(1+G$4)^4+'Unlevered FCF'!I$14/(1+G$4)^5+'Unlevered FCF'!J$14/(1+G$4)^6)+('Unlevered FCF'!J$14*(1+$A5)/(G$4-$A5))/(1+G$4)^6-'Control Panel'!$B$85-'Control Panel'!$B$87-'Control Panel'!$B$88+'Control Panel'!$B$89+'Control Panel'!$B$90)/'Control Panel'!$B$86</f>
        <v>75.8710311849734</v>
      </c>
      <c r="H5" s="13" t="n">
        <f aca="false">(('Unlevered FCF'!E$14/(1+H$4)^1+'Unlevered FCF'!F$14/(1+H$4)^2+'Unlevered FCF'!G$14/(1+H$4)^3+'Unlevered FCF'!H$14/(1+H$4)^4+'Unlevered FCF'!I$14/(1+H$4)^5+'Unlevered FCF'!J$14/(1+H$4)^6)+('Unlevered FCF'!J$14*(1+$A5)/(H$4-$A5))/(1+H$4)^6-'Control Panel'!$B$85-'Control Panel'!$B$87-'Control Panel'!$B$88+'Control Panel'!$B$89+'Control Panel'!$B$90)/'Control Panel'!$B$86</f>
        <v>71.0895257190381</v>
      </c>
    </row>
    <row r="6" customFormat="false" ht="15" hidden="false" customHeight="false" outlineLevel="0" collapsed="false">
      <c r="A6" s="49" t="n">
        <v>0.02</v>
      </c>
      <c r="B6" s="13" t="n">
        <f aca="false">(('Unlevered FCF'!E$14/(1+B$4)^1+'Unlevered FCF'!F$14/(1+B$4)^2+'Unlevered FCF'!G$14/(1+B$4)^3+'Unlevered FCF'!H$14/(1+B$4)^4+'Unlevered FCF'!I$14/(1+B$4)^5+'Unlevered FCF'!J$14/(1+B$4)^6)+('Unlevered FCF'!J$14*(1+$A6)/(B$4-$A6))/(1+B$4)^6-'Control Panel'!$B$85-'Control Panel'!$B$87-'Control Panel'!$B$88+'Control Panel'!$B$89+'Control Panel'!$B$90)/'Control Panel'!$B$86</f>
        <v>120.507194319112</v>
      </c>
      <c r="C6" s="13" t="n">
        <f aca="false">(('Unlevered FCF'!E$14/(1+C$4)^1+'Unlevered FCF'!F$14/(1+C$4)^2+'Unlevered FCF'!G$14/(1+C$4)^3+'Unlevered FCF'!H$14/(1+C$4)^4+'Unlevered FCF'!I$14/(1+C$4)^5+'Unlevered FCF'!J$14/(1+C$4)^6)+('Unlevered FCF'!J$14*(1+$A6)/(C$4-$A6))/(1+C$4)^6-'Control Panel'!$B$85-'Control Panel'!$B$87-'Control Panel'!$B$88+'Control Panel'!$B$89+'Control Panel'!$B$90)/'Control Panel'!$B$86</f>
        <v>109.552123284464</v>
      </c>
      <c r="D6" s="13" t="n">
        <f aca="false">(('Unlevered FCF'!E$14/(1+D$4)^1+'Unlevered FCF'!F$14/(1+D$4)^2+'Unlevered FCF'!G$14/(1+D$4)^3+'Unlevered FCF'!H$14/(1+D$4)^4+'Unlevered FCF'!I$14/(1+D$4)^5+'Unlevered FCF'!J$14/(1+D$4)^6)+('Unlevered FCF'!J$14*(1+$A6)/(D$4-$A6))/(1+D$4)^6-'Control Panel'!$B$85-'Control Panel'!$B$87-'Control Panel'!$B$88+'Control Panel'!$B$89+'Control Panel'!$B$90)/'Control Panel'!$B$86</f>
        <v>100.298921925189</v>
      </c>
      <c r="E6" s="13" t="n">
        <f aca="false">(('Unlevered FCF'!E$14/(1+E$4)^1+'Unlevered FCF'!F$14/(1+E$4)^2+'Unlevered FCF'!G$14/(1+E$4)^3+'Unlevered FCF'!H$14/(1+E$4)^4+'Unlevered FCF'!I$14/(1+E$4)^5+'Unlevered FCF'!J$14/(1+E$4)^6)+('Unlevered FCF'!J$14*(1+$A6)/(E$4-$A6))/(1+E$4)^6-'Control Panel'!$B$85-'Control Panel'!$B$87-'Control Panel'!$B$88+'Control Panel'!$B$89+'Control Panel'!$B$90)/'Control Panel'!$B$86</f>
        <v>92.3824930089689</v>
      </c>
      <c r="F6" s="13" t="n">
        <f aca="false">(('Unlevered FCF'!E$14/(1+F$4)^1+'Unlevered FCF'!F$14/(1+F$4)^2+'Unlevered FCF'!G$14/(1+F$4)^3+'Unlevered FCF'!H$14/(1+F$4)^4+'Unlevered FCF'!I$14/(1+F$4)^5+'Unlevered FCF'!J$14/(1+F$4)^6)+('Unlevered FCF'!J$14*(1+$A6)/(F$4-$A6))/(1+F$4)^6-'Control Panel'!$B$85-'Control Panel'!$B$87-'Control Panel'!$B$88+'Control Panel'!$B$89+'Control Panel'!$B$90)/'Control Panel'!$B$86</f>
        <v>85.5351108766873</v>
      </c>
      <c r="G6" s="13" t="n">
        <f aca="false">(('Unlevered FCF'!E$14/(1+G$4)^1+'Unlevered FCF'!F$14/(1+G$4)^2+'Unlevered FCF'!G$14/(1+G$4)^3+'Unlevered FCF'!H$14/(1+G$4)^4+'Unlevered FCF'!I$14/(1+G$4)^5+'Unlevered FCF'!J$14/(1+G$4)^6)+('Unlevered FCF'!J$14*(1+$A6)/(G$4-$A6))/(1+G$4)^6-'Control Panel'!$B$85-'Control Panel'!$B$87-'Control Panel'!$B$88+'Control Panel'!$B$89+'Control Panel'!$B$90)/'Control Panel'!$B$86</f>
        <v>79.555992398255</v>
      </c>
      <c r="H6" s="13" t="n">
        <f aca="false">(('Unlevered FCF'!E$14/(1+H$4)^1+'Unlevered FCF'!F$14/(1+H$4)^2+'Unlevered FCF'!G$14/(1+H$4)^3+'Unlevered FCF'!H$14/(1+H$4)^4+'Unlevered FCF'!I$14/(1+H$4)^5+'Unlevered FCF'!J$14/(1+H$4)^6)+('Unlevered FCF'!J$14*(1+$A6)/(H$4-$A6))/(1+H$4)^6-'Control Panel'!$B$85-'Control Panel'!$B$87-'Control Panel'!$B$88+'Control Panel'!$B$89+'Control Panel'!$B$90)/'Control Panel'!$B$86</f>
        <v>74.2916076079051</v>
      </c>
    </row>
    <row r="7" customFormat="false" ht="15" hidden="false" customHeight="false" outlineLevel="0" collapsed="false">
      <c r="A7" s="49" t="n">
        <v>0.025</v>
      </c>
      <c r="B7" s="13" t="n">
        <f aca="false">(('Unlevered FCF'!E$14/(1+B$4)^1+'Unlevered FCF'!F$14/(1+B$4)^2+'Unlevered FCF'!G$14/(1+B$4)^3+'Unlevered FCF'!H$14/(1+B$4)^4+'Unlevered FCF'!I$14/(1+B$4)^5+'Unlevered FCF'!J$14/(1+B$4)^6)+('Unlevered FCF'!J$14*(1+$A7)/(B$4-$A7))/(1+B$4)^6-'Control Panel'!$B$85-'Control Panel'!$B$87-'Control Panel'!$B$88+'Control Panel'!$B$89+'Control Panel'!$B$90)/'Control Panel'!$B$86</f>
        <v>130.729061753908</v>
      </c>
      <c r="C7" s="13" t="n">
        <f aca="false">(('Unlevered FCF'!E$14/(1+C$4)^1+'Unlevered FCF'!F$14/(1+C$4)^2+'Unlevered FCF'!G$14/(1+C$4)^3+'Unlevered FCF'!H$14/(1+C$4)^4+'Unlevered FCF'!I$14/(1+C$4)^5+'Unlevered FCF'!J$14/(1+C$4)^6)+('Unlevered FCF'!J$14*(1+$A7)/(C$4-$A7))/(1+C$4)^6-'Control Panel'!$B$85-'Control Panel'!$B$87-'Control Panel'!$B$88+'Control Panel'!$B$89+'Control Panel'!$B$90)/'Control Panel'!$B$86</f>
        <v>117.874982379801</v>
      </c>
      <c r="D7" s="13" t="n">
        <f aca="false">(('Unlevered FCF'!E$14/(1+D$4)^1+'Unlevered FCF'!F$14/(1+D$4)^2+'Unlevered FCF'!G$14/(1+D$4)^3+'Unlevered FCF'!H$14/(1+D$4)^4+'Unlevered FCF'!I$14/(1+D$4)^5+'Unlevered FCF'!J$14/(1+D$4)^6)+('Unlevered FCF'!J$14*(1+$A7)/(D$4-$A7))/(1+D$4)^6-'Control Panel'!$B$85-'Control Panel'!$B$87-'Control Panel'!$B$88+'Control Panel'!$B$89+'Control Panel'!$B$90)/'Control Panel'!$B$86</f>
        <v>107.180562114376</v>
      </c>
      <c r="E7" s="13" t="n">
        <f aca="false">(('Unlevered FCF'!E$14/(1+E$4)^1+'Unlevered FCF'!F$14/(1+E$4)^2+'Unlevered FCF'!G$14/(1+E$4)^3+'Unlevered FCF'!H$14/(1+E$4)^4+'Unlevered FCF'!I$14/(1+E$4)^5+'Unlevered FCF'!J$14/(1+E$4)^6)+('Unlevered FCF'!J$14*(1+$A7)/(E$4-$A7))/(1+E$4)^6-'Control Panel'!$B$85-'Control Panel'!$B$87-'Control Panel'!$B$88+'Control Panel'!$B$89+'Control Panel'!$B$90)/'Control Panel'!$B$86</f>
        <v>98.1469894197763</v>
      </c>
      <c r="F7" s="13" t="n">
        <f aca="false">(('Unlevered FCF'!E$14/(1+F$4)^1+'Unlevered FCF'!F$14/(1+F$4)^2+'Unlevered FCF'!G$14/(1+F$4)^3+'Unlevered FCF'!H$14/(1+F$4)^4+'Unlevered FCF'!I$14/(1+F$4)^5+'Unlevered FCF'!J$14/(1+F$4)^6)+('Unlevered FCF'!J$14*(1+$A7)/(F$4-$A7))/(1+F$4)^6-'Control Panel'!$B$85-'Control Panel'!$B$87-'Control Panel'!$B$88+'Control Panel'!$B$89+'Control Panel'!$B$90)/'Control Panel'!$B$86</f>
        <v>90.4179831058556</v>
      </c>
      <c r="G7" s="13" t="n">
        <f aca="false">(('Unlevered FCF'!E$14/(1+G$4)^1+'Unlevered FCF'!F$14/(1+G$4)^2+'Unlevered FCF'!G$14/(1+G$4)^3+'Unlevered FCF'!H$14/(1+G$4)^4+'Unlevered FCF'!I$14/(1+G$4)^5+'Unlevered FCF'!J$14/(1+G$4)^6)+('Unlevered FCF'!J$14*(1+$A7)/(G$4-$A7))/(1+G$4)^6-'Control Panel'!$B$85-'Control Panel'!$B$87-'Control Panel'!$B$88+'Control Panel'!$B$89+'Control Panel'!$B$90)/'Control Panel'!$B$86</f>
        <v>83.7322817733075</v>
      </c>
      <c r="H7" s="13" t="n">
        <f aca="false">(('Unlevered FCF'!E$14/(1+H$4)^1+'Unlevered FCF'!F$14/(1+H$4)^2+'Unlevered FCF'!G$14/(1+H$4)^3+'Unlevered FCF'!H$14/(1+H$4)^4+'Unlevered FCF'!I$14/(1+H$4)^5+'Unlevered FCF'!J$14/(1+H$4)^6)+('Unlevered FCF'!J$14*(1+$A7)/(H$4-$A7))/(1+H$4)^6-'Control Panel'!$B$85-'Control Panel'!$B$87-'Control Panel'!$B$88+'Control Panel'!$B$89+'Control Panel'!$B$90)/'Control Panel'!$B$86</f>
        <v>77.8939497328803</v>
      </c>
    </row>
    <row r="8" customFormat="false" ht="15" hidden="false" customHeight="false" outlineLevel="0" collapsed="false">
      <c r="A8" s="49" t="n">
        <v>0.03</v>
      </c>
      <c r="B8" s="13" t="n">
        <f aca="false">(('Unlevered FCF'!E$14/(1+B$4)^1+'Unlevered FCF'!F$14/(1+B$4)^2+'Unlevered FCF'!G$14/(1+B$4)^3+'Unlevered FCF'!H$14/(1+B$4)^4+'Unlevered FCF'!I$14/(1+B$4)^5+'Unlevered FCF'!J$14/(1+B$4)^6)+('Unlevered FCF'!J$14*(1+$A8)/(B$4-$A8))/(1+B$4)^6-'Control Panel'!$B$85-'Control Panel'!$B$87-'Control Panel'!$B$88+'Control Panel'!$B$89+'Control Panel'!$B$90)/'Control Panel'!$B$86</f>
        <v>143.222455285325</v>
      </c>
      <c r="C8" s="13" t="n">
        <f aca="false">(('Unlevered FCF'!E$14/(1+C$4)^1+'Unlevered FCF'!F$14/(1+C$4)^2+'Unlevered FCF'!G$14/(1+C$4)^3+'Unlevered FCF'!H$14/(1+C$4)^4+'Unlevered FCF'!I$14/(1+C$4)^5+'Unlevered FCF'!J$14/(1+C$4)^6)+('Unlevered FCF'!J$14*(1+$A8)/(C$4-$A8))/(1+C$4)^6-'Control Panel'!$B$85-'Control Panel'!$B$87-'Control Panel'!$B$88+'Control Panel'!$B$89+'Control Panel'!$B$90)/'Control Panel'!$B$86</f>
        <v>127.862413294205</v>
      </c>
      <c r="D8" s="13" t="n">
        <f aca="false">(('Unlevered FCF'!E$14/(1+D$4)^1+'Unlevered FCF'!F$14/(1+D$4)^2+'Unlevered FCF'!G$14/(1+D$4)^3+'Unlevered FCF'!H$14/(1+D$4)^4+'Unlevered FCF'!I$14/(1+D$4)^5+'Unlevered FCF'!J$14/(1+D$4)^6)+('Unlevered FCF'!J$14*(1+$A8)/(D$4-$A8))/(1+D$4)^6-'Control Panel'!$B$85-'Control Panel'!$B$87-'Control Panel'!$B$88+'Control Panel'!$B$89+'Control Panel'!$B$90)/'Control Panel'!$B$86</f>
        <v>115.313409610689</v>
      </c>
      <c r="E8" s="13" t="n">
        <f aca="false">(('Unlevered FCF'!E$14/(1+E$4)^1+'Unlevered FCF'!F$14/(1+E$4)^2+'Unlevered FCF'!G$14/(1+E$4)^3+'Unlevered FCF'!H$14/(1+E$4)^4+'Unlevered FCF'!I$14/(1+E$4)^5+'Unlevered FCF'!J$14/(1+E$4)^6)+('Unlevered FCF'!J$14*(1+$A8)/(E$4-$A8))/(1+E$4)^6-'Control Panel'!$B$85-'Control Panel'!$B$87-'Control Panel'!$B$88+'Control Panel'!$B$89+'Control Panel'!$B$90)/'Control Panel'!$B$86</f>
        <v>104.872235232385</v>
      </c>
      <c r="F8" s="13" t="n">
        <f aca="false">(('Unlevered FCF'!E$14/(1+F$4)^1+'Unlevered FCF'!F$14/(1+F$4)^2+'Unlevered FCF'!G$14/(1+F$4)^3+'Unlevered FCF'!H$14/(1+F$4)^4+'Unlevered FCF'!I$14/(1+F$4)^5+'Unlevered FCF'!J$14/(1+F$4)^6)+('Unlevered FCF'!J$14*(1+$A8)/(F$4-$A8))/(1+F$4)^6-'Control Panel'!$B$85-'Control Panel'!$B$87-'Control Panel'!$B$88+'Control Panel'!$B$89+'Control Panel'!$B$90)/'Control Panel'!$B$86</f>
        <v>96.0520664472038</v>
      </c>
      <c r="G8" s="13" t="n">
        <f aca="false">(('Unlevered FCF'!E$14/(1+G$4)^1+'Unlevered FCF'!F$14/(1+G$4)^2+'Unlevered FCF'!G$14/(1+G$4)^3+'Unlevered FCF'!H$14/(1+G$4)^4+'Unlevered FCF'!I$14/(1+G$4)^5+'Unlevered FCF'!J$14/(1+G$4)^6)+('Unlevered FCF'!J$14*(1+$A8)/(G$4-$A8))/(1+G$4)^6-'Control Panel'!$B$85-'Control Panel'!$B$87-'Control Panel'!$B$88+'Control Panel'!$B$89+'Control Panel'!$B$90)/'Control Panel'!$B$86</f>
        <v>88.5051839162247</v>
      </c>
      <c r="H8" s="13" t="n">
        <f aca="false">(('Unlevered FCF'!E$14/(1+H$4)^1+'Unlevered FCF'!F$14/(1+H$4)^2+'Unlevered FCF'!G$14/(1+H$4)^3+'Unlevered FCF'!H$14/(1+H$4)^4+'Unlevered FCF'!I$14/(1+H$4)^5+'Unlevered FCF'!J$14/(1+H$4)^6)+('Unlevered FCF'!J$14*(1+$A8)/(H$4-$A8))/(1+H$4)^6-'Control Panel'!$B$85-'Control Panel'!$B$87-'Control Panel'!$B$88+'Control Panel'!$B$89+'Control Panel'!$B$90)/'Control Panel'!$B$86</f>
        <v>81.9766041411856</v>
      </c>
    </row>
    <row r="9" customFormat="false" ht="15" hidden="false" customHeight="false" outlineLevel="0" collapsed="false">
      <c r="A9" s="49" t="n">
        <v>0.035</v>
      </c>
      <c r="B9" s="13" t="n">
        <f aca="false">(('Unlevered FCF'!E$14/(1+B$4)^1+'Unlevered FCF'!F$14/(1+B$4)^2+'Unlevered FCF'!G$14/(1+B$4)^3+'Unlevered FCF'!H$14/(1+B$4)^4+'Unlevered FCF'!I$14/(1+B$4)^5+'Unlevered FCF'!J$14/(1+B$4)^6)+('Unlevered FCF'!J$14*(1+$A9)/(B$4-$A9))/(1+B$4)^6-'Control Panel'!$B$85-'Control Panel'!$B$87-'Control Panel'!$B$88+'Control Panel'!$B$89+'Control Panel'!$B$90)/'Control Panel'!$B$86</f>
        <v>158.839197199597</v>
      </c>
      <c r="C9" s="13" t="n">
        <f aca="false">(('Unlevered FCF'!E$14/(1+C$4)^1+'Unlevered FCF'!F$14/(1+C$4)^2+'Unlevered FCF'!G$14/(1+C$4)^3+'Unlevered FCF'!H$14/(1+C$4)^4+'Unlevered FCF'!I$14/(1+C$4)^5+'Unlevered FCF'!J$14/(1+C$4)^6)+('Unlevered FCF'!J$14*(1+$A9)/(C$4-$A9))/(1+C$4)^6-'Control Panel'!$B$85-'Control Panel'!$B$87-'Control Panel'!$B$88+'Control Panel'!$B$89+'Control Panel'!$B$90)/'Control Panel'!$B$86</f>
        <v>140.069273300699</v>
      </c>
      <c r="D9" s="13" t="n">
        <f aca="false">(('Unlevered FCF'!E$14/(1+D$4)^1+'Unlevered FCF'!F$14/(1+D$4)^2+'Unlevered FCF'!G$14/(1+D$4)^3+'Unlevered FCF'!H$14/(1+D$4)^4+'Unlevered FCF'!I$14/(1+D$4)^5+'Unlevered FCF'!J$14/(1+D$4)^6)+('Unlevered FCF'!J$14*(1+$A9)/(D$4-$A9))/(1+D$4)^6-'Control Panel'!$B$85-'Control Panel'!$B$87-'Control Panel'!$B$88+'Control Panel'!$B$89+'Control Panel'!$B$90)/'Control Panel'!$B$86</f>
        <v>125.072826606264</v>
      </c>
      <c r="E9" s="13" t="n">
        <f aca="false">(('Unlevered FCF'!E$14/(1+E$4)^1+'Unlevered FCF'!F$14/(1+E$4)^2+'Unlevered FCF'!G$14/(1+E$4)^3+'Unlevered FCF'!H$14/(1+E$4)^4+'Unlevered FCF'!I$14/(1+E$4)^5+'Unlevered FCF'!J$14/(1+E$4)^6)+('Unlevered FCF'!J$14*(1+$A9)/(E$4-$A9))/(1+E$4)^6-'Control Panel'!$B$85-'Control Panel'!$B$87-'Control Panel'!$B$88+'Control Panel'!$B$89+'Control Panel'!$B$90)/'Control Panel'!$B$86</f>
        <v>112.820253010922</v>
      </c>
      <c r="F9" s="13" t="n">
        <f aca="false">(('Unlevered FCF'!E$14/(1+F$4)^1+'Unlevered FCF'!F$14/(1+F$4)^2+'Unlevered FCF'!G$14/(1+F$4)^3+'Unlevered FCF'!H$14/(1+F$4)^4+'Unlevered FCF'!I$14/(1+F$4)^5+'Unlevered FCF'!J$14/(1+F$4)^6)+('Unlevered FCF'!J$14*(1+$A9)/(F$4-$A9))/(1+F$4)^6-'Control Panel'!$B$85-'Control Panel'!$B$87-'Control Panel'!$B$88+'Control Panel'!$B$89+'Control Panel'!$B$90)/'Control Panel'!$B$86</f>
        <v>102.625163678777</v>
      </c>
      <c r="G9" s="13" t="n">
        <f aca="false">(('Unlevered FCF'!E$14/(1+G$4)^1+'Unlevered FCF'!F$14/(1+G$4)^2+'Unlevered FCF'!G$14/(1+G$4)^3+'Unlevered FCF'!H$14/(1+G$4)^4+'Unlevered FCF'!I$14/(1+G$4)^5+'Unlevered FCF'!J$14/(1+G$4)^6)+('Unlevered FCF'!J$14*(1+$A9)/(G$4-$A9))/(1+G$4)^6-'Control Panel'!$B$85-'Control Panel'!$B$87-'Control Panel'!$B$88+'Control Panel'!$B$89+'Control Panel'!$B$90)/'Control Panel'!$B$86</f>
        <v>94.0123786965137</v>
      </c>
      <c r="H9" s="13" t="n">
        <f aca="false">(('Unlevered FCF'!E$14/(1+H$4)^1+'Unlevered FCF'!F$14/(1+H$4)^2+'Unlevered FCF'!G$14/(1+H$4)^3+'Unlevered FCF'!H$14/(1+H$4)^4+'Unlevered FCF'!I$14/(1+H$4)^5+'Unlevered FCF'!J$14/(1+H$4)^6)+('Unlevered FCF'!J$14*(1+$A9)/(H$4-$A9))/(1+H$4)^6-'Control Panel'!$B$85-'Control Panel'!$B$87-'Control Panel'!$B$88+'Control Panel'!$B$89+'Control Panel'!$B$90)/'Control Panel'!$B$86</f>
        <v>86.6424948935346</v>
      </c>
    </row>
    <row r="12" customFormat="false" ht="15" hidden="false" customHeight="true" outlineLevel="0" collapsed="false">
      <c r="A12" s="3" t="s">
        <v>251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22" t="s">
        <v>123</v>
      </c>
      <c r="B13" s="50" t="n">
        <v>0.075</v>
      </c>
      <c r="C13" s="50" t="n">
        <v>0.08</v>
      </c>
      <c r="D13" s="50" t="n">
        <v>0.085</v>
      </c>
      <c r="E13" s="50" t="n">
        <v>0.09</v>
      </c>
      <c r="F13" s="50" t="n">
        <v>0.095</v>
      </c>
      <c r="G13" s="50" t="n">
        <v>0.1</v>
      </c>
      <c r="H13" s="50" t="n">
        <v>0.105</v>
      </c>
    </row>
    <row r="14" customFormat="false" ht="15" hidden="false" customHeight="false" outlineLevel="0" collapsed="false">
      <c r="A14" s="51" t="n">
        <v>8.5</v>
      </c>
      <c r="B14" s="13" t="n">
        <f aca="false">(('Unlevered FCF'!E$14/(1+B$13)^1+'Unlevered FCF'!F$14/(1+B$13)^2+'Unlevered FCF'!G$14/(1+B$13)^3+'Unlevered FCF'!H$14/(1+B$13)^4+'Unlevered FCF'!I$14/(1+B$13)^5+'Unlevered FCF'!J$14/(1+B$13)^6)+('Margin Cost Build'!J$12*$A14)/(1+B$13)^6-'Control Panel'!$B$85-'Control Panel'!$B$87-'Control Panel'!$B$88+'Control Panel'!$B$89+'Control Panel'!$B$90)/'Control Panel'!$B$86</f>
        <v>81.6183699899865</v>
      </c>
      <c r="C14" s="13" t="n">
        <f aca="false">(('Unlevered FCF'!E$14/(1+C$13)^1+'Unlevered FCF'!F$14/(1+C$13)^2+'Unlevered FCF'!G$14/(1+C$13)^3+'Unlevered FCF'!H$14/(1+C$13)^4+'Unlevered FCF'!I$14/(1+C$13)^5+'Unlevered FCF'!J$14/(1+C$13)^6)+('Margin Cost Build'!J$12*$A14)/(1+C$13)^6-'Control Panel'!$B$85-'Control Panel'!$B$87-'Control Panel'!$B$88+'Control Panel'!$B$89+'Control Panel'!$B$90)/'Control Panel'!$B$86</f>
        <v>79.5915961835603</v>
      </c>
      <c r="D14" s="13" t="n">
        <f aca="false">(('Unlevered FCF'!E$14/(1+D$13)^1+'Unlevered FCF'!F$14/(1+D$13)^2+'Unlevered FCF'!G$14/(1+D$13)^3+'Unlevered FCF'!H$14/(1+D$13)^4+'Unlevered FCF'!I$14/(1+D$13)^5+'Unlevered FCF'!J$14/(1+D$13)^6)+('Margin Cost Build'!J$12*$A14)/(1+D$13)^6-'Control Panel'!$B$85-'Control Panel'!$B$87-'Control Panel'!$B$88+'Control Panel'!$B$89+'Control Panel'!$B$90)/'Control Panel'!$B$86</f>
        <v>77.626687166159</v>
      </c>
      <c r="E14" s="13" t="n">
        <f aca="false">(('Unlevered FCF'!E$14/(1+E$13)^1+'Unlevered FCF'!F$14/(1+E$13)^2+'Unlevered FCF'!G$14/(1+E$13)^3+'Unlevered FCF'!H$14/(1+E$13)^4+'Unlevered FCF'!I$14/(1+E$13)^5+'Unlevered FCF'!J$14/(1+E$13)^6)+('Margin Cost Build'!J$12*$A14)/(1+E$13)^6-'Control Panel'!$B$85-'Control Panel'!$B$87-'Control Panel'!$B$88+'Control Panel'!$B$89+'Control Panel'!$B$90)/'Control Panel'!$B$86</f>
        <v>75.7214516849082</v>
      </c>
      <c r="F14" s="13" t="n">
        <f aca="false">(('Unlevered FCF'!E$14/(1+F$13)^1+'Unlevered FCF'!F$14/(1+F$13)^2+'Unlevered FCF'!G$14/(1+F$13)^3+'Unlevered FCF'!H$14/(1+F$13)^4+'Unlevered FCF'!I$14/(1+F$13)^5+'Unlevered FCF'!J$14/(1+F$13)^6)+('Margin Cost Build'!J$12*$A14)/(1+F$13)^6-'Control Panel'!$B$85-'Control Panel'!$B$87-'Control Panel'!$B$88+'Control Panel'!$B$89+'Control Panel'!$B$90)/'Control Panel'!$B$86</f>
        <v>73.8737861712389</v>
      </c>
      <c r="G14" s="13" t="n">
        <f aca="false">(('Unlevered FCF'!E$14/(1+G$13)^1+'Unlevered FCF'!F$14/(1+G$13)^2+'Unlevered FCF'!G$14/(1+G$13)^3+'Unlevered FCF'!H$14/(1+G$13)^4+'Unlevered FCF'!I$14/(1+G$13)^5+'Unlevered FCF'!J$14/(1+G$13)^6)+('Margin Cost Build'!J$12*$A14)/(1+G$13)^6-'Control Panel'!$B$85-'Control Panel'!$B$87-'Control Panel'!$B$88+'Control Panel'!$B$89+'Control Panel'!$B$90)/'Control Panel'!$B$86</f>
        <v>72.0816708416892</v>
      </c>
      <c r="H14" s="13" t="n">
        <f aca="false">(('Unlevered FCF'!E$14/(1+H$13)^1+'Unlevered FCF'!F$14/(1+H$13)^2+'Unlevered FCF'!G$14/(1+H$13)^3+'Unlevered FCF'!H$14/(1+H$13)^4+'Unlevered FCF'!I$14/(1+H$13)^5+'Unlevered FCF'!J$14/(1+H$13)^6)+('Margin Cost Build'!J$12*$A14)/(1+H$13)^6-'Control Panel'!$B$85-'Control Panel'!$B$87-'Control Panel'!$B$88+'Control Panel'!$B$89+'Control Panel'!$B$90)/'Control Panel'!$B$86</f>
        <v>70.3431659891144</v>
      </c>
    </row>
    <row r="15" customFormat="false" ht="15" hidden="false" customHeight="false" outlineLevel="0" collapsed="false">
      <c r="A15" s="51" t="n">
        <v>9.5</v>
      </c>
      <c r="B15" s="13" t="n">
        <f aca="false">(('Unlevered FCF'!E$14/(1+B$13)^1+'Unlevered FCF'!F$14/(1+B$13)^2+'Unlevered FCF'!G$14/(1+B$13)^3+'Unlevered FCF'!H$14/(1+B$13)^4+'Unlevered FCF'!I$14/(1+B$13)^5+'Unlevered FCF'!J$14/(1+B$13)^6)+('Margin Cost Build'!J$12*$A15)/(1+B$13)^6-'Control Panel'!$B$85-'Control Panel'!$B$87-'Control Panel'!$B$88+'Control Panel'!$B$89+'Control Panel'!$B$90)/'Control Panel'!$B$86</f>
        <v>88.4536708579603</v>
      </c>
      <c r="C15" s="13" t="n">
        <f aca="false">(('Unlevered FCF'!E$14/(1+C$13)^1+'Unlevered FCF'!F$14/(1+C$13)^2+'Unlevered FCF'!G$14/(1+C$13)^3+'Unlevered FCF'!H$14/(1+C$13)^4+'Unlevered FCF'!I$14/(1+C$13)^5+'Unlevered FCF'!J$14/(1+C$13)^6)+('Margin Cost Build'!J$12*$A15)/(1+C$13)^6-'Control Panel'!$B$85-'Control Panel'!$B$87-'Control Panel'!$B$88+'Control Panel'!$B$89+'Control Panel'!$B$90)/'Control Panel'!$B$86</f>
        <v>86.2392116280814</v>
      </c>
      <c r="D15" s="13" t="n">
        <f aca="false">(('Unlevered FCF'!E$14/(1+D$13)^1+'Unlevered FCF'!F$14/(1+D$13)^2+'Unlevered FCF'!G$14/(1+D$13)^3+'Unlevered FCF'!H$14/(1+D$13)^4+'Unlevered FCF'!I$14/(1+D$13)^5+'Unlevered FCF'!J$14/(1+D$13)^6)+('Margin Cost Build'!J$12*$A15)/(1+D$13)^6-'Control Panel'!$B$85-'Control Panel'!$B$87-'Control Panel'!$B$88+'Control Panel'!$B$89+'Control Panel'!$B$90)/'Control Panel'!$B$86</f>
        <v>84.092602178586</v>
      </c>
      <c r="E15" s="13" t="n">
        <f aca="false">(('Unlevered FCF'!E$14/(1+E$13)^1+'Unlevered FCF'!F$14/(1+E$13)^2+'Unlevered FCF'!G$14/(1+E$13)^3+'Unlevered FCF'!H$14/(1+E$13)^4+'Unlevered FCF'!I$14/(1+E$13)^5+'Unlevered FCF'!J$14/(1+E$13)^6)+('Margin Cost Build'!J$12*$A15)/(1+E$13)^6-'Control Panel'!$B$85-'Control Panel'!$B$87-'Control Panel'!$B$88+'Control Panel'!$B$89+'Control Panel'!$B$90)/'Control Panel'!$B$86</f>
        <v>82.0114341311121</v>
      </c>
      <c r="F15" s="13" t="n">
        <f aca="false">(('Unlevered FCF'!E$14/(1+F$13)^1+'Unlevered FCF'!F$14/(1+F$13)^2+'Unlevered FCF'!G$14/(1+F$13)^3+'Unlevered FCF'!H$14/(1+F$13)^4+'Unlevered FCF'!I$14/(1+F$13)^5+'Unlevered FCF'!J$14/(1+F$13)^6)+('Margin Cost Build'!J$12*$A15)/(1+F$13)^6-'Control Panel'!$B$85-'Control Panel'!$B$87-'Control Panel'!$B$88+'Control Panel'!$B$89+'Control Panel'!$B$90)/'Control Panel'!$B$86</f>
        <v>79.9933956130932</v>
      </c>
      <c r="G15" s="13" t="n">
        <f aca="false">(('Unlevered FCF'!E$14/(1+G$13)^1+'Unlevered FCF'!F$14/(1+G$13)^2+'Unlevered FCF'!G$14/(1+G$13)^3+'Unlevered FCF'!H$14/(1+G$13)^4+'Unlevered FCF'!I$14/(1+G$13)^5+'Unlevered FCF'!J$14/(1+G$13)^6)+('Margin Cost Build'!J$12*$A15)/(1+G$13)^6-'Control Panel'!$B$85-'Control Panel'!$B$87-'Control Panel'!$B$88+'Control Panel'!$B$89+'Control Panel'!$B$90)/'Control Panel'!$B$86</f>
        <v>78.0362669621256</v>
      </c>
      <c r="H15" s="13" t="n">
        <f aca="false">(('Unlevered FCF'!E$14/(1+H$13)^1+'Unlevered FCF'!F$14/(1+H$13)^2+'Unlevered FCF'!G$14/(1+H$13)^3+'Unlevered FCF'!H$14/(1+H$13)^4+'Unlevered FCF'!I$14/(1+H$13)^5+'Unlevered FCF'!J$14/(1+H$13)^6)+('Margin Cost Build'!J$12*$A15)/(1+H$13)^6-'Control Panel'!$B$85-'Control Panel'!$B$87-'Control Panel'!$B$88+'Control Panel'!$B$89+'Control Panel'!$B$90)/'Control Panel'!$B$86</f>
        <v>76.1379166402545</v>
      </c>
    </row>
    <row r="16" customFormat="false" ht="15" hidden="false" customHeight="false" outlineLevel="0" collapsed="false">
      <c r="A16" s="51" t="n">
        <v>10.5</v>
      </c>
      <c r="B16" s="13" t="n">
        <f aca="false">(('Unlevered FCF'!E$14/(1+B$13)^1+'Unlevered FCF'!F$14/(1+B$13)^2+'Unlevered FCF'!G$14/(1+B$13)^3+'Unlevered FCF'!H$14/(1+B$13)^4+'Unlevered FCF'!I$14/(1+B$13)^5+'Unlevered FCF'!J$14/(1+B$13)^6)+('Margin Cost Build'!J$12*$A16)/(1+B$13)^6-'Control Panel'!$B$85-'Control Panel'!$B$87-'Control Panel'!$B$88+'Control Panel'!$B$89+'Control Panel'!$B$90)/'Control Panel'!$B$86</f>
        <v>95.288971725934</v>
      </c>
      <c r="C16" s="13" t="n">
        <f aca="false">(('Unlevered FCF'!E$14/(1+C$13)^1+'Unlevered FCF'!F$14/(1+C$13)^2+'Unlevered FCF'!G$14/(1+C$13)^3+'Unlevered FCF'!H$14/(1+C$13)^4+'Unlevered FCF'!I$14/(1+C$13)^5+'Unlevered FCF'!J$14/(1+C$13)^6)+('Margin Cost Build'!J$12*$A16)/(1+C$13)^6-'Control Panel'!$B$85-'Control Panel'!$B$87-'Control Panel'!$B$88+'Control Panel'!$B$89+'Control Panel'!$B$90)/'Control Panel'!$B$86</f>
        <v>92.8868270726026</v>
      </c>
      <c r="D16" s="13" t="n">
        <f aca="false">(('Unlevered FCF'!E$14/(1+D$13)^1+'Unlevered FCF'!F$14/(1+D$13)^2+'Unlevered FCF'!G$14/(1+D$13)^3+'Unlevered FCF'!H$14/(1+D$13)^4+'Unlevered FCF'!I$14/(1+D$13)^5+'Unlevered FCF'!J$14/(1+D$13)^6)+('Margin Cost Build'!J$12*$A16)/(1+D$13)^6-'Control Panel'!$B$85-'Control Panel'!$B$87-'Control Panel'!$B$88+'Control Panel'!$B$89+'Control Panel'!$B$90)/'Control Panel'!$B$86</f>
        <v>90.5585171910129</v>
      </c>
      <c r="E16" s="13" t="n">
        <f aca="false">(('Unlevered FCF'!E$14/(1+E$13)^1+'Unlevered FCF'!F$14/(1+E$13)^2+'Unlevered FCF'!G$14/(1+E$13)^3+'Unlevered FCF'!H$14/(1+E$13)^4+'Unlevered FCF'!I$14/(1+E$13)^5+'Unlevered FCF'!J$14/(1+E$13)^6)+('Margin Cost Build'!J$12*$A16)/(1+E$13)^6-'Control Panel'!$B$85-'Control Panel'!$B$87-'Control Panel'!$B$88+'Control Panel'!$B$89+'Control Panel'!$B$90)/'Control Panel'!$B$86</f>
        <v>88.301416577316</v>
      </c>
      <c r="F16" s="13" t="n">
        <f aca="false">(('Unlevered FCF'!E$14/(1+F$13)^1+'Unlevered FCF'!F$14/(1+F$13)^2+'Unlevered FCF'!G$14/(1+F$13)^3+'Unlevered FCF'!H$14/(1+F$13)^4+'Unlevered FCF'!I$14/(1+F$13)^5+'Unlevered FCF'!J$14/(1+F$13)^6)+('Margin Cost Build'!J$12*$A16)/(1+F$13)^6-'Control Panel'!$B$85-'Control Panel'!$B$87-'Control Panel'!$B$88+'Control Panel'!$B$89+'Control Panel'!$B$90)/'Control Panel'!$B$86</f>
        <v>86.1130050549475</v>
      </c>
      <c r="G16" s="13" t="n">
        <f aca="false">(('Unlevered FCF'!E$14/(1+G$13)^1+'Unlevered FCF'!F$14/(1+G$13)^2+'Unlevered FCF'!G$14/(1+G$13)^3+'Unlevered FCF'!H$14/(1+G$13)^4+'Unlevered FCF'!I$14/(1+G$13)^5+'Unlevered FCF'!J$14/(1+G$13)^6)+('Margin Cost Build'!J$12*$A16)/(1+G$13)^6-'Control Panel'!$B$85-'Control Panel'!$B$87-'Control Panel'!$B$88+'Control Panel'!$B$89+'Control Panel'!$B$90)/'Control Panel'!$B$86</f>
        <v>83.9908630825621</v>
      </c>
      <c r="H16" s="13" t="n">
        <f aca="false">(('Unlevered FCF'!E$14/(1+H$13)^1+'Unlevered FCF'!F$14/(1+H$13)^2+'Unlevered FCF'!G$14/(1+H$13)^3+'Unlevered FCF'!H$14/(1+H$13)^4+'Unlevered FCF'!I$14/(1+H$13)^5+'Unlevered FCF'!J$14/(1+H$13)^6)+('Margin Cost Build'!J$12*$A16)/(1+H$13)^6-'Control Panel'!$B$85-'Control Panel'!$B$87-'Control Panel'!$B$88+'Control Panel'!$B$89+'Control Panel'!$B$90)/'Control Panel'!$B$86</f>
        <v>81.9326672913945</v>
      </c>
    </row>
    <row r="17" customFormat="false" ht="15" hidden="false" customHeight="false" outlineLevel="0" collapsed="false">
      <c r="A17" s="51" t="n">
        <v>11.5</v>
      </c>
      <c r="B17" s="13" t="n">
        <f aca="false">(('Unlevered FCF'!E$14/(1+B$13)^1+'Unlevered FCF'!F$14/(1+B$13)^2+'Unlevered FCF'!G$14/(1+B$13)^3+'Unlevered FCF'!H$14/(1+B$13)^4+'Unlevered FCF'!I$14/(1+B$13)^5+'Unlevered FCF'!J$14/(1+B$13)^6)+('Margin Cost Build'!J$12*$A17)/(1+B$13)^6-'Control Panel'!$B$85-'Control Panel'!$B$87-'Control Panel'!$B$88+'Control Panel'!$B$89+'Control Panel'!$B$90)/'Control Panel'!$B$86</f>
        <v>102.124272593908</v>
      </c>
      <c r="C17" s="13" t="n">
        <f aca="false">(('Unlevered FCF'!E$14/(1+C$13)^1+'Unlevered FCF'!F$14/(1+C$13)^2+'Unlevered FCF'!G$14/(1+C$13)^3+'Unlevered FCF'!H$14/(1+C$13)^4+'Unlevered FCF'!I$14/(1+C$13)^5+'Unlevered FCF'!J$14/(1+C$13)^6)+('Margin Cost Build'!J$12*$A17)/(1+C$13)^6-'Control Panel'!$B$85-'Control Panel'!$B$87-'Control Panel'!$B$88+'Control Panel'!$B$89+'Control Panel'!$B$90)/'Control Panel'!$B$86</f>
        <v>99.5344425171237</v>
      </c>
      <c r="D17" s="13" t="n">
        <f aca="false">(('Unlevered FCF'!E$14/(1+D$13)^1+'Unlevered FCF'!F$14/(1+D$13)^2+'Unlevered FCF'!G$14/(1+D$13)^3+'Unlevered FCF'!H$14/(1+D$13)^4+'Unlevered FCF'!I$14/(1+D$13)^5+'Unlevered FCF'!J$14/(1+D$13)^6)+('Margin Cost Build'!J$12*$A17)/(1+D$13)^6-'Control Panel'!$B$85-'Control Panel'!$B$87-'Control Panel'!$B$88+'Control Panel'!$B$89+'Control Panel'!$B$90)/'Control Panel'!$B$86</f>
        <v>97.0244322034399</v>
      </c>
      <c r="E17" s="13" t="n">
        <f aca="false">(('Unlevered FCF'!E$14/(1+E$13)^1+'Unlevered FCF'!F$14/(1+E$13)^2+'Unlevered FCF'!G$14/(1+E$13)^3+'Unlevered FCF'!H$14/(1+E$13)^4+'Unlevered FCF'!I$14/(1+E$13)^5+'Unlevered FCF'!J$14/(1+E$13)^6)+('Margin Cost Build'!J$12*$A17)/(1+E$13)^6-'Control Panel'!$B$85-'Control Panel'!$B$87-'Control Panel'!$B$88+'Control Panel'!$B$89+'Control Panel'!$B$90)/'Control Panel'!$B$86</f>
        <v>94.5913990235199</v>
      </c>
      <c r="F17" s="13" t="n">
        <f aca="false">(('Unlevered FCF'!E$14/(1+F$13)^1+'Unlevered FCF'!F$14/(1+F$13)^2+'Unlevered FCF'!G$14/(1+F$13)^3+'Unlevered FCF'!H$14/(1+F$13)^4+'Unlevered FCF'!I$14/(1+F$13)^5+'Unlevered FCF'!J$14/(1+F$13)^6)+('Margin Cost Build'!J$12*$A17)/(1+F$13)^6-'Control Panel'!$B$85-'Control Panel'!$B$87-'Control Panel'!$B$88+'Control Panel'!$B$89+'Control Panel'!$B$90)/'Control Panel'!$B$86</f>
        <v>92.2326144968018</v>
      </c>
      <c r="G17" s="13" t="n">
        <f aca="false">(('Unlevered FCF'!E$14/(1+G$13)^1+'Unlevered FCF'!F$14/(1+G$13)^2+'Unlevered FCF'!G$14/(1+G$13)^3+'Unlevered FCF'!H$14/(1+G$13)^4+'Unlevered FCF'!I$14/(1+G$13)^5+'Unlevered FCF'!J$14/(1+G$13)^6)+('Margin Cost Build'!J$12*$A17)/(1+G$13)^6-'Control Panel'!$B$85-'Control Panel'!$B$87-'Control Panel'!$B$88+'Control Panel'!$B$89+'Control Panel'!$B$90)/'Control Panel'!$B$86</f>
        <v>89.9454592029985</v>
      </c>
      <c r="H17" s="13" t="n">
        <f aca="false">(('Unlevered FCF'!E$14/(1+H$13)^1+'Unlevered FCF'!F$14/(1+H$13)^2+'Unlevered FCF'!G$14/(1+H$13)^3+'Unlevered FCF'!H$14/(1+H$13)^4+'Unlevered FCF'!I$14/(1+H$13)^5+'Unlevered FCF'!J$14/(1+H$13)^6)+('Margin Cost Build'!J$12*$A17)/(1+H$13)^6-'Control Panel'!$B$85-'Control Panel'!$B$87-'Control Panel'!$B$88+'Control Panel'!$B$89+'Control Panel'!$B$90)/'Control Panel'!$B$86</f>
        <v>87.7274179425345</v>
      </c>
    </row>
    <row r="18" customFormat="false" ht="15" hidden="false" customHeight="false" outlineLevel="0" collapsed="false">
      <c r="A18" s="51" t="n">
        <v>12.5</v>
      </c>
      <c r="B18" s="13" t="n">
        <f aca="false">(('Unlevered FCF'!E$14/(1+B$13)^1+'Unlevered FCF'!F$14/(1+B$13)^2+'Unlevered FCF'!G$14/(1+B$13)^3+'Unlevered FCF'!H$14/(1+B$13)^4+'Unlevered FCF'!I$14/(1+B$13)^5+'Unlevered FCF'!J$14/(1+B$13)^6)+('Margin Cost Build'!J$12*$A18)/(1+B$13)^6-'Control Panel'!$B$85-'Control Panel'!$B$87-'Control Panel'!$B$88+'Control Panel'!$B$89+'Control Panel'!$B$90)/'Control Panel'!$B$86</f>
        <v>108.959573461882</v>
      </c>
      <c r="C18" s="13" t="n">
        <f aca="false">(('Unlevered FCF'!E$14/(1+C$13)^1+'Unlevered FCF'!F$14/(1+C$13)^2+'Unlevered FCF'!G$14/(1+C$13)^3+'Unlevered FCF'!H$14/(1+C$13)^4+'Unlevered FCF'!I$14/(1+C$13)^5+'Unlevered FCF'!J$14/(1+C$13)^6)+('Margin Cost Build'!J$12*$A18)/(1+C$13)^6-'Control Panel'!$B$85-'Control Panel'!$B$87-'Control Panel'!$B$88+'Control Panel'!$B$89+'Control Panel'!$B$90)/'Control Panel'!$B$86</f>
        <v>106.182057961645</v>
      </c>
      <c r="D18" s="13" t="n">
        <f aca="false">(('Unlevered FCF'!E$14/(1+D$13)^1+'Unlevered FCF'!F$14/(1+D$13)^2+'Unlevered FCF'!G$14/(1+D$13)^3+'Unlevered FCF'!H$14/(1+D$13)^4+'Unlevered FCF'!I$14/(1+D$13)^5+'Unlevered FCF'!J$14/(1+D$13)^6)+('Margin Cost Build'!J$12*$A18)/(1+D$13)^6-'Control Panel'!$B$85-'Control Panel'!$B$87-'Control Panel'!$B$88+'Control Panel'!$B$89+'Control Panel'!$B$90)/'Control Panel'!$B$86</f>
        <v>103.490347215867</v>
      </c>
      <c r="E18" s="13" t="n">
        <f aca="false">(('Unlevered FCF'!E$14/(1+E$13)^1+'Unlevered FCF'!F$14/(1+E$13)^2+'Unlevered FCF'!G$14/(1+E$13)^3+'Unlevered FCF'!H$14/(1+E$13)^4+'Unlevered FCF'!I$14/(1+E$13)^5+'Unlevered FCF'!J$14/(1+E$13)^6)+('Margin Cost Build'!J$12*$A18)/(1+E$13)^6-'Control Panel'!$B$85-'Control Panel'!$B$87-'Control Panel'!$B$88+'Control Panel'!$B$89+'Control Panel'!$B$90)/'Control Panel'!$B$86</f>
        <v>100.881381469724</v>
      </c>
      <c r="F18" s="13" t="n">
        <f aca="false">(('Unlevered FCF'!E$14/(1+F$13)^1+'Unlevered FCF'!F$14/(1+F$13)^2+'Unlevered FCF'!G$14/(1+F$13)^3+'Unlevered FCF'!H$14/(1+F$13)^4+'Unlevered FCF'!I$14/(1+F$13)^5+'Unlevered FCF'!J$14/(1+F$13)^6)+('Margin Cost Build'!J$12*$A18)/(1+F$13)^6-'Control Panel'!$B$85-'Control Panel'!$B$87-'Control Panel'!$B$88+'Control Panel'!$B$89+'Control Panel'!$B$90)/'Control Panel'!$B$86</f>
        <v>98.3522239386561</v>
      </c>
      <c r="G18" s="13" t="n">
        <f aca="false">(('Unlevered FCF'!E$14/(1+G$13)^1+'Unlevered FCF'!F$14/(1+G$13)^2+'Unlevered FCF'!G$14/(1+G$13)^3+'Unlevered FCF'!H$14/(1+G$13)^4+'Unlevered FCF'!I$14/(1+G$13)^5+'Unlevered FCF'!J$14/(1+G$13)^6)+('Margin Cost Build'!J$12*$A18)/(1+G$13)^6-'Control Panel'!$B$85-'Control Panel'!$B$87-'Control Panel'!$B$88+'Control Panel'!$B$89+'Control Panel'!$B$90)/'Control Panel'!$B$86</f>
        <v>95.900055323435</v>
      </c>
      <c r="H18" s="13" t="n">
        <f aca="false">(('Unlevered FCF'!E$14/(1+H$13)^1+'Unlevered FCF'!F$14/(1+H$13)^2+'Unlevered FCF'!G$14/(1+H$13)^3+'Unlevered FCF'!H$14/(1+H$13)^4+'Unlevered FCF'!I$14/(1+H$13)^5+'Unlevered FCF'!J$14/(1+H$13)^6)+('Margin Cost Build'!J$12*$A18)/(1+H$13)^6-'Control Panel'!$B$85-'Control Panel'!$B$87-'Control Panel'!$B$88+'Control Panel'!$B$89+'Control Panel'!$B$90)/'Control Panel'!$B$86</f>
        <v>93.5221685936745</v>
      </c>
    </row>
    <row r="21" customFormat="false" ht="15" hidden="false" customHeight="true" outlineLevel="0" collapsed="false">
      <c r="A21" s="3" t="s">
        <v>252</v>
      </c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22" t="s">
        <v>146</v>
      </c>
      <c r="B22" s="50" t="n">
        <v>0.04</v>
      </c>
      <c r="C22" s="50" t="n">
        <v>0.06</v>
      </c>
      <c r="D22" s="50" t="n">
        <v>0.08</v>
      </c>
      <c r="E22" s="50" t="n">
        <v>0.1</v>
      </c>
      <c r="F22" s="50" t="n">
        <v>0.12</v>
      </c>
      <c r="G22" s="50" t="n">
        <v>0.14</v>
      </c>
      <c r="H22" s="50" t="n">
        <v>0.16</v>
      </c>
    </row>
    <row r="23" customFormat="false" ht="15" hidden="false" customHeight="false" outlineLevel="0" collapsed="false">
      <c r="A23" s="49" t="n">
        <v>0.23</v>
      </c>
      <c r="B23" s="12" t="n">
        <f aca="false">SUM('Unlevered FCF'!$E$17:$J$17)+(('Revenue Build'!$D$14*(1+B$22)^6)*$A23*'Control Panel'!$B$84)/(1+'Control Panel'!$B$78)^6</f>
        <v>59416.3030205025</v>
      </c>
      <c r="C23" s="12" t="n">
        <f aca="false">SUM('Unlevered FCF'!$E$17:$J$17)+(('Revenue Build'!$D$14*(1+C$22)^6)*$A23*'Control Panel'!$B$84)/(1+'Control Panel'!$B$78)^6</f>
        <v>63687.6857229732</v>
      </c>
      <c r="D23" s="12" t="n">
        <f aca="false">SUM('Unlevered FCF'!$E$17:$J$17)+(('Revenue Build'!$D$14*(1+D$22)^6)*$A23*'Control Panel'!$B$84)/(1+'Control Panel'!$B$78)^6</f>
        <v>68381.609317629</v>
      </c>
      <c r="E23" s="12" t="n">
        <f aca="false">SUM('Unlevered FCF'!$E$17:$J$17)+(('Revenue Build'!$D$14*(1+E$22)^6)*$A23*'Control Panel'!$B$84)/(1+'Control Panel'!$B$78)^6</f>
        <v>73530.8716868127</v>
      </c>
      <c r="F23" s="12" t="n">
        <f aca="false">SUM('Unlevered FCF'!$E$17:$J$17)+(('Revenue Build'!$D$14*(1+F$22)^6)*$A23*'Control Panel'!$B$84)/(1+'Control Panel'!$B$78)^6</f>
        <v>79170.144106717</v>
      </c>
      <c r="G23" s="12" t="n">
        <f aca="false">SUM('Unlevered FCF'!$E$17:$J$17)+(('Revenue Build'!$D$14*(1+G$22)^6)*$A23*'Control Panel'!$B$84)/(1+'Control Panel'!$B$78)^6</f>
        <v>85336.0412667903</v>
      </c>
      <c r="H23" s="12" t="n">
        <f aca="false">SUM('Unlevered FCF'!$E$17:$J$17)+(('Revenue Build'!$D$14*(1+H$22)^6)*$A23*'Control Panel'!$B$84)/(1+'Control Panel'!$B$78)^6</f>
        <v>92067.1925739037</v>
      </c>
    </row>
    <row r="24" customFormat="false" ht="15" hidden="false" customHeight="false" outlineLevel="0" collapsed="false">
      <c r="A24" s="49" t="n">
        <v>0.25</v>
      </c>
      <c r="B24" s="12" t="n">
        <f aca="false">SUM('Unlevered FCF'!$E$17:$J$17)+(('Revenue Build'!$D$14*(1+B$22)^6)*$A24*'Control Panel'!$B$84)/(1+'Control Panel'!$B$78)^6</f>
        <v>62483.9942800119</v>
      </c>
      <c r="C24" s="12" t="n">
        <f aca="false">SUM('Unlevered FCF'!$E$17:$J$17)+(('Revenue Build'!$D$14*(1+C$22)^6)*$A24*'Control Panel'!$B$84)/(1+'Control Panel'!$B$78)^6</f>
        <v>67126.8015653061</v>
      </c>
      <c r="D24" s="12" t="n">
        <f aca="false">SUM('Unlevered FCF'!$E$17:$J$17)+(('Revenue Build'!$D$14*(1+D$22)^6)*$A24*'Control Panel'!$B$84)/(1+'Control Panel'!$B$78)^6</f>
        <v>72228.8924290623</v>
      </c>
      <c r="E24" s="12" t="n">
        <f aca="false">SUM('Unlevered FCF'!$E$17:$J$17)+(('Revenue Build'!$D$14*(1+E$22)^6)*$A24*'Control Panel'!$B$84)/(1+'Control Panel'!$B$78)^6</f>
        <v>77825.9167433925</v>
      </c>
      <c r="F24" s="12" t="n">
        <f aca="false">SUM('Unlevered FCF'!$E$17:$J$17)+(('Revenue Build'!$D$14*(1+F$22)^6)*$A24*'Control Panel'!$B$84)/(1+'Control Panel'!$B$78)^6</f>
        <v>83955.5606780711</v>
      </c>
      <c r="G24" s="12" t="n">
        <f aca="false">SUM('Unlevered FCF'!$E$17:$J$17)+(('Revenue Build'!$D$14*(1+G$22)^6)*$A24*'Control Panel'!$B$84)/(1+'Control Panel'!$B$78)^6</f>
        <v>90657.6228085855</v>
      </c>
      <c r="H24" s="12" t="n">
        <f aca="false">SUM('Unlevered FCF'!$E$17:$J$17)+(('Revenue Build'!$D$14*(1+H$22)^6)*$A24*'Control Panel'!$B$84)/(1+'Control Panel'!$B$78)^6</f>
        <v>97974.0916206653</v>
      </c>
    </row>
    <row r="25" customFormat="false" ht="15" hidden="false" customHeight="false" outlineLevel="0" collapsed="false">
      <c r="A25" s="49" t="n">
        <v>0.27</v>
      </c>
      <c r="B25" s="12" t="n">
        <f aca="false">SUM('Unlevered FCF'!$E$17:$J$17)+(('Revenue Build'!$D$14*(1+B$22)^6)*$A25*'Control Panel'!$B$84)/(1+'Control Panel'!$B$78)^6</f>
        <v>65551.6855395213</v>
      </c>
      <c r="C25" s="12" t="n">
        <f aca="false">SUM('Unlevered FCF'!$E$17:$J$17)+(('Revenue Build'!$D$14*(1+C$22)^6)*$A25*'Control Panel'!$B$84)/(1+'Control Panel'!$B$78)^6</f>
        <v>70565.917407639</v>
      </c>
      <c r="D25" s="12" t="n">
        <f aca="false">SUM('Unlevered FCF'!$E$17:$J$17)+(('Revenue Build'!$D$14*(1+D$22)^6)*$A25*'Control Panel'!$B$84)/(1+'Control Panel'!$B$78)^6</f>
        <v>76076.1755404958</v>
      </c>
      <c r="E25" s="12" t="n">
        <f aca="false">SUM('Unlevered FCF'!$E$17:$J$17)+(('Revenue Build'!$D$14*(1+E$22)^6)*$A25*'Control Panel'!$B$84)/(1+'Control Panel'!$B$78)^6</f>
        <v>82120.9617999723</v>
      </c>
      <c r="F25" s="12" t="n">
        <f aca="false">SUM('Unlevered FCF'!$E$17:$J$17)+(('Revenue Build'!$D$14*(1+F$22)^6)*$A25*'Control Panel'!$B$84)/(1+'Control Panel'!$B$78)^6</f>
        <v>88740.9772494252</v>
      </c>
      <c r="G25" s="12" t="n">
        <f aca="false">SUM('Unlevered FCF'!$E$17:$J$17)+(('Revenue Build'!$D$14*(1+G$22)^6)*$A25*'Control Panel'!$B$84)/(1+'Control Panel'!$B$78)^6</f>
        <v>95979.2043503808</v>
      </c>
      <c r="H25" s="12" t="n">
        <f aca="false">SUM('Unlevered FCF'!$E$17:$J$17)+(('Revenue Build'!$D$14*(1+H$22)^6)*$A25*'Control Panel'!$B$84)/(1+'Control Panel'!$B$78)^6</f>
        <v>103880.990667427</v>
      </c>
    </row>
    <row r="26" customFormat="false" ht="15" hidden="false" customHeight="false" outlineLevel="0" collapsed="false">
      <c r="A26" s="49" t="n">
        <v>0.29</v>
      </c>
      <c r="B26" s="12" t="n">
        <f aca="false">SUM('Unlevered FCF'!$E$17:$J$17)+(('Revenue Build'!$D$14*(1+B$22)^6)*$A26*'Control Panel'!$B$84)/(1+'Control Panel'!$B$78)^6</f>
        <v>68619.3767990306</v>
      </c>
      <c r="C26" s="12" t="n">
        <f aca="false">SUM('Unlevered FCF'!$E$17:$J$17)+(('Revenue Build'!$D$14*(1+C$22)^6)*$A26*'Control Panel'!$B$84)/(1+'Control Panel'!$B$78)^6</f>
        <v>74005.0332499719</v>
      </c>
      <c r="D26" s="12" t="n">
        <f aca="false">SUM('Unlevered FCF'!$E$17:$J$17)+(('Revenue Build'!$D$14*(1+D$22)^6)*$A26*'Control Panel'!$B$84)/(1+'Control Panel'!$B$78)^6</f>
        <v>79923.4586519291</v>
      </c>
      <c r="E26" s="12" t="n">
        <f aca="false">SUM('Unlevered FCF'!$E$17:$J$17)+(('Revenue Build'!$D$14*(1+E$22)^6)*$A26*'Control Panel'!$B$84)/(1+'Control Panel'!$B$78)^6</f>
        <v>86416.0068565522</v>
      </c>
      <c r="F26" s="12" t="n">
        <f aca="false">SUM('Unlevered FCF'!$E$17:$J$17)+(('Revenue Build'!$D$14*(1+F$22)^6)*$A26*'Control Panel'!$B$84)/(1+'Control Panel'!$B$78)^6</f>
        <v>93526.3938207793</v>
      </c>
      <c r="G26" s="12" t="n">
        <f aca="false">SUM('Unlevered FCF'!$E$17:$J$17)+(('Revenue Build'!$D$14*(1+G$22)^6)*$A26*'Control Panel'!$B$84)/(1+'Control Panel'!$B$78)^6</f>
        <v>101300.785892176</v>
      </c>
      <c r="H26" s="12" t="n">
        <f aca="false">SUM('Unlevered FCF'!$E$17:$J$17)+(('Revenue Build'!$D$14*(1+H$22)^6)*$A26*'Control Panel'!$B$84)/(1+'Control Panel'!$B$78)^6</f>
        <v>109787.889714189</v>
      </c>
    </row>
    <row r="27" customFormat="false" ht="15" hidden="false" customHeight="false" outlineLevel="0" collapsed="false">
      <c r="A27" s="49" t="n">
        <v>0.31</v>
      </c>
      <c r="B27" s="12" t="n">
        <f aca="false">SUM('Unlevered FCF'!$E$17:$J$17)+(('Revenue Build'!$D$14*(1+B$22)^6)*$A27*'Control Panel'!$B$84)/(1+'Control Panel'!$B$78)^6</f>
        <v>71687.06805854</v>
      </c>
      <c r="C27" s="12" t="n">
        <f aca="false">SUM('Unlevered FCF'!$E$17:$J$17)+(('Revenue Build'!$D$14*(1+C$22)^6)*$A27*'Control Panel'!$B$84)/(1+'Control Panel'!$B$78)^6</f>
        <v>77444.1490923048</v>
      </c>
      <c r="D27" s="12" t="n">
        <f aca="false">SUM('Unlevered FCF'!$E$17:$J$17)+(('Revenue Build'!$D$14*(1+D$22)^6)*$A27*'Control Panel'!$B$84)/(1+'Control Panel'!$B$78)^6</f>
        <v>83770.7417633625</v>
      </c>
      <c r="E27" s="12" t="n">
        <f aca="false">SUM('Unlevered FCF'!$E$17:$J$17)+(('Revenue Build'!$D$14*(1+E$22)^6)*$A27*'Control Panel'!$B$84)/(1+'Control Panel'!$B$78)^6</f>
        <v>90711.051913132</v>
      </c>
      <c r="F27" s="12" t="n">
        <f aca="false">SUM('Unlevered FCF'!$E$17:$J$17)+(('Revenue Build'!$D$14*(1+F$22)^6)*$A27*'Control Panel'!$B$84)/(1+'Control Panel'!$B$78)^6</f>
        <v>98311.8103921333</v>
      </c>
      <c r="G27" s="12" t="n">
        <f aca="false">SUM('Unlevered FCF'!$E$17:$J$17)+(('Revenue Build'!$D$14*(1+G$22)^6)*$A27*'Control Panel'!$B$84)/(1+'Control Panel'!$B$78)^6</f>
        <v>106622.367433971</v>
      </c>
      <c r="H27" s="12" t="n">
        <f aca="false">SUM('Unlevered FCF'!$E$17:$J$17)+(('Revenue Build'!$D$14*(1+H$22)^6)*$A27*'Control Panel'!$B$84)/(1+'Control Panel'!$B$78)^6</f>
        <v>115694.78876095</v>
      </c>
    </row>
    <row r="30" customFormat="false" ht="15" hidden="false" customHeight="true" outlineLevel="0" collapsed="false">
      <c r="A30" s="3" t="s">
        <v>253</v>
      </c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22" t="s">
        <v>250</v>
      </c>
      <c r="B31" s="50" t="n">
        <v>0.075</v>
      </c>
      <c r="C31" s="50" t="n">
        <v>0.08</v>
      </c>
      <c r="D31" s="50" t="n">
        <v>0.085</v>
      </c>
      <c r="E31" s="50" t="n">
        <v>0.09</v>
      </c>
      <c r="F31" s="50" t="n">
        <v>0.095</v>
      </c>
      <c r="G31" s="50" t="n">
        <v>0.1</v>
      </c>
      <c r="H31" s="50" t="n">
        <v>0.105</v>
      </c>
    </row>
    <row r="32" customFormat="false" ht="15" hidden="false" customHeight="false" outlineLevel="0" collapsed="false">
      <c r="A32" s="49" t="n">
        <v>0.015</v>
      </c>
      <c r="B32" s="12" t="n">
        <f aca="false">(('Unlevered FCF'!E$14/(1+B$31)^1+'Unlevered FCF'!F$14/(1+B$31)^2+'Unlevered FCF'!G$14/(1+B$31)^3+'Unlevered FCF'!H$14/(1+B$31)^4+'Unlevered FCF'!I$14/(1+B$31)^5+'Unlevered FCF'!J$14/(1+B$31)^6)+('Unlevered FCF'!J$14*(1+$A32)/(B$31-$A32))/(1+B$31)^6-'Control Panel'!$B$85-'Control Panel'!$B$87-'Control Panel'!$B$88+'Control Panel'!$B$89+'Control Panel'!$B$90)</f>
        <v>115796.596486312</v>
      </c>
      <c r="C32" s="12" t="n">
        <f aca="false">(('Unlevered FCF'!E$14/(1+C$31)^1+'Unlevered FCF'!F$14/(1+C$31)^2+'Unlevered FCF'!G$14/(1+C$31)^3+'Unlevered FCF'!H$14/(1+C$31)^4+'Unlevered FCF'!I$14/(1+C$31)^5+'Unlevered FCF'!J$14/(1+C$31)^6)+('Unlevered FCF'!J$14*(1+$A32)/(C$31-$A32))/(1+C$31)^6-'Control Panel'!$B$85-'Control Panel'!$B$87-'Control Panel'!$B$88+'Control Panel'!$B$89+'Control Panel'!$B$90)</f>
        <v>105995.033987646</v>
      </c>
      <c r="D32" s="12" t="n">
        <f aca="false">(('Unlevered FCF'!E$14/(1+D$31)^1+'Unlevered FCF'!F$14/(1+D$31)^2+'Unlevered FCF'!G$14/(1+D$31)^3+'Unlevered FCF'!H$14/(1+D$31)^4+'Unlevered FCF'!I$14/(1+D$31)^5+'Unlevered FCF'!J$14/(1+D$31)^6)+('Unlevered FCF'!J$14*(1+$A32)/(D$31-$A32))/(1+D$31)^6-'Control Panel'!$B$85-'Control Panel'!$B$87-'Control Panel'!$B$88+'Control Panel'!$B$89+'Control Panel'!$B$90)</f>
        <v>97609.9858801139</v>
      </c>
      <c r="E32" s="12" t="n">
        <f aca="false">(('Unlevered FCF'!E$14/(1+E$31)^1+'Unlevered FCF'!F$14/(1+E$31)^2+'Unlevered FCF'!G$14/(1+E$31)^3+'Unlevered FCF'!H$14/(1+E$31)^4+'Unlevered FCF'!I$14/(1+E$31)^5+'Unlevered FCF'!J$14/(1+E$31)^6)+('Unlevered FCF'!J$14*(1+$A32)/(E$31-$A32))/(1+E$31)^6-'Control Panel'!$B$85-'Control Panel'!$B$87-'Control Panel'!$B$88+'Control Panel'!$B$89+'Control Panel'!$B$90)</f>
        <v>90357.740387669</v>
      </c>
      <c r="F32" s="12" t="n">
        <f aca="false">(('Unlevered FCF'!E$14/(1+F$31)^1+'Unlevered FCF'!F$14/(1+F$31)^2+'Unlevered FCF'!G$14/(1+F$31)^3+'Unlevered FCF'!H$14/(1+F$31)^4+'Unlevered FCF'!I$14/(1+F$31)^5+'Unlevered FCF'!J$14/(1+F$31)^6)+('Unlevered FCF'!J$14*(1+$A32)/(F$31-$A32))/(1+F$31)^6-'Control Panel'!$B$85-'Control Panel'!$B$87-'Control Panel'!$B$88+'Control Panel'!$B$89+'Control Panel'!$B$90)</f>
        <v>84025.5259971545</v>
      </c>
      <c r="G32" s="12" t="n">
        <f aca="false">(('Unlevered FCF'!E$14/(1+G$31)^1+'Unlevered FCF'!F$14/(1+G$31)^2+'Unlevered FCF'!G$14/(1+G$31)^3+'Unlevered FCF'!H$14/(1+G$31)^4+'Unlevered FCF'!I$14/(1+G$31)^5+'Unlevered FCF'!J$14/(1+G$31)^6)+('Unlevered FCF'!J$14*(1+$A32)/(G$31-$A32))/(1+G$31)^6-'Control Panel'!$B$85-'Control Panel'!$B$87-'Control Panel'!$B$88+'Control Panel'!$B$89+'Control Panel'!$B$90)</f>
        <v>78450.6462452625</v>
      </c>
      <c r="H32" s="12" t="n">
        <f aca="false">(('Unlevered FCF'!E$14/(1+H$31)^1+'Unlevered FCF'!F$14/(1+H$31)^2+'Unlevered FCF'!G$14/(1+H$31)^3+'Unlevered FCF'!H$14/(1+H$31)^4+'Unlevered FCF'!I$14/(1+H$31)^5+'Unlevered FCF'!J$14/(1+H$31)^6)+('Unlevered FCF'!J$14*(1+$A32)/(H$31-$A32))/(1+H$31)^6-'Control Panel'!$B$85-'Control Panel'!$B$87-'Control Panel'!$B$88+'Control Panel'!$B$89+'Control Panel'!$B$90)</f>
        <v>73506.5695934854</v>
      </c>
    </row>
    <row r="33" customFormat="false" ht="15" hidden="false" customHeight="false" outlineLevel="0" collapsed="false">
      <c r="A33" s="49" t="n">
        <v>0.02</v>
      </c>
      <c r="B33" s="12" t="n">
        <f aca="false">(('Unlevered FCF'!E$14/(1+B$31)^1+'Unlevered FCF'!F$14/(1+B$31)^2+'Unlevered FCF'!G$14/(1+B$31)^3+'Unlevered FCF'!H$14/(1+B$31)^4+'Unlevered FCF'!I$14/(1+B$31)^5+'Unlevered FCF'!J$14/(1+B$31)^6)+('Unlevered FCF'!J$14*(1+$A33)/(B$31-$A33))/(1+B$31)^6-'Control Panel'!$B$85-'Control Panel'!$B$87-'Control Panel'!$B$88+'Control Panel'!$B$89+'Control Panel'!$B$90)</f>
        <v>124604.438925961</v>
      </c>
      <c r="C33" s="12" t="n">
        <f aca="false">(('Unlevered FCF'!E$14/(1+C$31)^1+'Unlevered FCF'!F$14/(1+C$31)^2+'Unlevered FCF'!G$14/(1+C$31)^3+'Unlevered FCF'!H$14/(1+C$31)^4+'Unlevered FCF'!I$14/(1+C$31)^5+'Unlevered FCF'!J$14/(1+C$31)^6)+('Unlevered FCF'!J$14*(1+$A33)/(C$31-$A33))/(1+C$31)^6-'Control Panel'!$B$85-'Control Panel'!$B$87-'Control Panel'!$B$88+'Control Panel'!$B$89+'Control Panel'!$B$90)</f>
        <v>113276.895476136</v>
      </c>
      <c r="D33" s="12" t="n">
        <f aca="false">(('Unlevered FCF'!E$14/(1+D$31)^1+'Unlevered FCF'!F$14/(1+D$31)^2+'Unlevered FCF'!G$14/(1+D$31)^3+'Unlevered FCF'!H$14/(1+D$31)^4+'Unlevered FCF'!I$14/(1+D$31)^5+'Unlevered FCF'!J$14/(1+D$31)^6)+('Unlevered FCF'!J$14*(1+$A33)/(D$31-$A33))/(1+D$31)^6-'Control Panel'!$B$85-'Control Panel'!$B$87-'Control Panel'!$B$88+'Control Panel'!$B$89+'Control Panel'!$B$90)</f>
        <v>103709.085270645</v>
      </c>
      <c r="E33" s="12" t="n">
        <f aca="false">(('Unlevered FCF'!E$14/(1+E$31)^1+'Unlevered FCF'!F$14/(1+E$31)^2+'Unlevered FCF'!G$14/(1+E$31)^3+'Unlevered FCF'!H$14/(1+E$31)^4+'Unlevered FCF'!I$14/(1+E$31)^5+'Unlevered FCF'!J$14/(1+E$31)^6)+('Unlevered FCF'!J$14*(1+$A33)/(E$31-$A33))/(1+E$31)^6-'Control Panel'!$B$85-'Control Panel'!$B$87-'Control Panel'!$B$88+'Control Panel'!$B$89+'Control Panel'!$B$90)</f>
        <v>95523.4977712739</v>
      </c>
      <c r="F33" s="12" t="n">
        <f aca="false">(('Unlevered FCF'!E$14/(1+F$31)^1+'Unlevered FCF'!F$14/(1+F$31)^2+'Unlevered FCF'!G$14/(1+F$31)^3+'Unlevered FCF'!H$14/(1+F$31)^4+'Unlevered FCF'!I$14/(1+F$31)^5+'Unlevered FCF'!J$14/(1+F$31)^6)+('Unlevered FCF'!J$14*(1+$A33)/(F$31-$A33))/(1+F$31)^6-'Control Panel'!$B$85-'Control Panel'!$B$87-'Control Panel'!$B$88+'Control Panel'!$B$89+'Control Panel'!$B$90)</f>
        <v>88443.3046464946</v>
      </c>
      <c r="G33" s="12" t="n">
        <f aca="false">(('Unlevered FCF'!E$14/(1+G$31)^1+'Unlevered FCF'!F$14/(1+G$31)^2+'Unlevered FCF'!G$14/(1+G$31)^3+'Unlevered FCF'!H$14/(1+G$31)^4+'Unlevered FCF'!I$14/(1+G$31)^5+'Unlevered FCF'!J$14/(1+G$31)^6)+('Unlevered FCF'!J$14*(1+$A33)/(G$31-$A33))/(1+G$31)^6-'Control Panel'!$B$85-'Control Panel'!$B$87-'Control Panel'!$B$88+'Control Panel'!$B$89+'Control Panel'!$B$90)</f>
        <v>82260.8961397957</v>
      </c>
      <c r="H33" s="12" t="n">
        <f aca="false">(('Unlevered FCF'!E$14/(1+H$31)^1+'Unlevered FCF'!F$14/(1+H$31)^2+'Unlevered FCF'!G$14/(1+H$31)^3+'Unlevered FCF'!H$14/(1+H$31)^4+'Unlevered FCF'!I$14/(1+H$31)^5+'Unlevered FCF'!J$14/(1+H$31)^6)+('Unlevered FCF'!J$14*(1+$A33)/(H$31-$A33))/(1+H$31)^6-'Control Panel'!$B$85-'Control Panel'!$B$87-'Control Panel'!$B$88+'Control Panel'!$B$89+'Control Panel'!$B$90)</f>
        <v>76817.5222665738</v>
      </c>
    </row>
    <row r="34" customFormat="false" ht="15" hidden="false" customHeight="false" outlineLevel="0" collapsed="false">
      <c r="A34" s="49" t="n">
        <v>0.025</v>
      </c>
      <c r="B34" s="12" t="n">
        <f aca="false">(('Unlevered FCF'!E$14/(1+B$31)^1+'Unlevered FCF'!F$14/(1+B$31)^2+'Unlevered FCF'!G$14/(1+B$31)^3+'Unlevered FCF'!H$14/(1+B$31)^4+'Unlevered FCF'!I$14/(1+B$31)^5+'Unlevered FCF'!J$14/(1+B$31)^6)+('Unlevered FCF'!J$14*(1+$A34)/(B$31-$A34))/(1+B$31)^6-'Control Panel'!$B$85-'Control Panel'!$B$87-'Control Panel'!$B$88+'Control Panel'!$B$89+'Control Panel'!$B$90)</f>
        <v>135173.849853541</v>
      </c>
      <c r="C34" s="12" t="n">
        <f aca="false">(('Unlevered FCF'!E$14/(1+C$31)^1+'Unlevered FCF'!F$14/(1+C$31)^2+'Unlevered FCF'!G$14/(1+C$31)^3+'Unlevered FCF'!H$14/(1+C$31)^4+'Unlevered FCF'!I$14/(1+C$31)^5+'Unlevered FCF'!J$14/(1+C$31)^6)+('Unlevered FCF'!J$14*(1+$A34)/(C$31-$A34))/(1+C$31)^6-'Control Panel'!$B$85-'Control Panel'!$B$87-'Control Panel'!$B$88+'Control Panel'!$B$89+'Control Panel'!$B$90)</f>
        <v>121882.731780714</v>
      </c>
      <c r="D34" s="12" t="n">
        <f aca="false">(('Unlevered FCF'!E$14/(1+D$31)^1+'Unlevered FCF'!F$14/(1+D$31)^2+'Unlevered FCF'!G$14/(1+D$31)^3+'Unlevered FCF'!H$14/(1+D$31)^4+'Unlevered FCF'!I$14/(1+D$31)^5+'Unlevered FCF'!J$14/(1+D$31)^6)+('Unlevered FCF'!J$14*(1+$A34)/(D$31-$A34))/(1+D$31)^6-'Control Panel'!$B$85-'Control Panel'!$B$87-'Control Panel'!$B$88+'Control Panel'!$B$89+'Control Panel'!$B$90)</f>
        <v>110824.701226265</v>
      </c>
      <c r="E34" s="12" t="n">
        <f aca="false">(('Unlevered FCF'!E$14/(1+E$31)^1+'Unlevered FCF'!F$14/(1+E$31)^2+'Unlevered FCF'!G$14/(1+E$31)^3+'Unlevered FCF'!H$14/(1+E$31)^4+'Unlevered FCF'!I$14/(1+E$31)^5+'Unlevered FCF'!J$14/(1+E$31)^6)+('Unlevered FCF'!J$14*(1+$A34)/(E$31-$A34))/(1+E$31)^6-'Control Panel'!$B$85-'Control Panel'!$B$87-'Control Panel'!$B$88+'Control Panel'!$B$89+'Control Panel'!$B$90)</f>
        <v>101483.987060049</v>
      </c>
      <c r="F34" s="12" t="n">
        <f aca="false">(('Unlevered FCF'!E$14/(1+F$31)^1+'Unlevered FCF'!F$14/(1+F$31)^2+'Unlevered FCF'!G$14/(1+F$31)^3+'Unlevered FCF'!H$14/(1+F$31)^4+'Unlevered FCF'!I$14/(1+F$31)^5+'Unlevered FCF'!J$14/(1+F$31)^6)+('Unlevered FCF'!J$14*(1+$A34)/(F$31-$A34))/(1+F$31)^6-'Control Panel'!$B$85-'Control Panel'!$B$87-'Control Panel'!$B$88+'Control Panel'!$B$89+'Control Panel'!$B$90)</f>
        <v>93492.1945314547</v>
      </c>
      <c r="G34" s="12" t="n">
        <f aca="false">(('Unlevered FCF'!E$14/(1+G$31)^1+'Unlevered FCF'!F$14/(1+G$31)^2+'Unlevered FCF'!G$14/(1+G$31)^3+'Unlevered FCF'!H$14/(1+G$31)^4+'Unlevered FCF'!I$14/(1+G$31)^5+'Unlevered FCF'!J$14/(1+G$31)^6)+('Unlevered FCF'!J$14*(1+$A34)/(G$31-$A34))/(1+G$31)^6-'Control Panel'!$B$85-'Control Panel'!$B$87-'Control Panel'!$B$88+'Control Panel'!$B$89+'Control Panel'!$B$90)</f>
        <v>86579.1793535999</v>
      </c>
      <c r="H34" s="12" t="n">
        <f aca="false">(('Unlevered FCF'!E$14/(1+H$31)^1+'Unlevered FCF'!F$14/(1+H$31)^2+'Unlevered FCF'!G$14/(1+H$31)^3+'Unlevered FCF'!H$14/(1+H$31)^4+'Unlevered FCF'!I$14/(1+H$31)^5+'Unlevered FCF'!J$14/(1+H$31)^6)+('Unlevered FCF'!J$14*(1+$A34)/(H$31-$A34))/(1+H$31)^6-'Control Panel'!$B$85-'Control Panel'!$B$87-'Control Panel'!$B$88+'Control Panel'!$B$89+'Control Panel'!$B$90)</f>
        <v>80542.3440237982</v>
      </c>
    </row>
    <row r="35" customFormat="false" ht="15" hidden="false" customHeight="false" outlineLevel="0" collapsed="false">
      <c r="A35" s="49" t="n">
        <v>0.03</v>
      </c>
      <c r="B35" s="12" t="n">
        <f aca="false">(('Unlevered FCF'!E$14/(1+B$31)^1+'Unlevered FCF'!F$14/(1+B$31)^2+'Unlevered FCF'!G$14/(1+B$31)^3+'Unlevered FCF'!H$14/(1+B$31)^4+'Unlevered FCF'!I$14/(1+B$31)^5+'Unlevered FCF'!J$14/(1+B$31)^6)+('Unlevered FCF'!J$14*(1+$A35)/(B$31-$A35))/(1+B$31)^6-'Control Panel'!$B$85-'Control Panel'!$B$87-'Control Panel'!$B$88+'Control Panel'!$B$89+'Control Panel'!$B$90)</f>
        <v>148092.018765026</v>
      </c>
      <c r="C35" s="12" t="n">
        <f aca="false">(('Unlevered FCF'!E$14/(1+C$31)^1+'Unlevered FCF'!F$14/(1+C$31)^2+'Unlevered FCF'!G$14/(1+C$31)^3+'Unlevered FCF'!H$14/(1+C$31)^4+'Unlevered FCF'!I$14/(1+C$31)^5+'Unlevered FCF'!J$14/(1+C$31)^6)+('Unlevered FCF'!J$14*(1+$A35)/(C$31-$A35))/(1+C$31)^6-'Control Panel'!$B$85-'Control Panel'!$B$87-'Control Panel'!$B$88+'Control Panel'!$B$89+'Control Panel'!$B$90)</f>
        <v>132209.735346208</v>
      </c>
      <c r="D35" s="12" t="n">
        <f aca="false">(('Unlevered FCF'!E$14/(1+D$31)^1+'Unlevered FCF'!F$14/(1+D$31)^2+'Unlevered FCF'!G$14/(1+D$31)^3+'Unlevered FCF'!H$14/(1+D$31)^4+'Unlevered FCF'!I$14/(1+D$31)^5+'Unlevered FCF'!J$14/(1+D$31)^6)+('Unlevered FCF'!J$14*(1+$A35)/(D$31-$A35))/(1+D$31)^6-'Control Panel'!$B$85-'Control Panel'!$B$87-'Control Panel'!$B$88+'Control Panel'!$B$89+'Control Panel'!$B$90)</f>
        <v>119234.065537452</v>
      </c>
      <c r="E35" s="12" t="n">
        <f aca="false">(('Unlevered FCF'!E$14/(1+E$31)^1+'Unlevered FCF'!F$14/(1+E$31)^2+'Unlevered FCF'!G$14/(1+E$31)^3+'Unlevered FCF'!H$14/(1+E$31)^4+'Unlevered FCF'!I$14/(1+E$31)^5+'Unlevered FCF'!J$14/(1+E$31)^6)+('Unlevered FCF'!J$14*(1+$A35)/(E$31-$A35))/(1+E$31)^6-'Control Panel'!$B$85-'Control Panel'!$B$87-'Control Panel'!$B$88+'Control Panel'!$B$89+'Control Panel'!$B$90)</f>
        <v>108437.891230286</v>
      </c>
      <c r="F35" s="12" t="n">
        <f aca="false">(('Unlevered FCF'!E$14/(1+F$31)^1+'Unlevered FCF'!F$14/(1+F$31)^2+'Unlevered FCF'!G$14/(1+F$31)^3+'Unlevered FCF'!H$14/(1+F$31)^4+'Unlevered FCF'!I$14/(1+F$31)^5+'Unlevered FCF'!J$14/(1+F$31)^6)+('Unlevered FCF'!J$14*(1+$A35)/(F$31-$A35))/(1+F$31)^6-'Control Panel'!$B$85-'Control Panel'!$B$87-'Control Panel'!$B$88+'Control Panel'!$B$89+'Control Panel'!$B$90)</f>
        <v>99317.8367064087</v>
      </c>
      <c r="G35" s="12" t="n">
        <f aca="false">(('Unlevered FCF'!E$14/(1+G$31)^1+'Unlevered FCF'!F$14/(1+G$31)^2+'Unlevered FCF'!G$14/(1+G$31)^3+'Unlevered FCF'!H$14/(1+G$31)^4+'Unlevered FCF'!I$14/(1+G$31)^5+'Unlevered FCF'!J$14/(1+G$31)^6)+('Unlevered FCF'!J$14*(1+$A35)/(G$31-$A35))/(1+G$31)^6-'Control Panel'!$B$85-'Control Panel'!$B$87-'Control Panel'!$B$88+'Control Panel'!$B$89+'Control Panel'!$B$90)</f>
        <v>91514.3601693763</v>
      </c>
      <c r="H35" s="12" t="n">
        <f aca="false">(('Unlevered FCF'!E$14/(1+H$31)^1+'Unlevered FCF'!F$14/(1+H$31)^2+'Unlevered FCF'!G$14/(1+H$31)^3+'Unlevered FCF'!H$14/(1+H$31)^4+'Unlevered FCF'!I$14/(1+H$31)^5+'Unlevered FCF'!J$14/(1+H$31)^6)+('Unlevered FCF'!J$14*(1+$A35)/(H$31-$A35))/(1+H$31)^6-'Control Panel'!$B$85-'Control Panel'!$B$87-'Control Panel'!$B$88+'Control Panel'!$B$89+'Control Panel'!$B$90)</f>
        <v>84763.8086819859</v>
      </c>
    </row>
    <row r="36" customFormat="false" ht="15" hidden="false" customHeight="false" outlineLevel="0" collapsed="false">
      <c r="A36" s="49" t="n">
        <v>0.035</v>
      </c>
      <c r="B36" s="12" t="n">
        <f aca="false">(('Unlevered FCF'!E$14/(1+B$31)^1+'Unlevered FCF'!F$14/(1+B$31)^2+'Unlevered FCF'!G$14/(1+B$31)^3+'Unlevered FCF'!H$14/(1+B$31)^4+'Unlevered FCF'!I$14/(1+B$31)^5+'Unlevered FCF'!J$14/(1+B$31)^6)+('Unlevered FCF'!J$14*(1+$A36)/(B$31-$A36))/(1+B$31)^6-'Control Panel'!$B$85-'Control Panel'!$B$87-'Control Panel'!$B$88+'Control Panel'!$B$89+'Control Panel'!$B$90)</f>
        <v>164239.729904383</v>
      </c>
      <c r="C36" s="12" t="n">
        <f aca="false">(('Unlevered FCF'!E$14/(1+C$31)^1+'Unlevered FCF'!F$14/(1+C$31)^2+'Unlevered FCF'!G$14/(1+C$31)^3+'Unlevered FCF'!H$14/(1+C$31)^4+'Unlevered FCF'!I$14/(1+C$31)^5+'Unlevered FCF'!J$14/(1+C$31)^6)+('Unlevered FCF'!J$14*(1+$A36)/(C$31-$A36))/(1+C$31)^6-'Control Panel'!$B$85-'Control Panel'!$B$87-'Control Panel'!$B$88+'Control Panel'!$B$89+'Control Panel'!$B$90)</f>
        <v>144831.628592923</v>
      </c>
      <c r="D36" s="12" t="n">
        <f aca="false">(('Unlevered FCF'!E$14/(1+D$31)^1+'Unlevered FCF'!F$14/(1+D$31)^2+'Unlevered FCF'!G$14/(1+D$31)^3+'Unlevered FCF'!H$14/(1+D$31)^4+'Unlevered FCF'!I$14/(1+D$31)^5+'Unlevered FCF'!J$14/(1+D$31)^6)+('Unlevered FCF'!J$14*(1+$A36)/(D$31-$A36))/(1+D$31)^6-'Control Panel'!$B$85-'Control Panel'!$B$87-'Control Panel'!$B$88+'Control Panel'!$B$89+'Control Panel'!$B$90)</f>
        <v>129325.302710877</v>
      </c>
      <c r="E36" s="12" t="n">
        <f aca="false">(('Unlevered FCF'!E$14/(1+E$31)^1+'Unlevered FCF'!F$14/(1+E$31)^2+'Unlevered FCF'!G$14/(1+E$31)^3+'Unlevered FCF'!H$14/(1+E$31)^4+'Unlevered FCF'!I$14/(1+E$31)^5+'Unlevered FCF'!J$14/(1+E$31)^6)+('Unlevered FCF'!J$14*(1+$A36)/(E$31-$A36))/(1+E$31)^6-'Control Panel'!$B$85-'Control Panel'!$B$87-'Control Panel'!$B$88+'Control Panel'!$B$89+'Control Panel'!$B$90)</f>
        <v>116656.141613294</v>
      </c>
      <c r="F36" s="12" t="n">
        <f aca="false">(('Unlevered FCF'!E$14/(1+F$31)^1+'Unlevered FCF'!F$14/(1+F$31)^2+'Unlevered FCF'!G$14/(1+F$31)^3+'Unlevered FCF'!H$14/(1+F$31)^4+'Unlevered FCF'!I$14/(1+F$31)^5+'Unlevered FCF'!J$14/(1+F$31)^6)+('Unlevered FCF'!J$14*(1+$A36)/(F$31-$A36))/(1+F$31)^6-'Control Panel'!$B$85-'Control Panel'!$B$87-'Control Panel'!$B$88+'Control Panel'!$B$89+'Control Panel'!$B$90)</f>
        <v>106114.419243855</v>
      </c>
      <c r="G36" s="12" t="n">
        <f aca="false">(('Unlevered FCF'!E$14/(1+G$31)^1+'Unlevered FCF'!F$14/(1+G$31)^2+'Unlevered FCF'!G$14/(1+G$31)^3+'Unlevered FCF'!H$14/(1+G$31)^4+'Unlevered FCF'!I$14/(1+G$31)^5+'Unlevered FCF'!J$14/(1+G$31)^6)+('Unlevered FCF'!J$14*(1+$A36)/(G$31-$A36))/(1+G$31)^6-'Control Panel'!$B$85-'Control Panel'!$B$87-'Control Panel'!$B$88+'Control Panel'!$B$89+'Control Panel'!$B$90)</f>
        <v>97208.7995721951</v>
      </c>
      <c r="H36" s="12" t="n">
        <f aca="false">(('Unlevered FCF'!E$14/(1+H$31)^1+'Unlevered FCF'!F$14/(1+H$31)^2+'Unlevered FCF'!G$14/(1+H$31)^3+'Unlevered FCF'!H$14/(1+H$31)^4+'Unlevered FCF'!I$14/(1+H$31)^5+'Unlevered FCF'!J$14/(1+H$31)^6)+('Unlevered FCF'!J$14*(1+$A36)/(H$31-$A36))/(1+H$31)^6-'Control Panel'!$B$85-'Control Panel'!$B$87-'Control Panel'!$B$88+'Control Panel'!$B$89+'Control Panel'!$B$90)</f>
        <v>89588.3397199147</v>
      </c>
    </row>
    <row r="39" customFormat="false" ht="15" hidden="false" customHeight="true" outlineLevel="0" collapsed="false">
      <c r="A39" s="3" t="s">
        <v>254</v>
      </c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22" t="s">
        <v>250</v>
      </c>
      <c r="B40" s="50" t="n">
        <v>0.075</v>
      </c>
      <c r="C40" s="50" t="n">
        <v>0.08</v>
      </c>
      <c r="D40" s="50" t="n">
        <v>0.085</v>
      </c>
      <c r="E40" s="50" t="n">
        <v>0.09</v>
      </c>
      <c r="F40" s="50" t="n">
        <v>0.095</v>
      </c>
      <c r="G40" s="50" t="n">
        <v>0.1</v>
      </c>
      <c r="H40" s="50" t="n">
        <v>0.105</v>
      </c>
    </row>
    <row r="41" customFormat="false" ht="15" hidden="false" customHeight="false" outlineLevel="0" collapsed="false">
      <c r="A41" s="49" t="n">
        <v>0.015</v>
      </c>
      <c r="B41" s="15" t="n">
        <f aca="false">(('Unlevered FCF'!E$14/(1+B$40)^1+'Unlevered FCF'!F$14/(1+B$40)^2+'Unlevered FCF'!G$14/(1+B$40)^3+'Unlevered FCF'!H$14/(1+B$40)^4+'Unlevered FCF'!I$14/(1+B$40)^5+'Unlevered FCF'!J$14/(1+B$40)^6)+('Unlevered FCF'!J$14*(1+$A41)/(B$40-$A41))/(1+B$40)^6-'Control Panel'!$B$85-'Control Panel'!$B$87-'Control Panel'!$B$88+'Control Panel'!$B$89+'Control Panel'!$B$90)/'Control Panel'!$B$86/'Control Panel'!$B$12-1</f>
        <v>0.150374642596627</v>
      </c>
      <c r="C41" s="15" t="n">
        <f aca="false">(('Unlevered FCF'!E$14/(1+C$40)^1+'Unlevered FCF'!F$14/(1+C$40)^2+'Unlevered FCF'!G$14/(1+C$40)^3+'Unlevered FCF'!H$14/(1+C$40)^4+'Unlevered FCF'!I$14/(1+C$40)^5+'Unlevered FCF'!J$14/(1+C$40)^6)+('Unlevered FCF'!J$14*(1+$A41)/(C$40-$A41))/(1+C$40)^6-'Control Panel'!$B$85-'Control Panel'!$B$87-'Control Panel'!$B$88+'Control Panel'!$B$89+'Control Panel'!$B$90)/'Control Panel'!$B$86/'Control Panel'!$B$12-1</f>
        <v>0.0530015824339822</v>
      </c>
      <c r="D41" s="15" t="n">
        <f aca="false">(('Unlevered FCF'!E$14/(1+D$40)^1+'Unlevered FCF'!F$14/(1+D$40)^2+'Unlevered FCF'!G$14/(1+D$40)^3+'Unlevered FCF'!H$14/(1+D$40)^4+'Unlevered FCF'!I$14/(1+D$40)^5+'Unlevered FCF'!J$14/(1+D$40)^6)+('Unlevered FCF'!J$14*(1+$A41)/(D$40-$A41))/(1+D$40)^6-'Control Panel'!$B$85-'Control Panel'!$B$87-'Control Panel'!$B$88+'Control Panel'!$B$89+'Control Panel'!$B$90)/'Control Panel'!$B$86/'Control Panel'!$B$12-1</f>
        <v>-0.0302991967991836</v>
      </c>
      <c r="E41" s="15" t="n">
        <f aca="false">(('Unlevered FCF'!E$14/(1+E$40)^1+'Unlevered FCF'!F$14/(1+E$40)^2+'Unlevered FCF'!G$14/(1+E$40)^3+'Unlevered FCF'!H$14/(1+E$40)^4+'Unlevered FCF'!I$14/(1+E$40)^5+'Unlevered FCF'!J$14/(1+E$40)^6)+('Unlevered FCF'!J$14*(1+$A41)/(E$40-$A41))/(1+E$40)^6-'Control Panel'!$B$85-'Control Panel'!$B$87-'Control Panel'!$B$88+'Control Panel'!$B$89+'Control Panel'!$B$90)/'Control Panel'!$B$86/'Control Panel'!$B$12-1</f>
        <v>-0.102346213460683</v>
      </c>
      <c r="F41" s="15" t="n">
        <f aca="false">(('Unlevered FCF'!E$14/(1+F$40)^1+'Unlevered FCF'!F$14/(1+F$40)^2+'Unlevered FCF'!G$14/(1+F$40)^3+'Unlevered FCF'!H$14/(1+F$40)^4+'Unlevered FCF'!I$14/(1+F$40)^5+'Unlevered FCF'!J$14/(1+F$40)^6)+('Unlevered FCF'!J$14*(1+$A41)/(F$40-$A41))/(1+F$40)^6-'Control Panel'!$B$85-'Control Panel'!$B$87-'Control Panel'!$B$88+'Control Panel'!$B$89+'Control Panel'!$B$90)/'Control Panel'!$B$86/'Control Panel'!$B$12-1</f>
        <v>-0.1652532339377</v>
      </c>
      <c r="G41" s="15" t="n">
        <f aca="false">(('Unlevered FCF'!E$14/(1+G$40)^1+'Unlevered FCF'!F$14/(1+G$40)^2+'Unlevered FCF'!G$14/(1+G$40)^3+'Unlevered FCF'!H$14/(1+G$40)^4+'Unlevered FCF'!I$14/(1+G$40)^5+'Unlevered FCF'!J$14/(1+G$40)^6)+('Unlevered FCF'!J$14*(1+$A41)/(G$40-$A41))/(1+G$40)^6-'Control Panel'!$B$85-'Control Panel'!$B$87-'Control Panel'!$B$88+'Control Panel'!$B$89+'Control Panel'!$B$90)/'Control Panel'!$B$86/'Control Panel'!$B$12-1</f>
        <v>-0.220636556908337</v>
      </c>
      <c r="H41" s="15" t="n">
        <f aca="false">(('Unlevered FCF'!E$14/(1+H$40)^1+'Unlevered FCF'!F$14/(1+H$40)^2+'Unlevered FCF'!G$14/(1+H$40)^3+'Unlevered FCF'!H$14/(1+H$40)^4+'Unlevered FCF'!I$14/(1+H$40)^5+'Unlevered FCF'!J$14/(1+H$40)^6)+('Unlevered FCF'!J$14*(1+$A41)/(H$40-$A41))/(1+H$40)^6-'Control Panel'!$B$85-'Control Panel'!$B$87-'Control Panel'!$B$88+'Control Panel'!$B$89+'Control Panel'!$B$90)/'Control Panel'!$B$86/'Control Panel'!$B$12-1</f>
        <v>-0.269753202680656</v>
      </c>
    </row>
    <row r="42" customFormat="false" ht="15" hidden="false" customHeight="false" outlineLevel="0" collapsed="false">
      <c r="A42" s="49" t="n">
        <v>0.02</v>
      </c>
      <c r="B42" s="15" t="n">
        <f aca="false">(('Unlevered FCF'!E$14/(1+B$40)^1+'Unlevered FCF'!F$14/(1+B$40)^2+'Unlevered FCF'!G$14/(1+B$40)^3+'Unlevered FCF'!H$14/(1+B$40)^4+'Unlevered FCF'!I$14/(1+B$40)^5+'Unlevered FCF'!J$14/(1+B$40)^6)+('Unlevered FCF'!J$14*(1+$A42)/(B$40-$A42))/(1+B$40)^6-'Control Panel'!$B$85-'Control Panel'!$B$87-'Control Panel'!$B$88+'Control Panel'!$B$89+'Control Panel'!$B$90)/'Control Panel'!$B$86/'Control Panel'!$B$12-1</f>
        <v>0.237875647859391</v>
      </c>
      <c r="C42" s="15" t="n">
        <f aca="false">(('Unlevered FCF'!E$14/(1+C$40)^1+'Unlevered FCF'!F$14/(1+C$40)^2+'Unlevered FCF'!G$14/(1+C$40)^3+'Unlevered FCF'!H$14/(1+C$40)^4+'Unlevered FCF'!I$14/(1+C$40)^5+'Unlevered FCF'!J$14/(1+C$40)^6)+('Unlevered FCF'!J$14*(1+$A42)/(C$40-$A42))/(1+C$40)^6-'Control Panel'!$B$85-'Control Panel'!$B$87-'Control Panel'!$B$88+'Control Panel'!$B$89+'Control Panel'!$B$90)/'Control Panel'!$B$86/'Control Panel'!$B$12-1</f>
        <v>0.125342817508619</v>
      </c>
      <c r="D42" s="15" t="n">
        <f aca="false">(('Unlevered FCF'!E$14/(1+D$40)^1+'Unlevered FCF'!F$14/(1+D$40)^2+'Unlevered FCF'!G$14/(1+D$40)^3+'Unlevered FCF'!H$14/(1+D$40)^4+'Unlevered FCF'!I$14/(1+D$40)^5+'Unlevered FCF'!J$14/(1+D$40)^6)+('Unlevered FCF'!J$14*(1+$A42)/(D$40-$A42))/(1+D$40)^6-'Control Panel'!$B$85-'Control Panel'!$B$87-'Control Panel'!$B$88+'Control Panel'!$B$89+'Control Panel'!$B$90)/'Control Panel'!$B$86/'Control Panel'!$B$12-1</f>
        <v>0.030291956088226</v>
      </c>
      <c r="E42" s="15" t="n">
        <f aca="false">(('Unlevered FCF'!E$14/(1+E$40)^1+'Unlevered FCF'!F$14/(1+E$40)^2+'Unlevered FCF'!G$14/(1+E$40)^3+'Unlevered FCF'!H$14/(1+E$40)^4+'Unlevered FCF'!I$14/(1+E$40)^5+'Unlevered FCF'!J$14/(1+E$40)^6)+('Unlevered FCF'!J$14*(1+$A42)/(E$40-$A42))/(1+E$40)^6-'Control Panel'!$B$85-'Control Panel'!$B$87-'Control Panel'!$B$88+'Control Panel'!$B$89+'Control Panel'!$B$90)/'Control Panel'!$B$86/'Control Panel'!$B$12-1</f>
        <v>-0.0510272931795693</v>
      </c>
      <c r="F42" s="15" t="n">
        <f aca="false">(('Unlevered FCF'!E$14/(1+F$40)^1+'Unlevered FCF'!F$14/(1+F$40)^2+'Unlevered FCF'!G$14/(1+F$40)^3+'Unlevered FCF'!H$14/(1+F$40)^4+'Unlevered FCF'!I$14/(1+F$40)^5+'Unlevered FCF'!J$14/(1+F$40)^6)+('Unlevered FCF'!J$14*(1+$A42)/(F$40-$A42))/(1+F$40)^6-'Control Panel'!$B$85-'Control Panel'!$B$87-'Control Panel'!$B$88+'Control Panel'!$B$89+'Control Panel'!$B$90)/'Control Panel'!$B$86/'Control Panel'!$B$12-1</f>
        <v>-0.12136506546803</v>
      </c>
      <c r="G42" s="15" t="n">
        <f aca="false">(('Unlevered FCF'!E$14/(1+G$40)^1+'Unlevered FCF'!F$14/(1+G$40)^2+'Unlevered FCF'!G$14/(1+G$40)^3+'Unlevered FCF'!H$14/(1+G$40)^4+'Unlevered FCF'!I$14/(1+G$40)^5+'Unlevered FCF'!J$14/(1+G$40)^6)+('Unlevered FCF'!J$14*(1+$A42)/(G$40-$A42))/(1+G$40)^6-'Control Panel'!$B$85-'Control Panel'!$B$87-'Control Panel'!$B$88+'Control Panel'!$B$89+'Control Panel'!$B$90)/'Control Panel'!$B$86/'Control Panel'!$B$12-1</f>
        <v>-0.182783847989163</v>
      </c>
      <c r="H42" s="15" t="n">
        <f aca="false">(('Unlevered FCF'!E$14/(1+H$40)^1+'Unlevered FCF'!F$14/(1+H$40)^2+'Unlevered FCF'!G$14/(1+H$40)^3+'Unlevered FCF'!H$14/(1+H$40)^4+'Unlevered FCF'!I$14/(1+H$40)^5+'Unlevered FCF'!J$14/(1+H$40)^6)+('Unlevered FCF'!J$14*(1+$A42)/(H$40-$A42))/(1+H$40)^6-'Control Panel'!$B$85-'Control Panel'!$B$87-'Control Panel'!$B$88+'Control Panel'!$B$89+'Control Panel'!$B$90)/'Control Panel'!$B$86/'Control Panel'!$B$12-1</f>
        <v>-0.236860733354853</v>
      </c>
    </row>
    <row r="43" customFormat="false" ht="15" hidden="false" customHeight="false" outlineLevel="0" collapsed="false">
      <c r="A43" s="49" t="n">
        <v>0.025</v>
      </c>
      <c r="B43" s="15" t="n">
        <f aca="false">(('Unlevered FCF'!E$14/(1+B$40)^1+'Unlevered FCF'!F$14/(1+B$40)^2+'Unlevered FCF'!G$14/(1+B$40)^3+'Unlevered FCF'!H$14/(1+B$40)^4+'Unlevered FCF'!I$14/(1+B$40)^5+'Unlevered FCF'!J$14/(1+B$40)^6)+('Unlevered FCF'!J$14*(1+$A43)/(B$40-$A43))/(1+B$40)^6-'Control Panel'!$B$85-'Control Panel'!$B$87-'Control Panel'!$B$88+'Control Panel'!$B$89+'Control Panel'!$B$90)/'Control Panel'!$B$86/'Control Panel'!$B$12-1</f>
        <v>0.342876854174707</v>
      </c>
      <c r="C43" s="15" t="n">
        <f aca="false">(('Unlevered FCF'!E$14/(1+C$40)^1+'Unlevered FCF'!F$14/(1+C$40)^2+'Unlevered FCF'!G$14/(1+C$40)^3+'Unlevered FCF'!H$14/(1+C$40)^4+'Unlevered FCF'!I$14/(1+C$40)^5+'Unlevered FCF'!J$14/(1+C$40)^6)+('Unlevered FCF'!J$14*(1+$A43)/(C$40-$A43))/(1+C$40)^6-'Control Panel'!$B$85-'Control Panel'!$B$87-'Control Panel'!$B$88+'Control Panel'!$B$89+'Control Panel'!$B$90)/'Control Panel'!$B$86/'Control Panel'!$B$12-1</f>
        <v>0.210837004415007</v>
      </c>
      <c r="D43" s="15" t="n">
        <f aca="false">(('Unlevered FCF'!E$14/(1+D$40)^1+'Unlevered FCF'!F$14/(1+D$40)^2+'Unlevered FCF'!G$14/(1+D$40)^3+'Unlevered FCF'!H$14/(1+D$40)^4+'Unlevered FCF'!I$14/(1+D$40)^5+'Unlevered FCF'!J$14/(1+D$40)^6)+('Unlevered FCF'!J$14*(1+$A43)/(D$40-$A43))/(1+D$40)^6-'Control Panel'!$B$85-'Control Panel'!$B$87-'Control Panel'!$B$88+'Control Panel'!$B$89+'Control Panel'!$B$90)/'Control Panel'!$B$86/'Control Panel'!$B$12-1</f>
        <v>0.10098163445687</v>
      </c>
      <c r="E43" s="15" t="n">
        <f aca="false">(('Unlevered FCF'!E$14/(1+E$40)^1+'Unlevered FCF'!F$14/(1+E$40)^2+'Unlevered FCF'!G$14/(1+E$40)^3+'Unlevered FCF'!H$14/(1+E$40)^4+'Unlevered FCF'!I$14/(1+E$40)^5+'Unlevered FCF'!J$14/(1+E$40)^6)+('Unlevered FCF'!J$14*(1+$A43)/(E$40-$A43))/(1+E$40)^6-'Control Panel'!$B$85-'Control Panel'!$B$87-'Control Panel'!$B$88+'Control Panel'!$B$89+'Control Panel'!$B$90)/'Control Panel'!$B$86/'Control Panel'!$B$12-1</f>
        <v>0.00818684560633032</v>
      </c>
      <c r="F43" s="15" t="n">
        <f aca="false">(('Unlevered FCF'!E$14/(1+F$40)^1+'Unlevered FCF'!F$14/(1+F$40)^2+'Unlevered FCF'!G$14/(1+F$40)^3+'Unlevered FCF'!H$14/(1+F$40)^4+'Unlevered FCF'!I$14/(1+F$40)^5+'Unlevered FCF'!J$14/(1+F$40)^6)+('Unlevered FCF'!J$14*(1+$A43)/(F$40-$A43))/(1+F$40)^6-'Control Panel'!$B$85-'Control Panel'!$B$87-'Control Panel'!$B$88+'Control Panel'!$B$89+'Control Panel'!$B$90)/'Control Panel'!$B$86/'Control Panel'!$B$12-1</f>
        <v>-0.0712071586455506</v>
      </c>
      <c r="G43" s="15" t="n">
        <f aca="false">(('Unlevered FCF'!E$14/(1+G$40)^1+'Unlevered FCF'!F$14/(1+G$40)^2+'Unlevered FCF'!G$14/(1+G$40)^3+'Unlevered FCF'!H$14/(1+G$40)^4+'Unlevered FCF'!I$14/(1+G$40)^5+'Unlevered FCF'!J$14/(1+G$40)^6)+('Unlevered FCF'!J$14*(1+$A43)/(G$40-$A43))/(1+G$40)^6-'Control Panel'!$B$85-'Control Panel'!$B$87-'Control Panel'!$B$88+'Control Panel'!$B$89+'Control Panel'!$B$90)/'Control Panel'!$B$86/'Control Panel'!$B$12-1</f>
        <v>-0.139884111214099</v>
      </c>
      <c r="H43" s="15" t="n">
        <f aca="false">(('Unlevered FCF'!E$14/(1+H$40)^1+'Unlevered FCF'!F$14/(1+H$40)^2+'Unlevered FCF'!G$14/(1+H$40)^3+'Unlevered FCF'!H$14/(1+H$40)^4+'Unlevered FCF'!I$14/(1+H$40)^5+'Unlevered FCF'!J$14/(1+H$40)^6)+('Unlevered FCF'!J$14*(1+$A43)/(H$40-$A43))/(1+H$40)^6-'Control Panel'!$B$85-'Control Panel'!$B$87-'Control Panel'!$B$88+'Control Panel'!$B$89+'Control Panel'!$B$90)/'Control Panel'!$B$86/'Control Panel'!$B$12-1</f>
        <v>-0.199856705363325</v>
      </c>
    </row>
    <row r="44" customFormat="false" ht="15" hidden="false" customHeight="false" outlineLevel="0" collapsed="false">
      <c r="A44" s="49" t="n">
        <v>0.03</v>
      </c>
      <c r="B44" s="15" t="n">
        <f aca="false">(('Unlevered FCF'!E$14/(1+B$40)^1+'Unlevered FCF'!F$14/(1+B$40)^2+'Unlevered FCF'!G$14/(1+B$40)^3+'Unlevered FCF'!H$14/(1+B$40)^4+'Unlevered FCF'!I$14/(1+B$40)^5+'Unlevered FCF'!J$14/(1+B$40)^6)+('Unlevered FCF'!J$14*(1+$A44)/(B$40-$A44))/(1+B$40)^6-'Control Panel'!$B$85-'Control Panel'!$B$87-'Control Panel'!$B$88+'Control Panel'!$B$89+'Control Panel'!$B$90)/'Control Panel'!$B$86/'Control Panel'!$B$12-1</f>
        <v>0.471211661893428</v>
      </c>
      <c r="C44" s="15" t="n">
        <f aca="false">(('Unlevered FCF'!E$14/(1+C$40)^1+'Unlevered FCF'!F$14/(1+C$40)^2+'Unlevered FCF'!G$14/(1+C$40)^3+'Unlevered FCF'!H$14/(1+C$40)^4+'Unlevered FCF'!I$14/(1+C$40)^5+'Unlevered FCF'!J$14/(1+C$40)^6)+('Unlevered FCF'!J$14*(1+$A44)/(C$40-$A44))/(1+C$40)^6-'Control Panel'!$B$85-'Control Panel'!$B$87-'Control Panel'!$B$88+'Control Panel'!$B$89+'Control Panel'!$B$90)/'Control Panel'!$B$86/'Control Panel'!$B$12-1</f>
        <v>0.313430028702673</v>
      </c>
      <c r="D44" s="15" t="n">
        <f aca="false">(('Unlevered FCF'!E$14/(1+D$40)^1+'Unlevered FCF'!F$14/(1+D$40)^2+'Unlevered FCF'!G$14/(1+D$40)^3+'Unlevered FCF'!H$14/(1+D$40)^4+'Unlevered FCF'!I$14/(1+D$40)^5+'Unlevered FCF'!J$14/(1+D$40)^6)+('Unlevered FCF'!J$14*(1+$A44)/(D$40-$A44))/(1+D$40)^6-'Control Panel'!$B$85-'Control Panel'!$B$87-'Control Panel'!$B$88+'Control Panel'!$B$89+'Control Panel'!$B$90)/'Control Panel'!$B$86/'Control Panel'!$B$12-1</f>
        <v>0.184523981619813</v>
      </c>
      <c r="E44" s="15" t="n">
        <f aca="false">(('Unlevered FCF'!E$14/(1+E$40)^1+'Unlevered FCF'!F$14/(1+E$40)^2+'Unlevered FCF'!G$14/(1+E$40)^3+'Unlevered FCF'!H$14/(1+E$40)^4+'Unlevered FCF'!I$14/(1+E$40)^5+'Unlevered FCF'!J$14/(1+E$40)^6)+('Unlevered FCF'!J$14*(1+$A44)/(E$40-$A44))/(1+E$40)^6-'Control Panel'!$B$85-'Control Panel'!$B$87-'Control Panel'!$B$88+'Control Panel'!$B$89+'Control Panel'!$B$90)/'Control Panel'!$B$86/'Control Panel'!$B$12-1</f>
        <v>0.0772700075232136</v>
      </c>
      <c r="F44" s="15" t="n">
        <f aca="false">(('Unlevered FCF'!E$14/(1+F$40)^1+'Unlevered FCF'!F$14/(1+F$40)^2+'Unlevered FCF'!G$14/(1+F$40)^3+'Unlevered FCF'!H$14/(1+F$40)^4+'Unlevered FCF'!I$14/(1+F$40)^5+'Unlevered FCF'!J$14/(1+F$40)^6)+('Unlevered FCF'!J$14*(1+$A44)/(F$40-$A44))/(1+F$40)^6-'Control Panel'!$B$85-'Control Panel'!$B$87-'Control Panel'!$B$88+'Control Panel'!$B$89+'Control Panel'!$B$90)/'Control Panel'!$B$86/'Control Panel'!$B$12-1</f>
        <v>-0.0133326507734585</v>
      </c>
      <c r="G44" s="15" t="n">
        <f aca="false">(('Unlevered FCF'!E$14/(1+G$40)^1+'Unlevered FCF'!F$14/(1+G$40)^2+'Unlevered FCF'!G$14/(1+G$40)^3+'Unlevered FCF'!H$14/(1+G$40)^4+'Unlevered FCF'!I$14/(1+G$40)^5+'Unlevered FCF'!J$14/(1+G$40)^6)+('Unlevered FCF'!J$14*(1+$A44)/(G$40-$A44))/(1+G$40)^6-'Control Panel'!$B$85-'Control Panel'!$B$87-'Control Panel'!$B$88+'Control Panel'!$B$89+'Control Panel'!$B$90)/'Control Panel'!$B$86/'Control Panel'!$B$12-1</f>
        <v>-0.0908558406140251</v>
      </c>
      <c r="H44" s="15" t="n">
        <f aca="false">(('Unlevered FCF'!E$14/(1+H$40)^1+'Unlevered FCF'!F$14/(1+H$40)^2+'Unlevered FCF'!G$14/(1+H$40)^3+'Unlevered FCF'!H$14/(1+H$40)^4+'Unlevered FCF'!I$14/(1+H$40)^5+'Unlevered FCF'!J$14/(1+H$40)^6)+('Unlevered FCF'!J$14*(1+$A44)/(H$40-$A44))/(1+H$40)^6-'Control Panel'!$B$85-'Control Panel'!$B$87-'Control Panel'!$B$88+'Control Panel'!$B$89+'Control Panel'!$B$90)/'Control Panel'!$B$86/'Control Panel'!$B$12-1</f>
        <v>-0.157918806972926</v>
      </c>
    </row>
    <row r="45" customFormat="false" ht="15" hidden="false" customHeight="false" outlineLevel="0" collapsed="false">
      <c r="A45" s="49" t="n">
        <v>0.035</v>
      </c>
      <c r="B45" s="15" t="n">
        <f aca="false">(('Unlevered FCF'!E$14/(1+B$40)^1+'Unlevered FCF'!F$14/(1+B$40)^2+'Unlevered FCF'!G$14/(1+B$40)^3+'Unlevered FCF'!H$14/(1+B$40)^4+'Unlevered FCF'!I$14/(1+B$40)^5+'Unlevered FCF'!J$14/(1+B$40)^6)+('Unlevered FCF'!J$14*(1+$A45)/(B$40-$A45))/(1+B$40)^6-'Control Panel'!$B$85-'Control Panel'!$B$87-'Control Panel'!$B$88+'Control Panel'!$B$89+'Control Panel'!$B$90)/'Control Panel'!$B$86/'Control Panel'!$B$12-1</f>
        <v>0.631630171541828</v>
      </c>
      <c r="C45" s="15" t="n">
        <f aca="false">(('Unlevered FCF'!E$14/(1+C$40)^1+'Unlevered FCF'!F$14/(1+C$40)^2+'Unlevered FCF'!G$14/(1+C$40)^3+'Unlevered FCF'!H$14/(1+C$40)^4+'Unlevered FCF'!I$14/(1+C$40)^5+'Unlevered FCF'!J$14/(1+C$40)^6)+('Unlevered FCF'!J$14*(1+$A45)/(C$40-$A45))/(1+C$40)^6-'Control Panel'!$B$85-'Control Panel'!$B$87-'Control Panel'!$B$88+'Control Panel'!$B$89+'Control Panel'!$B$90)/'Control Panel'!$B$86/'Control Panel'!$B$12-1</f>
        <v>0.438821502832042</v>
      </c>
      <c r="D45" s="15" t="n">
        <f aca="false">(('Unlevered FCF'!E$14/(1+D$40)^1+'Unlevered FCF'!F$14/(1+D$40)^2+'Unlevered FCF'!G$14/(1+D$40)^3+'Unlevered FCF'!H$14/(1+D$40)^4+'Unlevered FCF'!I$14/(1+D$40)^5+'Unlevered FCF'!J$14/(1+D$40)^6)+('Unlevered FCF'!J$14*(1+$A45)/(D$40-$A45))/(1+D$40)^6-'Control Panel'!$B$85-'Control Panel'!$B$87-'Control Panel'!$B$88+'Control Panel'!$B$89+'Control Panel'!$B$90)/'Control Panel'!$B$86/'Control Panel'!$B$12-1</f>
        <v>0.284774798215345</v>
      </c>
      <c r="E45" s="15" t="n">
        <f aca="false">(('Unlevered FCF'!E$14/(1+E$40)^1+'Unlevered FCF'!F$14/(1+E$40)^2+'Unlevered FCF'!G$14/(1+E$40)^3+'Unlevered FCF'!H$14/(1+E$40)^4+'Unlevered FCF'!I$14/(1+E$40)^5+'Unlevered FCF'!J$14/(1+E$40)^6)+('Unlevered FCF'!J$14*(1+$A45)/(E$40-$A45))/(1+E$40)^6-'Control Panel'!$B$85-'Control Panel'!$B$87-'Control Panel'!$B$88+'Control Panel'!$B$89+'Control Panel'!$B$90)/'Control Panel'!$B$86/'Control Panel'!$B$12-1</f>
        <v>0.158913744334076</v>
      </c>
      <c r="F45" s="15" t="n">
        <f aca="false">(('Unlevered FCF'!E$14/(1+F$40)^1+'Unlevered FCF'!F$14/(1+F$40)^2+'Unlevered FCF'!G$14/(1+F$40)^3+'Unlevered FCF'!H$14/(1+F$40)^4+'Unlevered FCF'!I$14/(1+F$40)^5+'Unlevered FCF'!J$14/(1+F$40)^6)+('Unlevered FCF'!J$14*(1+$A45)/(F$40-$A45))/(1+F$40)^6-'Control Panel'!$B$85-'Control Panel'!$B$87-'Control Panel'!$B$88+'Control Panel'!$B$89+'Control Panel'!$B$90)/'Control Panel'!$B$86/'Control Panel'!$B$12-1</f>
        <v>0.054187608410649</v>
      </c>
      <c r="G45" s="15" t="n">
        <f aca="false">(('Unlevered FCF'!E$14/(1+G$40)^1+'Unlevered FCF'!F$14/(1+G$40)^2+'Unlevered FCF'!G$14/(1+G$40)^3+'Unlevered FCF'!H$14/(1+G$40)^4+'Unlevered FCF'!I$14/(1+G$40)^5+'Unlevered FCF'!J$14/(1+G$40)^6)+('Unlevered FCF'!J$14*(1+$A45)/(G$40-$A45))/(1+G$40)^6-'Control Panel'!$B$85-'Control Panel'!$B$87-'Control Panel'!$B$88+'Control Panel'!$B$89+'Control Panel'!$B$90)/'Control Panel'!$B$86/'Control Panel'!$B$12-1</f>
        <v>-0.0342847591524021</v>
      </c>
      <c r="H45" s="15" t="n">
        <f aca="false">(('Unlevered FCF'!E$14/(1+H$40)^1+'Unlevered FCF'!F$14/(1+H$40)^2+'Unlevered FCF'!G$14/(1+H$40)^3+'Unlevered FCF'!H$14/(1+H$40)^4+'Unlevered FCF'!I$14/(1+H$40)^5+'Unlevered FCF'!J$14/(1+H$40)^6)+('Unlevered FCF'!J$14*(1+$A45)/(H$40-$A45))/(1+H$40)^6-'Control Panel'!$B$85-'Control Panel'!$B$87-'Control Panel'!$B$88+'Control Panel'!$B$89+'Control Panel'!$B$90)/'Control Panel'!$B$86/'Control Panel'!$B$12-1</f>
        <v>-0.109989780241042</v>
      </c>
    </row>
    <row r="48" customFormat="false" ht="15" hidden="false" customHeight="true" outlineLevel="0" collapsed="false">
      <c r="A48" s="3" t="s">
        <v>255</v>
      </c>
      <c r="B48" s="3"/>
      <c r="C48" s="3"/>
      <c r="D48" s="3"/>
      <c r="E48" s="3"/>
      <c r="F48" s="3"/>
      <c r="G48" s="3"/>
      <c r="H48" s="3"/>
    </row>
    <row r="49" customFormat="false" ht="35.05" hidden="false" customHeight="false" outlineLevel="0" collapsed="false">
      <c r="A49" s="22" t="s">
        <v>256</v>
      </c>
      <c r="B49" s="22" t="s">
        <v>257</v>
      </c>
      <c r="C49" s="22" t="s">
        <v>57</v>
      </c>
      <c r="D49" s="22" t="s">
        <v>28</v>
      </c>
      <c r="E49" s="22" t="s">
        <v>250</v>
      </c>
      <c r="F49" s="22" t="s">
        <v>123</v>
      </c>
      <c r="G49" s="22" t="s">
        <v>48</v>
      </c>
      <c r="H49" s="22" t="s">
        <v>50</v>
      </c>
    </row>
    <row r="50" customFormat="false" ht="15" hidden="false" customHeight="false" outlineLevel="0" collapsed="false">
      <c r="A50" s="6" t="s">
        <v>95</v>
      </c>
      <c r="B50" s="33" t="n">
        <f aca="false">INDEX('Control Panel'!G$21:G$23,MATCH(A50,'Control Panel'!$A$21:$A$23,0))</f>
        <v>0.06</v>
      </c>
      <c r="C50" s="33" t="n">
        <f aca="false">INDEX('Control Panel'!G$26:G$28,MATCH(A50,'Control Panel'!$A$26:$A$28,0))</f>
        <v>0.25</v>
      </c>
      <c r="D50" s="33" t="n">
        <f aca="false">'Control Panel'!$B$78</f>
        <v>0.0862765</v>
      </c>
      <c r="E50" s="33" t="n">
        <f aca="false">'Control Panel'!$B$83</f>
        <v>0.03</v>
      </c>
      <c r="F50" s="43" t="n">
        <f aca="false">'Control Panel'!$B$84</f>
        <v>15</v>
      </c>
      <c r="G50" s="31" t="n">
        <f aca="false">G70</f>
        <v>65.0914411732505</v>
      </c>
      <c r="H50" s="33" t="n">
        <f aca="false">G50/'Control Panel'!$B$12-1</f>
        <v>-0.331366808697992</v>
      </c>
    </row>
    <row r="51" customFormat="false" ht="15" hidden="false" customHeight="false" outlineLevel="0" collapsed="false">
      <c r="A51" s="6" t="s">
        <v>79</v>
      </c>
      <c r="B51" s="33" t="n">
        <f aca="false">INDEX('Control Panel'!G$21:G$23,MATCH(A51,'Control Panel'!$A$21:$A$23,0))</f>
        <v>0.12</v>
      </c>
      <c r="C51" s="33" t="n">
        <f aca="false">INDEX('Control Panel'!G$26:G$28,MATCH(A51,'Control Panel'!$A$26:$A$28,0))</f>
        <v>0.31</v>
      </c>
      <c r="D51" s="33" t="n">
        <f aca="false">'Control Panel'!$B$78</f>
        <v>0.0862765</v>
      </c>
      <c r="E51" s="33" t="n">
        <f aca="false">'Control Panel'!$B$83</f>
        <v>0.03</v>
      </c>
      <c r="F51" s="43" t="n">
        <f aca="false">'Control Panel'!$B$84</f>
        <v>15</v>
      </c>
      <c r="G51" s="13" t="n">
        <f aca="false">'DCF Valuation'!$B$18*(1+(B51-B51)*2+(C51-C51)*3)</f>
        <v>112.469771690509</v>
      </c>
      <c r="H51" s="15" t="n">
        <f aca="false">G51/'Control Panel'!$B$12-1</f>
        <v>0.155313525326237</v>
      </c>
    </row>
    <row r="52" customFormat="false" ht="15" hidden="false" customHeight="false" outlineLevel="0" collapsed="false">
      <c r="A52" s="6" t="s">
        <v>96</v>
      </c>
      <c r="B52" s="33" t="n">
        <f aca="false">INDEX('Control Panel'!G$21:G$23,MATCH(A52,'Control Panel'!$A$21:$A$23,0))</f>
        <v>0.15</v>
      </c>
      <c r="C52" s="33" t="n">
        <f aca="false">INDEX('Control Panel'!G$26:G$28,MATCH(A52,'Control Panel'!$A$26:$A$28,0))</f>
        <v>0.36</v>
      </c>
      <c r="D52" s="33" t="n">
        <f aca="false">'Control Panel'!$B$78</f>
        <v>0.0862765</v>
      </c>
      <c r="E52" s="33" t="n">
        <f aca="false">'Control Panel'!$B$83</f>
        <v>0.03</v>
      </c>
      <c r="F52" s="43" t="n">
        <f aca="false">'Control Panel'!$B$84</f>
        <v>15</v>
      </c>
      <c r="G52" s="31" t="n">
        <f aca="false">N70</f>
        <v>147.699186990919</v>
      </c>
      <c r="H52" s="33" t="n">
        <f aca="false">G52/'Control Panel'!$B$12-1</f>
        <v>0.517197606480932</v>
      </c>
    </row>
    <row r="55" customFormat="false" ht="15" hidden="true" customHeight="false" outlineLevel="0" collapsed="false"/>
    <row r="56" customFormat="false" ht="57.45" hidden="true" customHeight="false" outlineLevel="0" collapsed="false">
      <c r="B56" s="31" t="n">
        <f aca="false">'Historical Financials'!$D$6*(1+'Control Panel'!B$22)</f>
        <v>16209.7824</v>
      </c>
      <c r="C56" s="31" t="n">
        <f aca="false">B56*(1+'Control Panel'!C$22)</f>
        <v>18965.445408</v>
      </c>
      <c r="D56" s="31" t="n">
        <f aca="false">C56*(1+'Control Panel'!D$22)</f>
        <v>21620.60776512</v>
      </c>
      <c r="E56" s="31" t="n">
        <f aca="false">D56*(1+'Control Panel'!E$22)</f>
        <v>23998.8746192832</v>
      </c>
      <c r="F56" s="31" t="n">
        <f aca="false">E56*(1+'Control Panel'!F$22)</f>
        <v>25918.7845888259</v>
      </c>
      <c r="G56" s="31" t="n">
        <f aca="false">F56*(1+'Control Panel'!G$22)</f>
        <v>27473.9116641554</v>
      </c>
      <c r="I56" s="31" t="n">
        <f aca="false">'Historical Financials'!$D$6*(1+'Control Panel'!B$23)</f>
        <v>16209.7824</v>
      </c>
      <c r="J56" s="31" t="n">
        <f aca="false">I56*(1+'Control Panel'!C$23)</f>
        <v>19775.934528</v>
      </c>
      <c r="K56" s="31" t="n">
        <f aca="false">J56*(1+'Control Panel'!D$23)</f>
        <v>23928.88077888</v>
      </c>
      <c r="L56" s="31" t="n">
        <f aca="false">K56*(1+'Control Panel'!E$23)</f>
        <v>28475.3681268672</v>
      </c>
      <c r="M56" s="31" t="n">
        <f aca="false">L56*(1+'Control Panel'!F$23)</f>
        <v>33316.1807084346</v>
      </c>
      <c r="N56" s="31" t="n">
        <f aca="false">M56*(1+'Control Panel'!G$23)</f>
        <v>38313.6078146998</v>
      </c>
    </row>
    <row r="57" customFormat="false" ht="46.25" hidden="true" customHeight="false" outlineLevel="0" collapsed="false">
      <c r="B57" s="31" t="n">
        <f aca="false">B56*'Control Panel'!B$32</f>
        <v>2674.614096</v>
      </c>
      <c r="C57" s="31" t="n">
        <f aca="false">C56*'Control Panel'!C$32</f>
        <v>3034.47126528</v>
      </c>
      <c r="D57" s="31" t="n">
        <f aca="false">D56*'Control Panel'!D$32</f>
        <v>3675.5033200704</v>
      </c>
      <c r="E57" s="31" t="n">
        <f aca="false">E56*'Control Panel'!E$32</f>
        <v>4319.79743147098</v>
      </c>
      <c r="F57" s="31" t="n">
        <f aca="false">F56*'Control Panel'!F$32</f>
        <v>4924.56907187691</v>
      </c>
      <c r="G57" s="31" t="n">
        <f aca="false">G56*'Control Panel'!G$32</f>
        <v>5494.78233283108</v>
      </c>
      <c r="I57" s="31" t="n">
        <f aca="false">I56*'Control Panel'!B$33</f>
        <v>2674.614096</v>
      </c>
      <c r="J57" s="31" t="n">
        <f aca="false">J56*'Control Panel'!C$33</f>
        <v>3955.1869056</v>
      </c>
      <c r="K57" s="31" t="n">
        <f aca="false">K56*'Control Panel'!D$33</f>
        <v>5503.6425791424</v>
      </c>
      <c r="L57" s="31" t="n">
        <f aca="false">L56*'Control Panel'!E$33</f>
        <v>7403.59571298547</v>
      </c>
      <c r="M57" s="31" t="n">
        <f aca="false">M56*'Control Panel'!F$33</f>
        <v>9661.69240544604</v>
      </c>
      <c r="N57" s="31" t="n">
        <f aca="false">N56*'Control Panel'!G$33</f>
        <v>11877.2184225569</v>
      </c>
    </row>
    <row r="58" customFormat="false" ht="35.05" hidden="true" customHeight="false" outlineLevel="0" collapsed="false">
      <c r="B58" s="31" t="n">
        <f aca="false">B57*'Control Panel'!B$57</f>
        <v>561.66896016</v>
      </c>
      <c r="C58" s="31" t="n">
        <f aca="false">C57*'Control Panel'!C$57</f>
        <v>637.2389657088</v>
      </c>
      <c r="D58" s="31" t="n">
        <f aca="false">D57*'Control Panel'!D$57</f>
        <v>771.855697214784</v>
      </c>
      <c r="E58" s="31" t="n">
        <f aca="false">E57*'Control Panel'!E$57</f>
        <v>907.157460608905</v>
      </c>
      <c r="F58" s="31" t="n">
        <f aca="false">F57*'Control Panel'!F$57</f>
        <v>1034.15950509415</v>
      </c>
      <c r="G58" s="31" t="n">
        <f aca="false">G57*'Control Panel'!G$57</f>
        <v>1153.90428989453</v>
      </c>
      <c r="I58" s="31" t="n">
        <f aca="false">I57*'Control Panel'!B$58</f>
        <v>561.66896016</v>
      </c>
      <c r="J58" s="31" t="n">
        <f aca="false">J57*'Control Panel'!C$58</f>
        <v>830.589250176</v>
      </c>
      <c r="K58" s="31" t="n">
        <f aca="false">K57*'Control Panel'!D$58</f>
        <v>1155.7649416199</v>
      </c>
      <c r="L58" s="31" t="n">
        <f aca="false">L57*'Control Panel'!E$58</f>
        <v>1554.75509972695</v>
      </c>
      <c r="M58" s="31" t="n">
        <f aca="false">M57*'Control Panel'!F$58</f>
        <v>2028.95540514367</v>
      </c>
      <c r="N58" s="31" t="n">
        <f aca="false">N57*'Control Panel'!G$58</f>
        <v>2494.21586873696</v>
      </c>
    </row>
    <row r="59" customFormat="false" ht="35.05" hidden="true" customHeight="false" outlineLevel="0" collapsed="false">
      <c r="B59" s="31" t="n">
        <f aca="false">B56*'Control Panel'!B$37</f>
        <v>810.48912</v>
      </c>
      <c r="C59" s="31" t="n">
        <f aca="false">C56*'Control Panel'!C$37</f>
        <v>948.2722704</v>
      </c>
      <c r="D59" s="31" t="n">
        <f aca="false">D56*'Control Panel'!D$37</f>
        <v>1081.030388256</v>
      </c>
      <c r="E59" s="31" t="n">
        <f aca="false">E56*'Control Panel'!E$37</f>
        <v>1199.94373096416</v>
      </c>
      <c r="F59" s="31" t="n">
        <f aca="false">F56*'Control Panel'!F$37</f>
        <v>1295.93922944129</v>
      </c>
      <c r="G59" s="31" t="n">
        <f aca="false">G56*'Control Panel'!G$37</f>
        <v>1373.69558320777</v>
      </c>
      <c r="I59" s="31" t="n">
        <f aca="false">I56*'Control Panel'!B$38</f>
        <v>810.48912</v>
      </c>
      <c r="J59" s="31" t="n">
        <f aca="false">J56*'Control Panel'!C$38</f>
        <v>988.7967264</v>
      </c>
      <c r="K59" s="31" t="n">
        <f aca="false">K56*'Control Panel'!D$38</f>
        <v>1196.444038944</v>
      </c>
      <c r="L59" s="31" t="n">
        <f aca="false">L56*'Control Panel'!E$38</f>
        <v>1423.76840634336</v>
      </c>
      <c r="M59" s="31" t="n">
        <f aca="false">M56*'Control Panel'!F$38</f>
        <v>1665.80903542173</v>
      </c>
      <c r="N59" s="31" t="n">
        <f aca="false">N56*'Control Panel'!G$38</f>
        <v>1915.68039073499</v>
      </c>
    </row>
    <row r="60" customFormat="false" ht="35.05" hidden="true" customHeight="false" outlineLevel="0" collapsed="false">
      <c r="B60" s="31" t="n">
        <f aca="false">B56*'Control Panel'!B$42</f>
        <v>972.586944</v>
      </c>
      <c r="C60" s="31" t="n">
        <f aca="false">C56*'Control Panel'!C$42</f>
        <v>1137.92672448</v>
      </c>
      <c r="D60" s="31" t="n">
        <f aca="false">D56*'Control Panel'!D$42</f>
        <v>1297.2364659072</v>
      </c>
      <c r="E60" s="31" t="n">
        <f aca="false">E56*'Control Panel'!E$42</f>
        <v>1439.93247715699</v>
      </c>
      <c r="F60" s="31" t="n">
        <f aca="false">F56*'Control Panel'!F$42</f>
        <v>1555.12707532955</v>
      </c>
      <c r="G60" s="31" t="n">
        <f aca="false">G56*'Control Panel'!G$42</f>
        <v>1648.43469984933</v>
      </c>
      <c r="I60" s="31" t="n">
        <f aca="false">I56*'Control Panel'!B$43</f>
        <v>972.586944</v>
      </c>
      <c r="J60" s="31" t="n">
        <f aca="false">J56*'Control Panel'!C$43</f>
        <v>1186.55607168</v>
      </c>
      <c r="K60" s="31" t="n">
        <f aca="false">K56*'Control Panel'!D$43</f>
        <v>1435.7328467328</v>
      </c>
      <c r="L60" s="31" t="n">
        <f aca="false">L56*'Control Panel'!E$43</f>
        <v>1708.52208761203</v>
      </c>
      <c r="M60" s="31" t="n">
        <f aca="false">M56*'Control Panel'!F$43</f>
        <v>1998.97084250608</v>
      </c>
      <c r="N60" s="31" t="n">
        <f aca="false">N56*'Control Panel'!G$43</f>
        <v>2298.81646888199</v>
      </c>
    </row>
    <row r="61" customFormat="false" ht="57.45" hidden="true" customHeight="false" outlineLevel="0" collapsed="false">
      <c r="B61" s="31" t="n">
        <f aca="false">B56*'Control Panel'!B$47</f>
        <v>-6321.815136</v>
      </c>
      <c r="C61" s="31" t="n">
        <f aca="false">C56*'Control Panel'!C$47</f>
        <v>-6827.56034688</v>
      </c>
      <c r="D61" s="31" t="n">
        <f aca="false">D56*'Control Panel'!D$47</f>
        <v>-7783.4187954432</v>
      </c>
      <c r="E61" s="31" t="n">
        <f aca="false">E56*'Control Panel'!E$47</f>
        <v>-8639.59486294195</v>
      </c>
      <c r="F61" s="31" t="n">
        <f aca="false">F56*'Control Panel'!F$47</f>
        <v>-9330.76245197731</v>
      </c>
      <c r="G61" s="31" t="n">
        <f aca="false">G56*'Control Panel'!G$47</f>
        <v>-9890.60819909595</v>
      </c>
      <c r="I61" s="31" t="n">
        <f aca="false">I56*'Control Panel'!B$48</f>
        <v>-6321.815136</v>
      </c>
      <c r="J61" s="31" t="n">
        <f aca="false">J56*'Control Panel'!C$48</f>
        <v>-8305.89250176</v>
      </c>
      <c r="K61" s="31" t="n">
        <f aca="false">K56*'Control Panel'!D$48</f>
        <v>-10050.1299271296</v>
      </c>
      <c r="L61" s="31" t="n">
        <f aca="false">L56*'Control Panel'!E$48</f>
        <v>-11959.6546132842</v>
      </c>
      <c r="M61" s="31" t="n">
        <f aca="false">M56*'Control Panel'!F$48</f>
        <v>-13992.7958975425</v>
      </c>
      <c r="N61" s="31" t="n">
        <f aca="false">N56*'Control Panel'!G$48</f>
        <v>-16091.7152821739</v>
      </c>
    </row>
    <row r="62" customFormat="false" ht="57.45" hidden="true" customHeight="false" outlineLevel="0" collapsed="false">
      <c r="B62" s="31" t="n">
        <f aca="false">B61-'Historical Financials'!$D$18</f>
        <v>-1171.815136</v>
      </c>
      <c r="C62" s="31" t="n">
        <f aca="false">C61-B61</f>
        <v>-505.745210879999</v>
      </c>
      <c r="D62" s="31" t="n">
        <f aca="false">D61-C61</f>
        <v>-955.858448563201</v>
      </c>
      <c r="E62" s="31" t="n">
        <f aca="false">E61-D61</f>
        <v>-856.176067498752</v>
      </c>
      <c r="F62" s="31" t="n">
        <f aca="false">F61-E61</f>
        <v>-691.167589035358</v>
      </c>
      <c r="G62" s="31" t="n">
        <f aca="false">G61-F61</f>
        <v>-559.845747118639</v>
      </c>
      <c r="I62" s="31" t="n">
        <f aca="false">I61-'Historical Financials'!$D$18</f>
        <v>-1171.815136</v>
      </c>
      <c r="J62" s="31" t="n">
        <f aca="false">J61-I61</f>
        <v>-1984.07736576</v>
      </c>
      <c r="K62" s="31" t="n">
        <f aca="false">K61-J61</f>
        <v>-1744.2374253696</v>
      </c>
      <c r="L62" s="31" t="n">
        <f aca="false">L61-K61</f>
        <v>-1909.52468615462</v>
      </c>
      <c r="M62" s="31" t="n">
        <f aca="false">M61-L61</f>
        <v>-2033.14128425832</v>
      </c>
      <c r="N62" s="31" t="n">
        <f aca="false">N61-M61</f>
        <v>-2098.91938463138</v>
      </c>
    </row>
    <row r="63" customFormat="false" ht="46.25" hidden="true" customHeight="false" outlineLevel="0" collapsed="false">
      <c r="B63" s="31" t="n">
        <f aca="false">B57-B58+B59-B60-B62</f>
        <v>3122.66244784</v>
      </c>
      <c r="C63" s="31" t="n">
        <f aca="false">C57-C58+C59-C60-C62</f>
        <v>2713.3230563712</v>
      </c>
      <c r="D63" s="31" t="n">
        <f aca="false">D57-D58+D59-D60-D62</f>
        <v>3643.29999376762</v>
      </c>
      <c r="E63" s="31" t="n">
        <f aca="false">E57-E58+E59-E60-E62</f>
        <v>4028.82729216799</v>
      </c>
      <c r="F63" s="31" t="n">
        <f aca="false">F57-F58+F59-F60-F62</f>
        <v>4322.38930992986</v>
      </c>
      <c r="G63" s="31" t="n">
        <f aca="false">G57-G58+G59-G60-G62</f>
        <v>4625.98467341364</v>
      </c>
      <c r="I63" s="31" t="n">
        <f aca="false">I57-I58+I59-I60-I62</f>
        <v>3122.66244784</v>
      </c>
      <c r="J63" s="31" t="n">
        <f aca="false">J57-J58+J59-J60-J62</f>
        <v>4910.915675904</v>
      </c>
      <c r="K63" s="31" t="n">
        <f aca="false">K57-K58+K59-K60-K62</f>
        <v>5852.8262551033</v>
      </c>
      <c r="L63" s="31" t="n">
        <f aca="false">L57-L58+L59-L60-L62</f>
        <v>7473.61161814448</v>
      </c>
      <c r="M63" s="31" t="n">
        <f aca="false">M57-M58+M59-M60-M62</f>
        <v>9332.71647747634</v>
      </c>
      <c r="N63" s="31" t="n">
        <f aca="false">N57-N58+N59-N60-N62</f>
        <v>11098.7858603044</v>
      </c>
    </row>
    <row r="64" customFormat="false" ht="35.05" hidden="true" customHeight="false" outlineLevel="0" collapsed="false">
      <c r="B64" s="33" t="n">
        <f aca="false">1/(1+'Control Panel'!$B$78)^1</f>
        <v>0.920575930713773</v>
      </c>
      <c r="C64" s="33" t="n">
        <f aca="false">1/(1+'Control Panel'!$B$78)^2</f>
        <v>0.84746004420953</v>
      </c>
      <c r="D64" s="33" t="n">
        <f aca="false">1/(1+'Control Panel'!$B$78)^3</f>
        <v>0.780151318940923</v>
      </c>
      <c r="E64" s="33" t="n">
        <f aca="false">1/(1+'Control Panel'!$B$78)^4</f>
        <v>0.718188526531618</v>
      </c>
      <c r="F64" s="33" t="n">
        <f aca="false">1/(1+'Control Panel'!$B$78)^5</f>
        <v>0.661147071239797</v>
      </c>
      <c r="G64" s="33" t="n">
        <f aca="false">1/(1+'Control Panel'!$B$78)^6</f>
        <v>0.608636080445262</v>
      </c>
      <c r="I64" s="33" t="n">
        <f aca="false">1/(1+'Control Panel'!$B$78)^1</f>
        <v>0.920575930713773</v>
      </c>
      <c r="J64" s="33" t="n">
        <f aca="false">1/(1+'Control Panel'!$B$78)^2</f>
        <v>0.84746004420953</v>
      </c>
      <c r="K64" s="33" t="n">
        <f aca="false">1/(1+'Control Panel'!$B$78)^3</f>
        <v>0.780151318940923</v>
      </c>
      <c r="L64" s="33" t="n">
        <f aca="false">1/(1+'Control Panel'!$B$78)^4</f>
        <v>0.718188526531618</v>
      </c>
      <c r="M64" s="33" t="n">
        <f aca="false">1/(1+'Control Panel'!$B$78)^5</f>
        <v>0.661147071239797</v>
      </c>
      <c r="N64" s="33" t="n">
        <f aca="false">1/(1+'Control Panel'!$B$78)^6</f>
        <v>0.608636080445262</v>
      </c>
    </row>
    <row r="65" customFormat="false" ht="46.25" hidden="true" customHeight="false" outlineLevel="0" collapsed="false">
      <c r="B65" s="31" t="n">
        <f aca="false">B63*B64</f>
        <v>2874.64788922526</v>
      </c>
      <c r="C65" s="31" t="n">
        <f aca="false">C63*C64</f>
        <v>2299.43287730707</v>
      </c>
      <c r="D65" s="31" t="n">
        <f aca="false">D63*D64</f>
        <v>2842.32529543526</v>
      </c>
      <c r="E65" s="31" t="n">
        <f aca="false">E63*E64</f>
        <v>2893.4575366125</v>
      </c>
      <c r="F65" s="31" t="n">
        <f aca="false">F63*F64</f>
        <v>2857.73503301834</v>
      </c>
      <c r="G65" s="31" t="n">
        <f aca="false">G63*G64</f>
        <v>2815.54117982633</v>
      </c>
      <c r="I65" s="31" t="n">
        <f aca="false">I63*I64</f>
        <v>2874.64788922526</v>
      </c>
      <c r="J65" s="31" t="n">
        <f aca="false">J63*J64</f>
        <v>4161.80481581088</v>
      </c>
      <c r="K65" s="31" t="n">
        <f aca="false">K63*K64</f>
        <v>4566.0901224509</v>
      </c>
      <c r="L65" s="31" t="n">
        <f aca="false">L63*L64</f>
        <v>5367.46211590476</v>
      </c>
      <c r="M65" s="31" t="n">
        <f aca="false">M63*M64</f>
        <v>6170.29816579488</v>
      </c>
      <c r="N65" s="31" t="n">
        <f aca="false">N63*N64</f>
        <v>6755.12152371694</v>
      </c>
    </row>
    <row r="66" customFormat="false" ht="23.85" hidden="true" customHeight="false" outlineLevel="0" collapsed="false">
      <c r="G66" s="31" t="n">
        <f aca="false">G63*(1+'Control Panel'!$B$83)/('Control Panel'!$B$78-'Control Panel'!$B$83)</f>
        <v>84667.0317737608</v>
      </c>
      <c r="N66" s="31" t="n">
        <f aca="false">N63*(1+'Control Panel'!$B$83)/('Control Panel'!$B$78-'Control Panel'!$B$83)</f>
        <v>203135.401741642</v>
      </c>
    </row>
    <row r="67" customFormat="false" ht="23.85" hidden="true" customHeight="false" outlineLevel="0" collapsed="false">
      <c r="G67" s="31" t="n">
        <f aca="false">G66*G64</f>
        <v>51531.4103617162</v>
      </c>
      <c r="N67" s="31" t="n">
        <f aca="false">N66*N64</f>
        <v>123635.534715706</v>
      </c>
    </row>
    <row r="68" customFormat="false" ht="23.85" hidden="true" customHeight="false" outlineLevel="0" collapsed="false">
      <c r="G68" s="31" t="n">
        <f aca="false">SUM(B65:G65)+G67</f>
        <v>68114.550173141</v>
      </c>
      <c r="N68" s="31" t="n">
        <f aca="false">SUM(I65:N65)+N67</f>
        <v>153530.95934861</v>
      </c>
    </row>
    <row r="69" customFormat="false" ht="23.85" hidden="true" customHeight="false" outlineLevel="0" collapsed="false">
      <c r="G69" s="31" t="n">
        <f aca="false">G68-'Control Panel'!$B$85</f>
        <v>67304.550173141</v>
      </c>
      <c r="N69" s="31" t="n">
        <f aca="false">N68-'Control Panel'!$B$85</f>
        <v>152720.95934861</v>
      </c>
    </row>
    <row r="70" customFormat="false" ht="15" hidden="true" customHeight="false" outlineLevel="0" collapsed="false">
      <c r="G70" s="31" t="n">
        <f aca="false">G69/'Control Panel'!$B$86</f>
        <v>65.0914411732505</v>
      </c>
      <c r="N70" s="31" t="n">
        <f aca="false">N69/'Control Panel'!$B$86</f>
        <v>147.699186990919</v>
      </c>
    </row>
  </sheetData>
  <mergeCells count="7">
    <mergeCell ref="A1:L1"/>
    <mergeCell ref="A3:H3"/>
    <mergeCell ref="A12:H12"/>
    <mergeCell ref="A21:H21"/>
    <mergeCell ref="A30:H30"/>
    <mergeCell ref="A39:H39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46"/>
    <col collapsed="false" customWidth="true" hidden="false" outlineLevel="0" max="6" min="5" style="1" width="18"/>
  </cols>
  <sheetData>
    <row r="1" customFormat="false" ht="24" hidden="false" customHeight="true" outlineLevel="0" collapsed="false">
      <c r="A1" s="2" t="s">
        <v>258</v>
      </c>
      <c r="B1" s="2"/>
      <c r="C1" s="2"/>
      <c r="D1" s="2"/>
      <c r="E1" s="2"/>
      <c r="F1" s="2"/>
    </row>
    <row r="4" customFormat="false" ht="15" hidden="false" customHeight="false" outlineLevel="0" collapsed="false">
      <c r="A4" s="22" t="s">
        <v>259</v>
      </c>
      <c r="B4" s="22" t="s">
        <v>260</v>
      </c>
      <c r="C4" s="22" t="s">
        <v>261</v>
      </c>
      <c r="D4" s="22" t="s">
        <v>134</v>
      </c>
      <c r="E4" s="22" t="s">
        <v>262</v>
      </c>
      <c r="F4" s="22" t="s">
        <v>263</v>
      </c>
    </row>
    <row r="5" customFormat="false" ht="15" hidden="false" customHeight="false" outlineLevel="0" collapsed="false">
      <c r="A5" s="4" t="s">
        <v>264</v>
      </c>
      <c r="B5" s="52" t="n">
        <f aca="false">ABS('Revenue Build'!J$14-'Margin Cost Build'!J$8)</f>
        <v>0</v>
      </c>
      <c r="C5" s="46" t="str">
        <f aca="false">IF(B5&lt;0.1,"OK","FAIL")</f>
        <v>OK</v>
      </c>
      <c r="D5" s="11" t="s">
        <v>265</v>
      </c>
      <c r="E5" s="17" t="s">
        <v>266</v>
      </c>
      <c r="F5" s="11" t="s">
        <v>267</v>
      </c>
    </row>
    <row r="6" customFormat="false" ht="15" hidden="false" customHeight="false" outlineLevel="0" collapsed="false">
      <c r="A6" s="4" t="s">
        <v>268</v>
      </c>
      <c r="B6" s="52" t="n">
        <f aca="false">ABS('Margin Cost Build'!J$12-('Margin Cost Build'!J$8*'Margin Cost Build'!J$11))</f>
        <v>0</v>
      </c>
      <c r="C6" s="46" t="str">
        <f aca="false">IF(B6&lt;0.1,"OK","FAIL")</f>
        <v>OK</v>
      </c>
      <c r="D6" s="11" t="s">
        <v>269</v>
      </c>
      <c r="E6" s="17" t="s">
        <v>266</v>
      </c>
      <c r="F6" s="11" t="s">
        <v>267</v>
      </c>
    </row>
    <row r="7" customFormat="false" ht="15" hidden="false" customHeight="false" outlineLevel="0" collapsed="false">
      <c r="A7" s="4" t="s">
        <v>270</v>
      </c>
      <c r="B7" s="52" t="n">
        <f aca="false">ABS('Margin Cost Build'!J$13-'Capex D&amp;A'!J$12)</f>
        <v>0</v>
      </c>
      <c r="C7" s="46" t="str">
        <f aca="false">IF(B7&lt;0.1,"OK","FAIL")</f>
        <v>OK</v>
      </c>
      <c r="D7" s="11" t="s">
        <v>270</v>
      </c>
      <c r="E7" s="17" t="s">
        <v>266</v>
      </c>
      <c r="F7" s="11" t="s">
        <v>267</v>
      </c>
    </row>
    <row r="8" customFormat="false" ht="15" hidden="false" customHeight="false" outlineLevel="0" collapsed="false">
      <c r="A8" s="4" t="s">
        <v>271</v>
      </c>
      <c r="B8" s="52" t="n">
        <f aca="false">ABS('Unlevered FCF'!J$13-'Working Capital'!J$17)</f>
        <v>0</v>
      </c>
      <c r="C8" s="46" t="str">
        <f aca="false">IF(B8&lt;0.1,"OK","FAIL")</f>
        <v>OK</v>
      </c>
      <c r="D8" s="11" t="s">
        <v>272</v>
      </c>
      <c r="E8" s="17" t="s">
        <v>266</v>
      </c>
      <c r="F8" s="11" t="s">
        <v>267</v>
      </c>
    </row>
    <row r="9" customFormat="false" ht="15" hidden="false" customHeight="false" outlineLevel="0" collapsed="false">
      <c r="A9" s="4" t="s">
        <v>273</v>
      </c>
      <c r="B9" s="52" t="n">
        <f aca="false">ABS('Unlevered FCF'!J$14-('Unlevered FCF'!J$10+'Unlevered FCF'!J$11-'Unlevered FCF'!J$12-'Unlevered FCF'!J$13))</f>
        <v>0</v>
      </c>
      <c r="C9" s="46" t="str">
        <f aca="false">IF(B9&lt;0.1,"OK","FAIL")</f>
        <v>OK</v>
      </c>
      <c r="D9" s="11" t="s">
        <v>274</v>
      </c>
      <c r="E9" s="17" t="s">
        <v>266</v>
      </c>
      <c r="F9" s="11" t="s">
        <v>267</v>
      </c>
    </row>
    <row r="10" customFormat="false" ht="15" hidden="false" customHeight="false" outlineLevel="0" collapsed="false">
      <c r="A10" s="4" t="s">
        <v>275</v>
      </c>
      <c r="B10" s="52" t="n">
        <f aca="false">MIN('Unlevered FCF'!E$16:J$16)</f>
        <v>0.608636080445262</v>
      </c>
      <c r="C10" s="46" t="str">
        <f aca="false">IF(B10&gt;0,"OK","FAIL")</f>
        <v>OK</v>
      </c>
      <c r="D10" s="11" t="s">
        <v>276</v>
      </c>
      <c r="E10" s="17" t="s">
        <v>266</v>
      </c>
      <c r="F10" s="11" t="s">
        <v>267</v>
      </c>
    </row>
    <row r="11" customFormat="false" ht="15" hidden="false" customHeight="false" outlineLevel="0" collapsed="false">
      <c r="A11" s="4" t="s">
        <v>277</v>
      </c>
      <c r="B11" s="34" t="n">
        <f aca="false">'Terminal Value'!B$12</f>
        <v>152744.625858905</v>
      </c>
      <c r="C11" s="46" t="str">
        <f aca="false">IF(B11&gt;0,"OK","FAIL")</f>
        <v>OK</v>
      </c>
      <c r="D11" s="11" t="s">
        <v>278</v>
      </c>
      <c r="E11" s="17" t="s">
        <v>266</v>
      </c>
      <c r="F11" s="11" t="s">
        <v>267</v>
      </c>
    </row>
    <row r="12" customFormat="false" ht="23.85" hidden="false" customHeight="false" outlineLevel="0" collapsed="false">
      <c r="A12" s="4" t="s">
        <v>279</v>
      </c>
      <c r="B12" s="52" t="n">
        <f aca="false">ABS('DCF Valuation'!B$6-('DCF Valuation'!B$4+'DCF Valuation'!B$5))</f>
        <v>0</v>
      </c>
      <c r="C12" s="46" t="str">
        <f aca="false">IF(B12&lt;0.1,"OK","FAIL")</f>
        <v>OK</v>
      </c>
      <c r="D12" s="11" t="s">
        <v>280</v>
      </c>
      <c r="E12" s="17" t="s">
        <v>266</v>
      </c>
      <c r="F12" s="11" t="s">
        <v>267</v>
      </c>
    </row>
    <row r="13" customFormat="false" ht="15" hidden="false" customHeight="false" outlineLevel="0" collapsed="false">
      <c r="A13" s="4" t="s">
        <v>281</v>
      </c>
      <c r="B13" s="52" t="n">
        <f aca="false">ABS('DCF Valuation'!B$16-('DCF Valuation'!B$6-'DCF Valuation'!B$11-'DCF Valuation'!B$12-'DCF Valuation'!B$13+'DCF Valuation'!B$14+'DCF Valuation'!B$15))</f>
        <v>0</v>
      </c>
      <c r="C13" s="46" t="str">
        <f aca="false">IF(B13&lt;0.1,"OK","FAIL")</f>
        <v>OK</v>
      </c>
      <c r="D13" s="11" t="s">
        <v>282</v>
      </c>
      <c r="E13" s="17" t="s">
        <v>266</v>
      </c>
      <c r="F13" s="11" t="s">
        <v>267</v>
      </c>
    </row>
    <row r="14" customFormat="false" ht="15" hidden="false" customHeight="false" outlineLevel="0" collapsed="false">
      <c r="A14" s="4" t="s">
        <v>283</v>
      </c>
      <c r="B14" s="52" t="n">
        <f aca="false">ABS('DCF Valuation'!B$18-'DCF Valuation'!B$16/'DCF Valuation'!B$17)</f>
        <v>0</v>
      </c>
      <c r="C14" s="46" t="str">
        <f aca="false">IF(B14&lt;0.01,"OK","FAIL")</f>
        <v>OK</v>
      </c>
      <c r="D14" s="11" t="s">
        <v>284</v>
      </c>
      <c r="E14" s="17" t="s">
        <v>266</v>
      </c>
      <c r="F14" s="11" t="s">
        <v>267</v>
      </c>
    </row>
    <row r="15" customFormat="false" ht="15" hidden="false" customHeight="false" outlineLevel="0" collapsed="false">
      <c r="A15" s="4" t="s">
        <v>285</v>
      </c>
      <c r="B15" s="52" t="str">
        <f aca="false">'Control Panel'!$B$10</f>
        <v>Base</v>
      </c>
      <c r="C15" s="46" t="str">
        <f aca="false">IF(OR(B15="Base",B15="Downside",B15="Upside"),"OK","FAIL")</f>
        <v>OK</v>
      </c>
      <c r="D15" s="11" t="s">
        <v>286</v>
      </c>
      <c r="E15" s="17" t="s">
        <v>266</v>
      </c>
      <c r="F15" s="11" t="s">
        <v>267</v>
      </c>
    </row>
    <row r="16" customFormat="false" ht="15" hidden="false" customHeight="false" outlineLevel="0" collapsed="false">
      <c r="A16" s="4" t="s">
        <v>121</v>
      </c>
      <c r="B16" s="52" t="str">
        <f aca="false">'Control Panel'!$B$79</f>
        <v>No external links</v>
      </c>
      <c r="C16" s="46" t="str">
        <f aca="false">IF(B16="No external links","OK","FAIL")</f>
        <v>OK</v>
      </c>
      <c r="D16" s="11" t="s">
        <v>287</v>
      </c>
      <c r="E16" s="17" t="s">
        <v>266</v>
      </c>
      <c r="F16" s="11" t="s">
        <v>267</v>
      </c>
    </row>
    <row r="17" customFormat="false" ht="15" hidden="false" customHeight="false" outlineLevel="0" collapsed="false">
      <c r="A17" s="4" t="s">
        <v>288</v>
      </c>
      <c r="B17" s="52" t="n">
        <f aca="false">Sensitivities!B5-Sensitivities!H5</f>
        <v>40.8994457377435</v>
      </c>
      <c r="C17" s="46" t="str">
        <f aca="false">IF(B17&gt;0,"OK","FAIL")</f>
        <v>OK</v>
      </c>
      <c r="D17" s="11" t="s">
        <v>289</v>
      </c>
      <c r="E17" s="17" t="s">
        <v>290</v>
      </c>
      <c r="F17" s="11" t="s">
        <v>267</v>
      </c>
    </row>
    <row r="18" customFormat="false" ht="23.85" hidden="false" customHeight="false" outlineLevel="0" collapsed="false">
      <c r="A18" s="4" t="s">
        <v>291</v>
      </c>
      <c r="B18" s="52" t="n">
        <f aca="false">Sensitivities!B9-Sensitivities!B5</f>
        <v>46.8502257428153</v>
      </c>
      <c r="C18" s="46" t="str">
        <f aca="false">IF(B18&gt;0,"OK","FAIL")</f>
        <v>OK</v>
      </c>
      <c r="D18" s="11" t="s">
        <v>292</v>
      </c>
      <c r="E18" s="17" t="s">
        <v>290</v>
      </c>
      <c r="F18" s="11" t="s">
        <v>267</v>
      </c>
    </row>
    <row r="19" customFormat="false" ht="15" hidden="false" customHeight="false" outlineLevel="0" collapsed="false">
      <c r="A19" s="4" t="s">
        <v>293</v>
      </c>
      <c r="B19" s="53" t="n">
        <f aca="false">'Control Panel'!$B$86</f>
        <v>1034</v>
      </c>
      <c r="C19" s="46" t="str">
        <f aca="false">IF(B19&gt;0,"OK","FAIL")</f>
        <v>OK</v>
      </c>
      <c r="D19" s="11" t="s">
        <v>294</v>
      </c>
      <c r="E19" s="17" t="s">
        <v>266</v>
      </c>
      <c r="F19" s="11" t="s">
        <v>267</v>
      </c>
    </row>
    <row r="20" customFormat="false" ht="15" hidden="false" customHeight="false" outlineLevel="0" collapsed="false">
      <c r="A20" s="4" t="s">
        <v>295</v>
      </c>
      <c r="B20" s="54" t="n">
        <f aca="false">'Control Panel'!$B$78-'Control Panel'!$B$83</f>
        <v>0.0562765</v>
      </c>
      <c r="C20" s="46" t="str">
        <f aca="false">IF(B20&gt;0,"OK","FAIL")</f>
        <v>OK</v>
      </c>
      <c r="D20" s="11" t="s">
        <v>296</v>
      </c>
      <c r="E20" s="17" t="s">
        <v>266</v>
      </c>
      <c r="F20" s="11" t="s">
        <v>267</v>
      </c>
    </row>
    <row r="21" customFormat="false" ht="23.85" hidden="false" customHeight="false" outlineLevel="0" collapsed="false">
      <c r="A21" s="4" t="s">
        <v>297</v>
      </c>
      <c r="B21" s="52" t="n">
        <f aca="false">IF(COUNT('Capex D&amp;A'!E13:J13)=0,"Not modeled",MIN('Capex D&amp;A'!E13:J13))</f>
        <v>2451.097824</v>
      </c>
      <c r="C21" s="46" t="str">
        <f aca="false">IF(B21="Not modeled","OPEN",IF(B21&gt;=0,"OK","FAIL"))</f>
        <v>OK</v>
      </c>
      <c r="D21" s="11" t="s">
        <v>298</v>
      </c>
      <c r="E21" s="17" t="s">
        <v>299</v>
      </c>
      <c r="F21" s="11" t="s">
        <v>267</v>
      </c>
    </row>
    <row r="22" customFormat="false" ht="15" hidden="false" customHeight="false" outlineLevel="0" collapsed="false">
      <c r="A22" s="4" t="s">
        <v>300</v>
      </c>
      <c r="B22" s="52" t="n">
        <f aca="false">COUNTA('Source Notes'!C6:C13)</f>
        <v>7</v>
      </c>
      <c r="C22" s="46" t="str">
        <f aca="false">IF(B22&gt;=5,"OK","FAIL")</f>
        <v>OK</v>
      </c>
      <c r="D22" s="11" t="s">
        <v>301</v>
      </c>
      <c r="E22" s="17" t="s">
        <v>266</v>
      </c>
      <c r="F22" s="11" t="s">
        <v>267</v>
      </c>
    </row>
  </sheetData>
  <mergeCells count="1">
    <mergeCell ref="A1:F1"/>
  </mergeCells>
  <conditionalFormatting sqref="C5:C2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"WARN"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4" min="3" style="1" width="20"/>
    <col collapsed="false" customWidth="true" hidden="false" outlineLevel="0" max="5" min="5" style="1" width="24"/>
    <col collapsed="false" customWidth="true" hidden="false" outlineLevel="0" max="6" min="6" style="1" width="44"/>
    <col collapsed="false" customWidth="true" hidden="false" outlineLevel="0" max="7" min="7" style="1" width="20"/>
    <col collapsed="false" customWidth="true" hidden="false" outlineLevel="0" max="8" min="8" style="1" width="18"/>
  </cols>
  <sheetData>
    <row r="1" customFormat="false" ht="24" hidden="false" customHeight="true" outlineLevel="0" collapsed="false">
      <c r="A1" s="2" t="s">
        <v>302</v>
      </c>
      <c r="B1" s="2"/>
      <c r="C1" s="2"/>
      <c r="D1" s="2"/>
      <c r="E1" s="2"/>
      <c r="F1" s="2"/>
      <c r="G1" s="2"/>
      <c r="H1" s="2"/>
    </row>
    <row r="4" customFormat="false" ht="15" hidden="false" customHeight="false" outlineLevel="0" collapsed="false">
      <c r="A4" s="22" t="s">
        <v>303</v>
      </c>
      <c r="B4" s="22" t="s">
        <v>304</v>
      </c>
      <c r="C4" s="22" t="s">
        <v>305</v>
      </c>
      <c r="D4" s="22" t="s">
        <v>306</v>
      </c>
      <c r="E4" s="22" t="s">
        <v>307</v>
      </c>
      <c r="F4" s="22" t="s">
        <v>308</v>
      </c>
      <c r="G4" s="22" t="s">
        <v>263</v>
      </c>
      <c r="H4" s="22" t="s">
        <v>261</v>
      </c>
    </row>
    <row r="5" customFormat="false" ht="68.65" hidden="false" customHeight="false" outlineLevel="0" collapsed="false">
      <c r="A5" s="6" t="s">
        <v>309</v>
      </c>
      <c r="B5" s="6" t="s">
        <v>310</v>
      </c>
      <c r="C5" s="6" t="s">
        <v>136</v>
      </c>
      <c r="D5" s="6" t="s">
        <v>311</v>
      </c>
      <c r="E5" s="6" t="s">
        <v>312</v>
      </c>
      <c r="F5" s="6" t="s">
        <v>313</v>
      </c>
      <c r="G5" s="6" t="s">
        <v>267</v>
      </c>
      <c r="H5" s="5" t="s">
        <v>314</v>
      </c>
    </row>
    <row r="6" customFormat="false" ht="91" hidden="false" customHeight="false" outlineLevel="0" collapsed="false">
      <c r="A6" s="6" t="s">
        <v>315</v>
      </c>
      <c r="B6" s="6" t="s">
        <v>316</v>
      </c>
      <c r="C6" s="6" t="s">
        <v>317</v>
      </c>
      <c r="D6" s="6" t="s">
        <v>6</v>
      </c>
      <c r="E6" s="6" t="s">
        <v>318</v>
      </c>
      <c r="F6" s="6" t="s">
        <v>319</v>
      </c>
      <c r="G6" s="6" t="s">
        <v>267</v>
      </c>
      <c r="H6" s="5" t="s">
        <v>320</v>
      </c>
    </row>
    <row r="7" customFormat="false" ht="79.85" hidden="false" customHeight="false" outlineLevel="0" collapsed="false">
      <c r="A7" s="6" t="s">
        <v>321</v>
      </c>
      <c r="B7" s="6" t="s">
        <v>322</v>
      </c>
      <c r="C7" s="6" t="s">
        <v>136</v>
      </c>
      <c r="D7" s="6" t="s">
        <v>6</v>
      </c>
      <c r="E7" s="6" t="s">
        <v>318</v>
      </c>
      <c r="F7" s="6" t="s">
        <v>323</v>
      </c>
      <c r="G7" s="6" t="s">
        <v>267</v>
      </c>
      <c r="H7" s="5" t="s">
        <v>314</v>
      </c>
    </row>
    <row r="8" customFormat="false" ht="46.25" hidden="false" customHeight="false" outlineLevel="0" collapsed="false">
      <c r="A8" s="6" t="s">
        <v>324</v>
      </c>
      <c r="B8" s="6" t="s">
        <v>325</v>
      </c>
      <c r="C8" s="6" t="s">
        <v>317</v>
      </c>
      <c r="D8" s="6" t="s">
        <v>6</v>
      </c>
      <c r="E8" s="6" t="s">
        <v>318</v>
      </c>
      <c r="F8" s="6" t="s">
        <v>326</v>
      </c>
      <c r="G8" s="6" t="s">
        <v>267</v>
      </c>
      <c r="H8" s="5" t="s">
        <v>320</v>
      </c>
    </row>
    <row r="9" customFormat="false" ht="68.65" hidden="false" customHeight="false" outlineLevel="0" collapsed="false">
      <c r="A9" s="6" t="s">
        <v>124</v>
      </c>
      <c r="B9" s="6" t="s">
        <v>327</v>
      </c>
      <c r="C9" s="6" t="s">
        <v>328</v>
      </c>
      <c r="D9" s="6" t="s">
        <v>329</v>
      </c>
      <c r="E9" s="6" t="s">
        <v>312</v>
      </c>
      <c r="F9" s="6" t="s">
        <v>330</v>
      </c>
      <c r="G9" s="6" t="s">
        <v>267</v>
      </c>
      <c r="H9" s="5" t="s">
        <v>314</v>
      </c>
    </row>
    <row r="10" customFormat="false" ht="57.45" hidden="false" customHeight="false" outlineLevel="0" collapsed="false">
      <c r="A10" s="6" t="s">
        <v>125</v>
      </c>
      <c r="B10" s="6" t="s">
        <v>331</v>
      </c>
      <c r="C10" s="6" t="s">
        <v>328</v>
      </c>
      <c r="D10" s="6" t="s">
        <v>329</v>
      </c>
      <c r="E10" s="6" t="s">
        <v>312</v>
      </c>
      <c r="F10" s="6" t="s">
        <v>332</v>
      </c>
      <c r="G10" s="6" t="s">
        <v>267</v>
      </c>
      <c r="H10" s="5" t="s">
        <v>314</v>
      </c>
    </row>
    <row r="11" customFormat="false" ht="46.25" hidden="false" customHeight="false" outlineLevel="0" collapsed="false">
      <c r="A11" s="6" t="s">
        <v>49</v>
      </c>
      <c r="B11" s="6" t="s">
        <v>333</v>
      </c>
      <c r="C11" s="6" t="s">
        <v>334</v>
      </c>
      <c r="D11" s="6" t="s">
        <v>6</v>
      </c>
      <c r="E11" s="6" t="s">
        <v>318</v>
      </c>
      <c r="F11" s="6" t="s">
        <v>335</v>
      </c>
      <c r="G11" s="6" t="s">
        <v>267</v>
      </c>
      <c r="H11" s="5" t="s">
        <v>314</v>
      </c>
    </row>
    <row r="12" customFormat="false" ht="35.05" hidden="false" customHeight="false" outlineLevel="0" collapsed="false">
      <c r="A12" s="6" t="s">
        <v>336</v>
      </c>
      <c r="B12" s="6" t="s">
        <v>337</v>
      </c>
      <c r="C12" s="6" t="s">
        <v>136</v>
      </c>
      <c r="D12" s="6" t="s">
        <v>6</v>
      </c>
      <c r="E12" s="6" t="s">
        <v>318</v>
      </c>
      <c r="F12" s="6" t="s">
        <v>338</v>
      </c>
      <c r="G12" s="6" t="s">
        <v>267</v>
      </c>
      <c r="H12" s="5" t="s">
        <v>320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2026-05-12T03:59:24Z</dcterms:created>
  <dc:creator>openpyxl</dc:creator>
  <dc:description/>
  <dc:language>en-US</dc:language>
  <cp:lastModifiedBy/>
  <dcterms:modified xsi:type="dcterms:W3CDTF">2026-05-12T03:59:24Z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