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1e2c59a4c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238ef429b274824"/>
    <x:sheet xmlns:r="http://schemas.openxmlformats.org/officeDocument/2006/relationships" name="Sources" sheetId="2" r:id="Rb93a7688a20d4016"/>
    <x:sheet xmlns:r="http://schemas.openxmlformats.org/officeDocument/2006/relationships" name="Assumptions" sheetId="3" r:id="R7f37025305ba4357"/>
    <x:sheet xmlns:r="http://schemas.openxmlformats.org/officeDocument/2006/relationships" name="Historicals" sheetId="4" r:id="R1895d0ba14494651"/>
    <x:sheet xmlns:r="http://schemas.openxmlformats.org/officeDocument/2006/relationships" name="Forecast" sheetId="5" r:id="R3a42b112d1e14647"/>
    <x:sheet xmlns:r="http://schemas.openxmlformats.org/officeDocument/2006/relationships" name="DCF" sheetId="6" r:id="R4d03c9dcd81445aa"/>
    <x:sheet xmlns:r="http://schemas.openxmlformats.org/officeDocument/2006/relationships" name="APV" sheetId="7" r:id="Rfad085b0b8994372"/>
    <x:sheet xmlns:r="http://schemas.openxmlformats.org/officeDocument/2006/relationships" name="Market Methods" sheetId="8" r:id="R4e58d533c6d1419d"/>
    <x:sheet xmlns:r="http://schemas.openxmlformats.org/officeDocument/2006/relationships" name="Valuation" sheetId="9" r:id="R06ce94a9c0224392"/>
    <x:sheet xmlns:r="http://schemas.openxmlformats.org/officeDocument/2006/relationships" name="Sensitivities" sheetId="10" r:id="Rc7ac676cd132450f"/>
    <x:sheet xmlns:r="http://schemas.openxmlformats.org/officeDocument/2006/relationships" name="Checks" sheetId="11" r:id="R4b205681531b4176"/>
  </x:sheets>
</x:workbook>
</file>

<file path=xl/comments1.xml><?xml version="1.0" encoding="utf-8"?>
<x:comments xmlns:x="http://schemas.openxmlformats.org/spreadsheetml/2006/main">
  <x:authors>
    <x:author>tc={478E57EB-364D-663B-5B32-25AA4562CACD}</x:author>
    <x:author>tc={31325C11-8AB4-245E-0BC1-268490928374}</x:author>
    <x:author>tc={B48BCB58-FD9A-A8B1-7335-ABA042DAE8D0}</x:author>
    <x:author>tc={985DED23-9FDE-5943-5F91-568AD75A42CA}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S5, StockAnalysis GRSD close on 27-Jul-2026.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S2, Q1 2026 interim financial statements; balance-sheet data are as of 31-Mar-2026.</x:t>
        </x:r>
      </x:text>
    </x:comment>
    <x:comment ref="B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S6, Federal Reserve H.15, 22-Jul-2026.</x:t>
        </x:r>
      </x:text>
    </x:comment>
    <x:comment ref="B1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S7, Damodaran July 2026 implied ERP update.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-mmm-yyyy"/>
    <x:numFmt numFmtId="201" formatCode="$0.00;[Red]($0.00);–"/>
    <x:numFmt numFmtId="202" formatCode="#,##0.0;[Red](#,##0.0);–"/>
    <x:numFmt numFmtId="203" formatCode="0.0%;[Red](0.0%);–"/>
    <x:numFmt numFmtId="204" formatCode="0.0x;[Red](0.0x);–"/>
    <x:numFmt numFmtId="205" formatCode="0.0"/>
  </x:numFmts>
  <x:fonts count="23">
    <x:font>
      <x:sz val="11"/>
      <x:name val="Carlito"/>
    </x:font>
    <x:font>
      <x:b/>
      <x:sz val="16"/>
      <x:color rgb="FFFFFFFF"/>
      <x:name val="Arial"/>
    </x:font>
    <x:font>
      <x:b/>
      <x:sz val="11"/>
      <x:color rgb="FF000000"/>
      <x:name val="Arial"/>
    </x:font>
    <x:font>
      <x:sz val="11"/>
      <x:color rgb="FF0000FF"/>
      <x:name val="Carlito"/>
    </x:font>
    <x:font>
      <x:i/>
      <x:sz val="9"/>
      <x:color rgb="FF595959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i/>
      <x:sz val="10"/>
      <x:color rgb="FF17365D"/>
      <x:name val="Carlito"/>
    </x:font>
    <x:font>
      <x:b/>
      <x:sz val="10"/>
      <x:color rgb="FF595959"/>
      <x:name val="Carlito"/>
    </x:font>
    <x:font>
      <x:b/>
      <x:sz val="19"/>
      <x:color rgb="FF17365D"/>
      <x:name val="Carlito"/>
    </x:font>
    <x:font>
      <x:b/>
      <x:sz val="8"/>
      <x:color rgb="FF595959"/>
      <x:name val="Carlito"/>
    </x:font>
    <x:font>
      <x:sz val="10"/>
      <x:color rgb="FF595959"/>
      <x:name val="Carlito"/>
    </x:font>
    <x:font>
      <x:i/>
      <x:sz val="9"/>
      <x:color rgb="FF17365D"/>
      <x:name val="Carlito"/>
    </x:font>
    <x:font>
      <x:sz val="11"/>
      <x:name val="Arial"/>
    </x:font>
    <x:font>
      <x:i/>
      <x:sz val="10"/>
      <x:color rgb="FF17365D"/>
      <x:name val="Arial"/>
    </x:font>
    <x:font>
      <x:b/>
      <x:sz val="10"/>
      <x:color rgb="FF595959"/>
      <x:name val="Arial"/>
    </x:font>
    <x:font>
      <x:b/>
      <x:sz val="19"/>
      <x:color rgb="FF17365D"/>
      <x:name val="Arial"/>
    </x:font>
    <x:font>
      <x:b/>
      <x:sz val="8"/>
      <x:color rgb="FF595959"/>
      <x:name val="Arial"/>
    </x:font>
    <x:font>
      <x:sz val="10"/>
      <x:color rgb="FF595959"/>
      <x:name val="Arial"/>
    </x:font>
    <x:font>
      <x:i/>
      <x:sz val="9"/>
      <x:color rgb="FF17365D"/>
      <x:name val="Arial"/>
    </x:font>
    <x:font>
      <x:sz val="11"/>
      <x:color rgb="FF0000FF"/>
      <x:name val="Arial"/>
    </x:font>
    <x:font>
      <x:i/>
      <x:sz val="9"/>
      <x:color rgb="FF595959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4F6F8"/>
      </x:patternFill>
    </x:fill>
    <x:fill>
      <x:patternFill patternType="solid">
        <x:fgColor rgb="FFFCE4D6"/>
      </x:patternFill>
    </x:fill>
    <x:fill>
      <x:patternFill patternType="solid">
        <x:fgColor rgb="FFEEF5FA"/>
      </x:patternFill>
    </x:fill>
    <x:fill>
      <x:patternFill patternType="solid">
        <x:fgColor rgb="FFD9EAD3"/>
      </x:patternFill>
    </x:fill>
  </x:fills>
  <x:borders count="17">
    <x:border/>
    <x:border>
      <x:right style="thin">
        <x:color rgb="FFC7D7E5"/>
      </x:right>
      <x:bottom style="medium">
        <x:color rgb="FF9FBAD0"/>
      </x:bottom>
    </x:border>
    <x:border>
      <x:left style="thin">
        <x:color rgb="FFC7D7E5"/>
      </x:left>
      <x:right style="thin">
        <x:color rgb="FFC7D7E5"/>
      </x:right>
      <x:bottom style="medium">
        <x:color rgb="FF9FBAD0"/>
      </x:bottom>
    </x:border>
    <x:border>
      <x:left style="thin">
        <x:color rgb="FFC7D7E5"/>
      </x:left>
      <x:bottom style="medium">
        <x:color rgb="FF9FBAD0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top style="thin">
        <x:color rgb="FF000000"/>
      </x:top>
      <x:bottom style="double">
        <x:color rgb="FF000000"/>
      </x:bottom>
    </x:border>
    <x:border>
      <x:top style="thin">
        <x:color rgb="FF000000"/>
      </x:top>
    </x:border>
    <x:border>
      <x:bottom style="double">
        <x:color rgb="FF000000"/>
      </x:bottom>
    </x:border>
    <x:border>
      <x:bottom style="medium">
        <x:color rgb="FF1F4E78"/>
      </x:bottom>
    </x:border>
    <x:border>
      <x:left style="thin">
        <x:color rgb="FFD9E1E8"/>
      </x:left>
      <x:top style="thin">
        <x:color rgb="FFD9E1E8"/>
      </x:top>
    </x:border>
    <x:border>
      <x:top style="thin">
        <x:color rgb="FFD9E1E8"/>
      </x:top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</x:borders>
  <x:cellStyleXfs count="1">
    <x:xf numFmtId="0" fontId="0" fillId="0" borderId="0"/>
  </x:cellStyleXfs>
  <x:cellXfs count="1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4" fontId="0" fillId="4" borderId="0" xfId="0" applyNumberFormat="1" applyFont="1" applyFill="1" applyBorder="1"/>
    <x:xf numFmtId="203" fontId="0" fillId="4" borderId="0" xfId="0" applyNumberFormat="1" applyFont="1" applyFill="1" applyBorder="1"/>
    <x:xf numFmtId="204" fontId="3" fillId="4" borderId="0" xfId="0" applyNumberFormat="1" applyFont="1" applyFill="1" applyBorder="1"/>
    <x:xf numFmtId="203" fontId="3" fillId="4" borderId="0" xfId="0" applyNumberFormat="1" applyFont="1" applyFill="1" applyBorder="1"/>
    <x:xf numFmtId="204" fontId="3" fillId="4" borderId="4" xfId="0" applyNumberFormat="1" applyFont="1" applyFill="1" applyBorder="1"/>
    <x:xf numFmtId="203" fontId="3" fillId="4" borderId="4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5" xfId="0" applyNumberFormat="1" applyFont="1" applyFill="1" applyBorder="1"/>
    <x:xf numFmtId="202" fontId="5" fillId="0" borderId="5" xfId="0" applyNumberFormat="1" applyFont="1" applyFill="1" applyBorder="1"/>
    <x:xf numFmtId="202" fontId="0" fillId="4" borderId="0" xfId="0" applyNumberFormat="1" applyFont="1" applyFill="1" applyBorder="1"/>
    <x:xf numFmtId="202" fontId="3" fillId="4" borderId="0" xfId="0" applyNumberFormat="1" applyFont="1" applyFill="1" applyBorder="1"/>
    <x:xf numFmtId="202" fontId="3" fillId="4" borderId="4" xfId="0" applyNumberFormat="1" applyFont="1" applyFill="1" applyBorder="1"/>
    <x:xf numFmtId="0" fontId="6" fillId="2" borderId="0" xfId="0" applyNumberFormat="1" applyFont="1" applyFill="1" applyBorder="1"/>
    <x:xf numFmtId="205" fontId="0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6" xfId="0" applyNumberFormat="1" applyFont="1" applyFill="1" applyBorder="1"/>
    <x:xf numFmtId="202" fontId="5" fillId="0" borderId="6" xfId="0" applyNumberFormat="1" applyFont="1" applyFill="1" applyBorder="1"/>
    <x:xf numFmtId="0" fontId="5" fillId="0" borderId="7" xfId="0" applyNumberFormat="1" applyFont="1" applyFill="1" applyBorder="1"/>
    <x:xf numFmtId="201" fontId="5" fillId="0" borderId="7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203" fontId="2" fillId="3" borderId="2" xfId="0" applyNumberFormat="1" applyFont="1" applyFill="1" applyBorder="1" applyAlignment="1">
      <x:alignment vertical="center" wrapText="1"/>
    </x:xf>
    <x:xf numFmtId="203" fontId="2" fillId="3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/>
    <x:xf numFmtId="201" fontId="10" fillId="8" borderId="0" xfId="0" applyNumberFormat="1" applyFont="1" applyFill="1" applyBorder="1"/>
    <x:xf numFmtId="201" fontId="10" fillId="8" borderId="0" xfId="0" applyNumberFormat="1" applyFont="1" applyFill="1" applyBorder="1" applyAlignment="1">
      <x:alignment horizontal="center"/>
    </x:xf>
    <x:xf numFmtId="201" fontId="10" fillId="8" borderId="0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/>
    <x:xf numFmtId="0" fontId="11" fillId="8" borderId="8" xfId="0" applyNumberFormat="1" applyFont="1" applyFill="1" applyBorder="1"/>
    <x:xf numFmtId="0" fontId="11" fillId="8" borderId="8" xfId="0" applyNumberFormat="1" applyFont="1" applyFill="1" applyBorder="1" applyAlignment="1">
      <x:alignment wrapText="1"/>
    </x:xf>
    <x:xf numFmtId="0" fontId="11" fillId="8" borderId="8" xfId="0" applyNumberFormat="1" applyFont="1" applyFill="1" applyBorder="1" applyAlignment="1">
      <x:alignment horizontal="center" wrapText="1"/>
    </x:xf>
    <x:xf numFmtId="0" fontId="9" fillId="8" borderId="9" xfId="0" applyNumberFormat="1" applyFont="1" applyFill="1" applyBorder="1" applyAlignment="1">
      <x:alignment horizontal="center"/>
    </x:xf>
    <x:xf numFmtId="0" fontId="9" fillId="8" borderId="10" xfId="0" applyNumberFormat="1" applyFont="1" applyFill="1" applyBorder="1" applyAlignment="1">
      <x:alignment horizontal="center"/>
    </x:xf>
    <x:xf numFmtId="0" fontId="9" fillId="8" borderId="11" xfId="0" applyNumberFormat="1" applyFont="1" applyFill="1" applyBorder="1" applyAlignment="1">
      <x:alignment horizontal="center"/>
    </x:xf>
    <x:xf numFmtId="201" fontId="10" fillId="8" borderId="12" xfId="0" applyNumberFormat="1" applyFont="1" applyFill="1" applyBorder="1" applyAlignment="1">
      <x:alignment horizontal="center" vertical="center"/>
    </x:xf>
    <x:xf numFmtId="201" fontId="10" fillId="8" borderId="13" xfId="0" applyNumberFormat="1" applyFont="1" applyFill="1" applyBorder="1" applyAlignment="1">
      <x:alignment horizontal="center" vertical="center"/>
    </x:xf>
    <x:xf numFmtId="0" fontId="11" fillId="8" borderId="14" xfId="0" applyNumberFormat="1" applyFont="1" applyFill="1" applyBorder="1" applyAlignment="1">
      <x:alignment horizontal="center" wrapText="1"/>
    </x:xf>
    <x:xf numFmtId="0" fontId="11" fillId="8" borderId="15" xfId="0" applyNumberFormat="1" applyFont="1" applyFill="1" applyBorder="1" applyAlignment="1">
      <x:alignment horizontal="center" wrapText="1"/>
    </x:xf>
    <x:xf numFmtId="0" fontId="11" fillId="8" borderId="16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/>
    <x:xf numFmtId="201" fontId="10" fillId="7" borderId="0" xfId="0" applyNumberFormat="1" applyFont="1" applyFill="1" applyBorder="1"/>
    <x:xf numFmtId="201" fontId="10" fillId="7" borderId="0" xfId="0" applyNumberFormat="1" applyFont="1" applyFill="1" applyBorder="1" applyAlignment="1">
      <x:alignment horizontal="center"/>
    </x:xf>
    <x:xf numFmtId="201" fontId="10" fillId="7" borderId="0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/>
    <x:xf numFmtId="0" fontId="11" fillId="7" borderId="8" xfId="0" applyNumberFormat="1" applyFont="1" applyFill="1" applyBorder="1"/>
    <x:xf numFmtId="0" fontId="11" fillId="7" borderId="8" xfId="0" applyNumberFormat="1" applyFont="1" applyFill="1" applyBorder="1" applyAlignment="1">
      <x:alignment wrapText="1"/>
    </x:xf>
    <x:xf numFmtId="0" fontId="11" fillId="7" borderId="8" xfId="0" applyNumberFormat="1" applyFont="1" applyFill="1" applyBorder="1" applyAlignment="1">
      <x:alignment horizontal="center" wrapText="1"/>
    </x:xf>
    <x:xf numFmtId="0" fontId="9" fillId="7" borderId="9" xfId="0" applyNumberFormat="1" applyFont="1" applyFill="1" applyBorder="1" applyAlignment="1">
      <x:alignment horizontal="center"/>
    </x:xf>
    <x:xf numFmtId="0" fontId="9" fillId="7" borderId="10" xfId="0" applyNumberFormat="1" applyFont="1" applyFill="1" applyBorder="1" applyAlignment="1">
      <x:alignment horizontal="center"/>
    </x:xf>
    <x:xf numFmtId="0" fontId="9" fillId="7" borderId="11" xfId="0" applyNumberFormat="1" applyFont="1" applyFill="1" applyBorder="1" applyAlignment="1">
      <x:alignment horizontal="center"/>
    </x:xf>
    <x:xf numFmtId="201" fontId="10" fillId="7" borderId="12" xfId="0" applyNumberFormat="1" applyFont="1" applyFill="1" applyBorder="1" applyAlignment="1">
      <x:alignment horizontal="center" vertical="center"/>
    </x:xf>
    <x:xf numFmtId="201" fontId="10" fillId="7" borderId="13" xfId="0" applyNumberFormat="1" applyFont="1" applyFill="1" applyBorder="1" applyAlignment="1">
      <x:alignment horizontal="center" vertical="center"/>
    </x:xf>
    <x:xf numFmtId="0" fontId="11" fillId="7" borderId="14" xfId="0" applyNumberFormat="1" applyFont="1" applyFill="1" applyBorder="1" applyAlignment="1">
      <x:alignment horizontal="center" wrapText="1"/>
    </x:xf>
    <x:xf numFmtId="0" fontId="11" fillId="7" borderId="15" xfId="0" applyNumberFormat="1" applyFont="1" applyFill="1" applyBorder="1" applyAlignment="1">
      <x:alignment horizontal="center" wrapText="1"/>
    </x:xf>
    <x:xf numFmtId="0" fontId="11" fillId="7" borderId="16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/>
    <x:xf numFmtId="201" fontId="10" fillId="4" borderId="0" xfId="0" applyNumberFormat="1" applyFont="1" applyFill="1" applyBorder="1"/>
    <x:xf numFmtId="201" fontId="10" fillId="4" borderId="0" xfId="0" applyNumberFormat="1" applyFont="1" applyFill="1" applyBorder="1" applyAlignment="1">
      <x:alignment horizontal="center"/>
    </x:xf>
    <x:xf numFmtId="201" fontId="10" fillId="4" borderId="0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/>
    <x:xf numFmtId="0" fontId="11" fillId="4" borderId="8" xfId="0" applyNumberFormat="1" applyFont="1" applyFill="1" applyBorder="1"/>
    <x:xf numFmtId="0" fontId="11" fillId="4" borderId="8" xfId="0" applyNumberFormat="1" applyFont="1" applyFill="1" applyBorder="1" applyAlignment="1">
      <x:alignment wrapText="1"/>
    </x:xf>
    <x:xf numFmtId="0" fontId="11" fillId="4" borderId="8" xfId="0" applyNumberFormat="1" applyFont="1" applyFill="1" applyBorder="1" applyAlignment="1">
      <x:alignment horizontal="center" wrapText="1"/>
    </x:xf>
    <x:xf numFmtId="0" fontId="9" fillId="4" borderId="9" xfId="0" applyNumberFormat="1" applyFont="1" applyFill="1" applyBorder="1" applyAlignment="1">
      <x:alignment horizontal="center"/>
    </x:xf>
    <x:xf numFmtId="0" fontId="9" fillId="4" borderId="10" xfId="0" applyNumberFormat="1" applyFont="1" applyFill="1" applyBorder="1" applyAlignment="1">
      <x:alignment horizontal="center"/>
    </x:xf>
    <x:xf numFmtId="0" fontId="9" fillId="4" borderId="11" xfId="0" applyNumberFormat="1" applyFont="1" applyFill="1" applyBorder="1" applyAlignment="1">
      <x:alignment horizontal="center"/>
    </x:xf>
    <x:xf numFmtId="201" fontId="10" fillId="4" borderId="12" xfId="0" applyNumberFormat="1" applyFont="1" applyFill="1" applyBorder="1" applyAlignment="1">
      <x:alignment horizontal="center" vertical="center"/>
    </x:xf>
    <x:xf numFmtId="201" fontId="10" fillId="4" borderId="13" xfId="0" applyNumberFormat="1" applyFont="1" applyFill="1" applyBorder="1" applyAlignment="1">
      <x:alignment horizontal="center" vertical="center"/>
    </x:xf>
    <x:xf numFmtId="0" fontId="11" fillId="4" borderId="14" xfId="0" applyNumberFormat="1" applyFont="1" applyFill="1" applyBorder="1" applyAlignment="1">
      <x:alignment horizontal="center" wrapText="1"/>
    </x:xf>
    <x:xf numFmtId="0" fontId="11" fillId="4" borderId="15" xfId="0" applyNumberFormat="1" applyFont="1" applyFill="1" applyBorder="1" applyAlignment="1">
      <x:alignment horizontal="center" wrapText="1"/>
    </x:xf>
    <x:xf numFmtId="0" fontId="11" fillId="4" borderId="16" xfId="0" applyNumberFormat="1" applyFont="1" applyFill="1" applyBorder="1" applyAlignment="1">
      <x:alignment horizontal="center" wrapText="1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vertical="top" wrapText="1"/>
    </x:xf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/>
    <x:xf numFmtId="0" fontId="15" fillId="7" borderId="0" xfId="0" applyNumberFormat="1" applyFont="1" applyFill="1" applyBorder="1" applyAlignment="1">
      <x:alignment horizontal="center"/>
    </x:xf>
    <x:xf numFmtId="0" fontId="16" fillId="8" borderId="9" xfId="0" applyNumberFormat="1" applyFont="1" applyFill="1" applyBorder="1" applyAlignment="1">
      <x:alignment horizontal="center"/>
    </x:xf>
    <x:xf numFmtId="0" fontId="16" fillId="8" borderId="10" xfId="0" applyNumberFormat="1" applyFont="1" applyFill="1" applyBorder="1" applyAlignment="1">
      <x:alignment horizontal="center"/>
    </x:xf>
    <x:xf numFmtId="0" fontId="16" fillId="8" borderId="11" xfId="0" applyNumberFormat="1" applyFont="1" applyFill="1" applyBorder="1" applyAlignment="1">
      <x:alignment horizontal="center"/>
    </x:xf>
    <x:xf numFmtId="0" fontId="16" fillId="7" borderId="9" xfId="0" applyNumberFormat="1" applyFont="1" applyFill="1" applyBorder="1" applyAlignment="1">
      <x:alignment horizontal="center"/>
    </x:xf>
    <x:xf numFmtId="0" fontId="16" fillId="7" borderId="10" xfId="0" applyNumberFormat="1" applyFont="1" applyFill="1" applyBorder="1" applyAlignment="1">
      <x:alignment horizontal="center"/>
    </x:xf>
    <x:xf numFmtId="0" fontId="16" fillId="7" borderId="11" xfId="0" applyNumberFormat="1" applyFont="1" applyFill="1" applyBorder="1" applyAlignment="1">
      <x:alignment horizontal="center"/>
    </x:xf>
    <x:xf numFmtId="0" fontId="16" fillId="4" borderId="9" xfId="0" applyNumberFormat="1" applyFont="1" applyFill="1" applyBorder="1" applyAlignment="1">
      <x:alignment horizontal="center"/>
    </x:xf>
    <x:xf numFmtId="0" fontId="16" fillId="4" borderId="10" xfId="0" applyNumberFormat="1" applyFont="1" applyFill="1" applyBorder="1" applyAlignment="1">
      <x:alignment horizontal="center"/>
    </x:xf>
    <x:xf numFmtId="0" fontId="16" fillId="4" borderId="11" xfId="0" applyNumberFormat="1" applyFont="1" applyFill="1" applyBorder="1" applyAlignment="1">
      <x:alignment horizontal="center"/>
    </x:xf>
    <x:xf numFmtId="201" fontId="17" fillId="8" borderId="12" xfId="0" applyNumberFormat="1" applyFont="1" applyFill="1" applyBorder="1" applyAlignment="1">
      <x:alignment horizontal="center" vertical="center"/>
    </x:xf>
    <x:xf numFmtId="201" fontId="17" fillId="8" borderId="0" xfId="0" applyNumberFormat="1" applyFont="1" applyFill="1" applyBorder="1" applyAlignment="1">
      <x:alignment horizontal="center" vertical="center"/>
    </x:xf>
    <x:xf numFmtId="201" fontId="17" fillId="8" borderId="13" xfId="0" applyNumberFormat="1" applyFont="1" applyFill="1" applyBorder="1" applyAlignment="1">
      <x:alignment horizontal="center" vertical="center"/>
    </x:xf>
    <x:xf numFmtId="201" fontId="17" fillId="7" borderId="12" xfId="0" applyNumberFormat="1" applyFont="1" applyFill="1" applyBorder="1" applyAlignment="1">
      <x:alignment horizontal="center" vertical="center"/>
    </x:xf>
    <x:xf numFmtId="201" fontId="17" fillId="7" borderId="0" xfId="0" applyNumberFormat="1" applyFont="1" applyFill="1" applyBorder="1" applyAlignment="1">
      <x:alignment horizontal="center" vertical="center"/>
    </x:xf>
    <x:xf numFmtId="201" fontId="17" fillId="7" borderId="13" xfId="0" applyNumberFormat="1" applyFont="1" applyFill="1" applyBorder="1" applyAlignment="1">
      <x:alignment horizontal="center" vertical="center"/>
    </x:xf>
    <x:xf numFmtId="201" fontId="17" fillId="4" borderId="12" xfId="0" applyNumberFormat="1" applyFont="1" applyFill="1" applyBorder="1" applyAlignment="1">
      <x:alignment horizontal="center" vertical="center"/>
    </x:xf>
    <x:xf numFmtId="201" fontId="17" fillId="4" borderId="0" xfId="0" applyNumberFormat="1" applyFont="1" applyFill="1" applyBorder="1" applyAlignment="1">
      <x:alignment horizontal="center" vertical="center"/>
    </x:xf>
    <x:xf numFmtId="201" fontId="17" fillId="4" borderId="13" xfId="0" applyNumberFormat="1" applyFont="1" applyFill="1" applyBorder="1" applyAlignment="1">
      <x:alignment horizontal="center" vertical="center"/>
    </x:xf>
    <x:xf numFmtId="0" fontId="18" fillId="8" borderId="14" xfId="0" applyNumberFormat="1" applyFont="1" applyFill="1" applyBorder="1" applyAlignment="1">
      <x:alignment horizontal="center" wrapText="1"/>
    </x:xf>
    <x:xf numFmtId="0" fontId="18" fillId="8" borderId="15" xfId="0" applyNumberFormat="1" applyFont="1" applyFill="1" applyBorder="1" applyAlignment="1">
      <x:alignment horizontal="center" wrapText="1"/>
    </x:xf>
    <x:xf numFmtId="0" fontId="18" fillId="8" borderId="16" xfId="0" applyNumberFormat="1" applyFont="1" applyFill="1" applyBorder="1" applyAlignment="1">
      <x:alignment horizontal="center" wrapText="1"/>
    </x:xf>
    <x:xf numFmtId="0" fontId="18" fillId="7" borderId="14" xfId="0" applyNumberFormat="1" applyFont="1" applyFill="1" applyBorder="1" applyAlignment="1">
      <x:alignment horizontal="center" wrapText="1"/>
    </x:xf>
    <x:xf numFmtId="0" fontId="18" fillId="7" borderId="15" xfId="0" applyNumberFormat="1" applyFont="1" applyFill="1" applyBorder="1" applyAlignment="1">
      <x:alignment horizontal="center" wrapText="1"/>
    </x:xf>
    <x:xf numFmtId="0" fontId="18" fillId="7" borderId="16" xfId="0" applyNumberFormat="1" applyFont="1" applyFill="1" applyBorder="1" applyAlignment="1">
      <x:alignment horizontal="center" wrapText="1"/>
    </x:xf>
    <x:xf numFmtId="0" fontId="18" fillId="4" borderId="14" xfId="0" applyNumberFormat="1" applyFont="1" applyFill="1" applyBorder="1" applyAlignment="1">
      <x:alignment horizontal="center" wrapText="1"/>
    </x:xf>
    <x:xf numFmtId="0" fontId="18" fillId="4" borderId="15" xfId="0" applyNumberFormat="1" applyFont="1" applyFill="1" applyBorder="1" applyAlignment="1">
      <x:alignment horizontal="center" wrapText="1"/>
    </x:xf>
    <x:xf numFmtId="0" fontId="18" fillId="4" borderId="16" xfId="0" applyNumberFormat="1" applyFont="1" applyFill="1" applyBorder="1" applyAlignment="1">
      <x:alignment horizontal="center" wrapText="1"/>
    </x:xf>
    <x:xf numFmtId="0" fontId="19" fillId="5" borderId="0" xfId="0" applyNumberFormat="1" applyFont="1" applyFill="1" applyBorder="1" applyAlignment="1">
      <x:alignment vertical="top" wrapText="1"/>
    </x:xf>
    <x:xf numFmtId="201" fontId="14" fillId="0" borderId="0" xfId="0" applyNumberFormat="1" applyFont="1" applyFill="1" applyBorder="1"/>
    <x:xf numFmtId="0" fontId="20" fillId="7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 applyAlignment="1">
      <x:alignment vertical="top" wrapText="1"/>
    </x:xf>
    <x:xf numFmtId="200" fontId="14" fillId="0" borderId="0" xfId="0" applyNumberFormat="1" applyFont="1" applyFill="1" applyBorder="1"/>
    <x:xf numFmtId="202" fontId="14" fillId="0" borderId="0" xfId="0" applyNumberFormat="1" applyFont="1" applyFill="1" applyBorder="1"/>
    <x:xf numFmtId="203" fontId="14" fillId="0" borderId="0" xfId="0" applyNumberFormat="1" applyFont="1" applyFill="1" applyBorder="1"/>
    <x:xf numFmtId="204" fontId="21" fillId="4" borderId="4" xfId="0" applyNumberFormat="1" applyFont="1" applyFill="1" applyBorder="1"/>
    <x:xf numFmtId="203" fontId="21" fillId="4" borderId="4" xfId="0" applyNumberFormat="1" applyFont="1" applyFill="1" applyBorder="1"/>
    <x:xf numFmtId="204" fontId="14" fillId="0" borderId="0" xfId="0" applyNumberFormat="1" applyFont="1" applyFill="1" applyBorder="1"/>
    <x:xf numFmtId="0" fontId="22" fillId="5" borderId="0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/>
    <x:xf numFmtId="202" fontId="2" fillId="0" borderId="5" xfId="0" applyNumberFormat="1" applyFont="1" applyFill="1" applyBorder="1"/>
    <x:xf numFmtId="202" fontId="21" fillId="4" borderId="4" xfId="0" applyNumberFormat="1" applyFont="1" applyFill="1" applyBorder="1"/>
    <x:xf numFmtId="205" fontId="14" fillId="0" borderId="0" xfId="0" applyNumberFormat="1" applyFont="1" applyFill="1" applyBorder="1"/>
    <x:xf numFmtId="0" fontId="2" fillId="0" borderId="6" xfId="0" applyNumberFormat="1" applyFont="1" applyFill="1" applyBorder="1"/>
    <x:xf numFmtId="202" fontId="2" fillId="0" borderId="6" xfId="0" applyNumberFormat="1" applyFont="1" applyFill="1" applyBorder="1"/>
    <x:xf numFmtId="0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2" fillId="0" borderId="7" xfId="0" applyNumberFormat="1" applyFont="1" applyFill="1" applyBorder="1"/>
    <x:xf numFmtId="201" fontId="2" fillId="0" borderId="7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201" fontId="1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6c603518f481b" /><Relationship Type="http://schemas.openxmlformats.org/officeDocument/2006/relationships/theme" Target="/xl/theme/theme1.xml" Id="Rab64b3fb8ca440d8" /><Relationship Type="http://schemas.openxmlformats.org/officeDocument/2006/relationships/sharedStrings" Target="/xl/sharedStrings.xml" Id="R03ae9b0487e24b37" /><Relationship Type="http://schemas.openxmlformats.org/officeDocument/2006/relationships/worksheet" Target="/xl/worksheets/sheet1.xml" Id="R8238ef429b274824" /><Relationship Type="http://schemas.openxmlformats.org/officeDocument/2006/relationships/worksheet" Target="/xl/worksheets/sheet2.xml" Id="Rb93a7688a20d4016" /><Relationship Type="http://schemas.openxmlformats.org/officeDocument/2006/relationships/worksheet" Target="/xl/worksheets/sheet3.xml" Id="R7f37025305ba4357" /><Relationship Type="http://schemas.openxmlformats.org/officeDocument/2006/relationships/worksheet" Target="/xl/worksheets/sheet4.xml" Id="R1895d0ba14494651" /><Relationship Type="http://schemas.openxmlformats.org/officeDocument/2006/relationships/worksheet" Target="/xl/worksheets/sheet5.xml" Id="R3a42b112d1e14647" /><Relationship Type="http://schemas.openxmlformats.org/officeDocument/2006/relationships/worksheet" Target="/xl/worksheets/sheet6.xml" Id="R4d03c9dcd81445aa" /><Relationship Type="http://schemas.openxmlformats.org/officeDocument/2006/relationships/worksheet" Target="/xl/worksheets/sheet7.xml" Id="Rfad085b0b8994372" /><Relationship Type="http://schemas.openxmlformats.org/officeDocument/2006/relationships/worksheet" Target="/xl/worksheets/sheet8.xml" Id="R4e58d533c6d1419d" /><Relationship Type="http://schemas.openxmlformats.org/officeDocument/2006/relationships/worksheet" Target="/xl/worksheets/sheet9.xml" Id="R06ce94a9c0224392" /><Relationship Type="http://schemas.openxmlformats.org/officeDocument/2006/relationships/worksheet" Target="/xl/worksheets/sheet10.xml" Id="Rc7ac676cd132450f" /><Relationship Type="http://schemas.openxmlformats.org/officeDocument/2006/relationships/worksheet" Target="/xl/worksheets/sheet11.xml" Id="R4b205681531b4176" /><Relationship Type="http://schemas.microsoft.com/office/2017/10/relationships/person" Target="/xl/persons/person.xml" Id="R6d906482113b4c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be709a3e0747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Method midpoints vs. frozen market price ($/share)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Midpoint</c:v>
          </c:tx>
          <c:cat>
            <c:strRef>
              <c:f>'Valuation'!$J$3:$J$8</c:f>
              <c:strCache>
                <c:ptCount val="0"/>
              </c:strCache>
            </c:strRef>
          </c:cat>
          <c:val>
            <c:numRef>
              <c:f>'Valuation'!$K$3:$K$8</c:f>
              <c:numCache>
                <c:formatCode>$0.00;[Red]($0.00);–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be709a3e07477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Henry Adams" id="{2865B405-9110-43C2-9528-93D42A63730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7-28T15:58:00.297" personId="{2865B405-9110-43C2-9528-93D42A637305}" id="{478E57EB-364D-663B-5B32-25AA4562CACD}">
    <xltc:text>Source: S5, StockAnalysis GRSD close on 27-Jul-2026.</xltc:text>
  </xltc:threadedComment>
  <xltc:threadedComment ref="B8" dT="2026-07-28T15:58:00.3" personId="{2865B405-9110-43C2-9528-93D42A637305}" id="{31325C11-8AB4-245E-0BC1-268490928374}">
    <xltc:text>Source: S2, Q1 2026 interim financial statements; balance-sheet data are as of 31-Mar-2026.</xltc:text>
  </xltc:threadedComment>
  <xltc:threadedComment ref="B12" dT="2026-07-28T15:58:00.3" personId="{2865B405-9110-43C2-9528-93D42A637305}" id="{B48BCB58-FD9A-A8B1-7335-ABA042DAE8D0}">
    <xltc:text>Source: S6, Federal Reserve H.15, 22-Jul-2026.</xltc:text>
  </xltc:threadedComment>
  <xltc:threadedComment ref="B13" dT="2026-07-28T15:58:00.3" personId="{2865B405-9110-43C2-9528-93D42A637305}" id="{985DED23-9FDE-5943-5F91-568AD75A42CA}">
    <xltc:text>Source: S7, Damodaran July 2026 implied ERP update.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351969c2e99549fe" /><Relationship Type="http://schemas.openxmlformats.org/officeDocument/2006/relationships/vmlDrawing" Target="/xl/drawings/vmldrawing.vml" Id="Rcd97f70c08e84c9a" /><Relationship Type="http://schemas.microsoft.com/office/2017/10/relationships/threadedComment" Target="/xl/threadedcomments/threadedcomment.xml" Id="Ra9f980375bcd43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59465f6b669a4f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4" hidden="0" customWidth="1"/>
    <x:col min="5" max="5" width="15" hidden="0" customWidth="1"/>
    <x:col min="6" max="6" width="15" hidden="0" customWidth="1"/>
    <x:col min="7" max="7" width="4" hidden="0" customWidth="1"/>
    <x:col min="8" max="8" width="22" hidden="0" customWidth="1"/>
    <x:col min="9" max="9" width="17" hidden="0" customWidth="1"/>
    <x:col min="10" max="10" width="18" hidden="0" customWidth="1"/>
    <x:col min="11" max="11" width="24" hidden="0" customWidth="1"/>
    <x:col min="12" max="12" width="18" hidden="0" customWidth="1"/>
  </x:cols>
  <x:sheetData>
    <x:row r="1" ht="30" customHeight="1">
      <x:c r="A1" s="3" t="str">
        <x:v>Grandstand Limited (NASDAQ: GRSD) — Multi-Method Equity Valuation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>
      <x:c r="A2" s="119" t="str">
        <x:v>Valuation date: 28-Jul-2026 | Market close: 27-Jul-2026 | USD | IFRS | Primary: perpetuity-growth FCFF DCF | Status: screen-grade / review required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>
      <x:c r="A3" s="118"/>
      <x:c r="B3" s="118"/>
      <x:c r="C3" s="118"/>
      <x:c r="D3" s="118"/>
      <x:c r="E3" s="118"/>
      <x:c r="F3" s="118"/>
      <x:c r="G3" s="118"/>
      <x:c r="H3" s="118"/>
      <x:c r="I3" s="118"/>
      <x:c r="J3" s="118"/>
      <x:c r="K3" s="118"/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>
      <x:c r="A4" s="120" t="str">
        <x:v>Primary DCF value / share</x:v>
      </x:c>
      <x:c r="B4" s="121"/>
      <x:c r="C4" s="122"/>
      <x:c r="D4" s="118"/>
      <x:c r="E4" s="123" t="str">
        <x:v>Frozen market price</x:v>
      </x:c>
      <x:c r="F4" s="124"/>
      <x:c r="G4" s="125"/>
      <x:c r="H4" s="118"/>
      <x:c r="I4" s="126" t="str">
        <x:v>Primary DCF range</x:v>
      </x:c>
      <x:c r="J4" s="127"/>
      <x:c r="K4" s="127"/>
      <x:c r="L4" s="12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>
      <x:c r="A5" s="129" t="n">
        <x:f>ROUND('DCF'!H18,2)</x:f>
        <x:v>6.7</x:v>
      </x:c>
      <x:c r="B5" s="130"/>
      <x:c r="C5" s="131"/>
      <x:c r="D5" s="118"/>
      <x:c r="E5" s="132" t="n">
        <x:f>ROUND('Assumptions'!B5,2)</x:f>
        <x:v>1.95</x:v>
      </x:c>
      <x:c r="F5" s="133"/>
      <x:c r="G5" s="134"/>
      <x:c r="H5" s="118"/>
      <x:c r="I5" s="135" t="n">
        <x:f>'Sensitivities'!F6-'Sensitivities'!F4</x:f>
        <x:v>5.939891479607183</x:v>
      </x:c>
      <x:c r="J5" s="136"/>
      <x:c r="K5" s="136"/>
      <x:c r="L5" s="137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>
      <x:c r="A6" s="129"/>
      <x:c r="B6" s="130"/>
      <x:c r="C6" s="131"/>
      <x:c r="D6" s="118"/>
      <x:c r="E6" s="132"/>
      <x:c r="F6" s="133"/>
      <x:c r="G6" s="134"/>
      <x:c r="H6" s="118"/>
      <x:c r="I6" s="135"/>
      <x:c r="J6" s="136"/>
      <x:c r="K6" s="136"/>
      <x:c r="L6" s="137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>
      <x:c r="A7" s="138" t="str">
        <x:v>Perpetuity-growth FCFF DCF</x:v>
      </x:c>
      <x:c r="B7" s="139"/>
      <x:c r="C7" s="140"/>
      <x:c r="D7" s="118"/>
      <x:c r="E7" s="141" t="str">
        <x:v>27-Jul-2026 close; refresh before use</x:v>
      </x:c>
      <x:c r="F7" s="142"/>
      <x:c r="G7" s="143"/>
      <x:c r="H7" s="118"/>
      <x:c r="I7" s="144" t="str">
        <x:v>Bull less bear; independently recalculated cases</x:v>
      </x:c>
      <x:c r="J7" s="145"/>
      <x:c r="K7" s="145"/>
      <x:c r="L7" s="146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>
      <x:c r="A8" s="118"/>
      <x:c r="B8" s="118"/>
      <x:c r="C8" s="118"/>
      <x:c r="D8" s="118"/>
      <x:c r="E8" s="118"/>
      <x:c r="F8" s="118"/>
      <x:c r="G8" s="118"/>
      <x:c r="H8" s="118"/>
      <x:c r="I8" s="118"/>
      <x:c r="J8" s="118"/>
      <x:c r="K8" s="118"/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>
      <x:c r="A9" s="118"/>
      <x:c r="B9" s="118"/>
      <x:c r="C9" s="118"/>
      <x:c r="D9" s="118"/>
      <x:c r="E9" s="118"/>
      <x:c r="F9" s="118"/>
      <x:c r="G9" s="118"/>
      <x:c r="H9" s="118"/>
      <x:c r="I9" s="118"/>
      <x:c r="J9" s="118"/>
      <x:c r="K9" s="118"/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 ht="21" customHeight="1">
      <x:c r="A10" s="47" t="str">
        <x:v>Valuation conclusion</x:v>
      </x:c>
      <x:c r="B10" s="47"/>
      <x:c r="C10" s="47"/>
      <x:c r="D10" s="47"/>
      <x:c r="E10" s="47"/>
      <x:c r="F10" s="47"/>
      <x:c r="G10" s="118"/>
      <x:c r="H10" s="47" t="str">
        <x:v>Method midpoint comparison</x:v>
      </x:c>
      <x:c r="I10" s="47"/>
      <x:c r="J10" s="47"/>
      <x:c r="K10" s="47"/>
      <x:c r="L10" s="47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>
      <x:c r="A11" s="147" t="str">
        <x:f>"Primary FCFF DCF indicates "&amp;TEXT('DCF'!H18,"$0.00")&amp;" per diluted share versus a frozen "&amp;TEXT('Assumptions'!B5,"$0.00")&amp;" market reference. Exit-multiple DCF and APV test terminal-value and financing assumptions; EV/revenue and EV/EBITDA are analyst stresses, not peer medians. No mechanical method average is used."</x:f>
        <x:v>Primary FCFF DCF indicates $6.70 per diluted share versus a frozen $1.95 market reference. Exit-multiple DCF and APV test terminal-value and financing assumptions; EV/revenue and EV/EBITDA are analyst stresses, not peer medians. No mechanical method average is used.</x:v>
      </x:c>
      <x:c r="B11" s="147"/>
      <x:c r="C11" s="147"/>
      <x:c r="D11" s="147"/>
      <x:c r="E11" s="147"/>
      <x:c r="F11" s="147"/>
      <x:c r="G11" s="118"/>
      <x:c r="H11" s="12" t="str">
        <x:v>Method</x:v>
      </x:c>
      <x:c r="I11" s="13" t="str">
        <x:v>Mid value / share</x:v>
      </x:c>
      <x:c r="J11" s="13" t="str">
        <x:v>Role</x:v>
      </x:c>
      <x:c r="K11" s="13" t="str">
        <x:v>Evidence</x:v>
      </x:c>
      <x:c r="L11" s="14" t="str">
        <x:v>Use</x:v>
      </x:c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>
      <x:c r="A12" s="147"/>
      <x:c r="B12" s="147"/>
      <x:c r="C12" s="147"/>
      <x:c r="D12" s="147"/>
      <x:c r="E12" s="147"/>
      <x:c r="F12" s="147"/>
      <x:c r="G12" s="118"/>
      <x:c r="H12" s="118" t="str">
        <x:v>Perpetuity DCF</x:v>
      </x:c>
      <x:c r="I12" s="148" t="n">
        <x:f>'Valuation'!D4</x:f>
        <x:v>6.698801095343368</x:v>
      </x:c>
      <x:c r="J12" s="118" t="str">
        <x:v>Primary</x:v>
      </x:c>
      <x:c r="K12" s="118" t="str">
        <x:v>Source-backed + assumptions</x:v>
      </x:c>
      <x:c r="L12" s="118" t="str">
        <x:v>Primary range</x:v>
      </x:c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>
      <x:c r="A13" s="147"/>
      <x:c r="B13" s="147"/>
      <x:c r="C13" s="147"/>
      <x:c r="D13" s="147"/>
      <x:c r="E13" s="147"/>
      <x:c r="F13" s="147"/>
      <x:c r="G13" s="118"/>
      <x:c r="H13" s="118" t="str">
        <x:v>Exit DCF</x:v>
      </x:c>
      <x:c r="I13" s="148" t="n">
        <x:f>'Valuation'!D5</x:f>
        <x:v>6.0750362114258465</x:v>
      </x:c>
      <x:c r="J13" s="118" t="str">
        <x:v>Corroborative</x:v>
      </x:c>
      <x:c r="K13" s="118" t="str">
        <x:v>Analyst terminal multiple</x:v>
      </x:c>
      <x:c r="L13" s="118" t="str">
        <x:v>Cross-check</x:v>
      </x:c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>
      <x:c r="A14" s="147"/>
      <x:c r="B14" s="147"/>
      <x:c r="C14" s="147"/>
      <x:c r="D14" s="147"/>
      <x:c r="E14" s="147"/>
      <x:c r="F14" s="147"/>
      <x:c r="G14" s="118"/>
      <x:c r="H14" s="118" t="str">
        <x:v>APV</x:v>
      </x:c>
      <x:c r="I14" s="148" t="n">
        <x:f>'Valuation'!D6</x:f>
        <x:v>5.842675891527396</x:v>
      </x:c>
      <x:c r="J14" s="118" t="str">
        <x:v>Corroborative</x:v>
      </x:c>
      <x:c r="K14" s="118" t="str">
        <x:v>Illustrative debt schedule</x:v>
      </x:c>
      <x:c r="L14" s="118" t="str">
        <x:v>Cross-check</x:v>
      </x:c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>
      <x:c r="A15" s="147"/>
      <x:c r="B15" s="147"/>
      <x:c r="C15" s="147"/>
      <x:c r="D15" s="147"/>
      <x:c r="E15" s="147"/>
      <x:c r="F15" s="147"/>
      <x:c r="G15" s="118"/>
      <x:c r="H15" s="118" t="str">
        <x:v>EV / Revenue</x:v>
      </x:c>
      <x:c r="I15" s="148" t="n">
        <x:f>'Valuation'!D7</x:f>
        <x:v>2.4058529599861473</x:v>
      </x:c>
      <x:c r="J15" s="118" t="str">
        <x:v>Stress</x:v>
      </x:c>
      <x:c r="K15" s="118" t="str">
        <x:v>Analyst multiple</x:v>
      </x:c>
      <x:c r="L15" s="118" t="str">
        <x:v>No peer claim</x:v>
      </x:c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>
      <x:c r="A16" s="147"/>
      <x:c r="B16" s="147"/>
      <x:c r="C16" s="147"/>
      <x:c r="D16" s="147"/>
      <x:c r="E16" s="147"/>
      <x:c r="F16" s="147"/>
      <x:c r="G16" s="118"/>
      <x:c r="H16" s="118" t="str">
        <x:v>EV / EBITDA</x:v>
      </x:c>
      <x:c r="I16" s="148" t="n">
        <x:f>'Valuation'!D8</x:f>
        <x:v>1.912352819401954</x:v>
      </x:c>
      <x:c r="J16" s="118" t="str">
        <x:v>Stress</x:v>
      </x:c>
      <x:c r="K16" s="118" t="str">
        <x:v>Analyst multiple</x:v>
      </x:c>
      <x:c r="L16" s="118" t="str">
        <x:v>No peer claim</x:v>
      </x:c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>
      <x:c r="A17" s="118"/>
      <x:c r="B17" s="118"/>
      <x:c r="C17" s="118"/>
      <x:c r="D17" s="118"/>
      <x:c r="E17" s="118"/>
      <x:c r="F17" s="118"/>
      <x:c r="G17" s="118"/>
      <x:c r="H17" s="118"/>
      <x:c r="I17" s="118"/>
      <x:c r="J17" s="118"/>
      <x:c r="K17" s="118"/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>
      <x:c r="A18" s="118"/>
      <x:c r="B18" s="118"/>
      <x:c r="C18" s="118"/>
      <x:c r="D18" s="118"/>
      <x:c r="E18" s="118"/>
      <x:c r="F18" s="118"/>
      <x:c r="G18" s="118"/>
      <x:c r="H18" s="118"/>
      <x:c r="I18" s="118"/>
      <x:c r="J18" s="118"/>
      <x:c r="K18" s="118"/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 ht="21" customHeight="1">
      <x:c r="A19" s="47" t="str">
        <x:v>What must be true</x:v>
      </x:c>
      <x:c r="B19" s="47"/>
      <x:c r="C19" s="47"/>
      <x:c r="D19" s="47"/>
      <x:c r="E19" s="47"/>
      <x:c r="F19" s="47"/>
      <x:c r="G19" s="118"/>
      <x:c r="H19" s="47" t="str">
        <x:v>Status, exclusions and next proof</x:v>
      </x:c>
      <x:c r="I19" s="47"/>
      <x:c r="J19" s="47"/>
      <x:c r="K19" s="47"/>
      <x:c r="L19" s="47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>
      <x:c r="A20" s="147" t="str">
        <x:v>• Data-services growth and enterprise mix must offset search disruption and regulatory headwinds.
• Restructuring savings must convert into cash margins without damaging revenue quality.
• Debt, deferred consideration and capitalized development must not absorb forecast FCFF.
• The APV tax shield is only corroborative until a contractual debt schedule is modeled.</x:v>
      </x:c>
      <x:c r="B20" s="147"/>
      <x:c r="C20" s="147"/>
      <x:c r="D20" s="147"/>
      <x:c r="E20" s="147"/>
      <x:c r="F20" s="147"/>
      <x:c r="G20" s="118"/>
      <x:c r="H20" s="147" t="str">
        <x:v>Status: screen-grade. Formula-driven workbook checks must pass, but source freshness and analyst assumptions still limit decision use.
Excluded: SOTP, precedents, dividend and residual-income methods.
Next proof: Q2 results, updated cash/debt/share count, realized savings, normalized peer data and contractual debt terms.</x:v>
      </x:c>
      <x:c r="I20" s="147"/>
      <x:c r="J20" s="147"/>
      <x:c r="K20" s="147"/>
      <x:c r="L20" s="147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>
      <x:c r="A21" s="147"/>
      <x:c r="B21" s="147"/>
      <x:c r="C21" s="147"/>
      <x:c r="D21" s="147"/>
      <x:c r="E21" s="147"/>
      <x:c r="F21" s="147"/>
      <x:c r="G21" s="118"/>
      <x:c r="H21" s="147"/>
      <x:c r="I21" s="147"/>
      <x:c r="J21" s="147"/>
      <x:c r="K21" s="147"/>
      <x:c r="L21" s="147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>
      <x:c r="A22" s="147"/>
      <x:c r="B22" s="147"/>
      <x:c r="C22" s="147"/>
      <x:c r="D22" s="147"/>
      <x:c r="E22" s="147"/>
      <x:c r="F22" s="147"/>
      <x:c r="G22" s="118"/>
      <x:c r="H22" s="147"/>
      <x:c r="I22" s="147"/>
      <x:c r="J22" s="147"/>
      <x:c r="K22" s="147"/>
      <x:c r="L22" s="147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>
      <x:c r="A23" s="147"/>
      <x:c r="B23" s="147"/>
      <x:c r="C23" s="147"/>
      <x:c r="D23" s="147"/>
      <x:c r="E23" s="147"/>
      <x:c r="F23" s="147"/>
      <x:c r="G23" s="118"/>
      <x:c r="H23" s="147"/>
      <x:c r="I23" s="147"/>
      <x:c r="J23" s="147"/>
      <x:c r="K23" s="147"/>
      <x:c r="L23" s="147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>
      <x:c r="A24" s="147"/>
      <x:c r="B24" s="147"/>
      <x:c r="C24" s="147"/>
      <x:c r="D24" s="147"/>
      <x:c r="E24" s="147"/>
      <x:c r="F24" s="147"/>
      <x:c r="G24" s="118"/>
      <x:c r="H24" s="147"/>
      <x:c r="I24" s="147"/>
      <x:c r="J24" s="147"/>
      <x:c r="K24" s="147"/>
      <x:c r="L24" s="147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>
      <x:c r="A25" s="147"/>
      <x:c r="B25" s="147"/>
      <x:c r="C25" s="147"/>
      <x:c r="D25" s="147"/>
      <x:c r="E25" s="147"/>
      <x:c r="F25" s="147"/>
      <x:c r="G25" s="118"/>
      <x:c r="H25" s="147"/>
      <x:c r="I25" s="147"/>
      <x:c r="J25" s="147"/>
      <x:c r="K25" s="147"/>
      <x:c r="L25" s="147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>
      <x:c r="A26" s="118"/>
      <x:c r="B26" s="118"/>
      <x:c r="C26" s="118"/>
      <x:c r="D26" s="118"/>
      <x:c r="E26" s="118"/>
      <x:c r="F26" s="118"/>
      <x:c r="G26" s="118"/>
      <x:c r="H26" s="118"/>
      <x:c r="I26" s="118"/>
      <x:c r="J26" s="118"/>
      <x:c r="K26" s="118"/>
      <x:c r="L26" s="118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>
      <x:c r="A27" s="118"/>
      <x:c r="B27" s="118"/>
      <x:c r="C27" s="118"/>
      <x:c r="D27" s="118"/>
      <x:c r="E27" s="118"/>
      <x:c r="F27" s="118"/>
      <x:c r="G27" s="118"/>
      <x:c r="H27" s="118"/>
      <x:c r="I27" s="118"/>
      <x:c r="J27" s="118"/>
      <x:c r="K27" s="118"/>
      <x:c r="L27" s="118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>
      <x:c r="A28" s="149" t="str">
        <x:v>Navigation: Sources → Assumptions → Historicals → Forecast → DCF → APV → Market Methods → Valuation → Sensitivities → Checks</x:v>
      </x:c>
      <x:c r="B28" s="149"/>
      <x:c r="C28" s="149"/>
      <x:c r="D28" s="149"/>
      <x:c r="E28" s="149"/>
      <x:c r="F28" s="149"/>
      <x:c r="G28" s="149"/>
      <x:c r="H28" s="149"/>
      <x:c r="I28" s="149"/>
      <x:c r="J28" s="149"/>
      <x:c r="K28" s="149"/>
      <x:c r="L28" s="149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>
      <x:c r="A29" s="118"/>
      <x:c r="B29" s="118"/>
      <x:c r="C29" s="118"/>
      <x:c r="D29" s="118"/>
      <x:c r="E29" s="118"/>
      <x:c r="F29" s="118"/>
      <x:c r="G29" s="118"/>
      <x:c r="H29" s="118"/>
      <x:c r="I29" s="118"/>
      <x:c r="J29" s="118"/>
      <x:c r="K29" s="118"/>
      <x:c r="L29" s="118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>
      <x:c r="A30" s="118"/>
      <x:c r="B30" s="118"/>
      <x:c r="C30" s="118"/>
      <x:c r="D30" s="118"/>
      <x:c r="E30" s="118"/>
      <x:c r="F30" s="118"/>
      <x:c r="G30" s="118"/>
      <x:c r="H30" s="118"/>
      <x:c r="I30" s="118"/>
      <x:c r="J30" s="118"/>
      <x:c r="K30" s="118"/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>
      <x:c r="A31" s="118"/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8"/>
      <x:c r="L31" s="118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>
      <x:c r="A32" s="118"/>
      <x:c r="B32" s="118"/>
      <x:c r="C32" s="118"/>
      <x:c r="D32" s="118"/>
      <x:c r="E32" s="118"/>
      <x:c r="F32" s="118"/>
      <x:c r="G32" s="118"/>
      <x:c r="H32" s="118"/>
      <x:c r="I32" s="118"/>
      <x:c r="J32" s="118"/>
      <x:c r="K32" s="118"/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>
      <x:c r="A33" s="118"/>
      <x:c r="B33" s="118"/>
      <x:c r="C33" s="118"/>
      <x:c r="D33" s="118"/>
      <x:c r="E33" s="118"/>
      <x:c r="F33" s="118"/>
      <x:c r="G33" s="118"/>
      <x:c r="H33" s="118"/>
      <x:c r="I33" s="118"/>
      <x:c r="J33" s="118"/>
      <x:c r="K33" s="118"/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  <x:c r="I34" s="118"/>
      <x:c r="J34" s="118"/>
      <x:c r="K34" s="118"/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  <x:c r="I35" s="118"/>
      <x:c r="J35" s="118"/>
      <x:c r="K35" s="118"/>
      <x:c r="L35" s="118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  <x:c r="I36" s="118"/>
      <x:c r="J36" s="118"/>
      <x:c r="K36" s="118"/>
      <x:c r="L36" s="118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  <x:c r="I37" s="118"/>
      <x:c r="J37" s="118"/>
      <x:c r="K37" s="118"/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  <x:c r="I38" s="118"/>
      <x:c r="J38" s="118"/>
      <x:c r="K38" s="118"/>
      <x:c r="L38" s="118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  <x:c r="I39" s="118"/>
      <x:c r="J39" s="118"/>
      <x:c r="K39" s="118"/>
      <x:c r="L39" s="118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  <x:c r="I40" s="118"/>
      <x:c r="J40" s="118"/>
      <x:c r="K40" s="118"/>
      <x:c r="L40" s="118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8"/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  <x:c r="I42" s="118"/>
      <x:c r="J42" s="118"/>
      <x:c r="K42" s="118"/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  <x:c r="I43" s="118"/>
      <x:c r="J43" s="118"/>
      <x:c r="K43" s="118"/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  <x:c r="I44" s="118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  <x:c r="I45" s="118"/>
      <x:c r="J45" s="118"/>
      <x:c r="K45" s="118"/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  <x:c r="I46" s="118"/>
      <x:c r="J46" s="118"/>
      <x:c r="K46" s="118"/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  <x:c r="I47" s="118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  <x:c r="I48" s="118"/>
      <x:c r="J48" s="118"/>
      <x:c r="K48" s="118"/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  <x:c r="I50" s="118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8"/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  <x:c r="I52" s="118"/>
      <x:c r="J52" s="118"/>
      <x:c r="K52" s="118"/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/>
      <x:c r="B55" s="118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/>
      <x:c r="B58" s="118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18"/>
      <x:c r="B59" s="118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/>
      <x:c r="B60" s="118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/>
      <x:c r="B61" s="118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/>
      <x:c r="B62" s="118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</x:sheetData>
  <x:mergeCells>
    <x:mergeCell ref="A1:L1"/>
    <x:mergeCell ref="A2:L2"/>
    <x:mergeCell ref="A4:C4"/>
    <x:mergeCell ref="A5:C6"/>
    <x:mergeCell ref="A7:C7"/>
    <x:mergeCell ref="E4:G4"/>
    <x:mergeCell ref="E5:G6"/>
    <x:mergeCell ref="E7:G7"/>
    <x:mergeCell ref="I4:L4"/>
    <x:mergeCell ref="I5:L6"/>
    <x:mergeCell ref="I7:L7"/>
    <x:mergeCell ref="A11:F16"/>
    <x:mergeCell ref="A20:F25"/>
    <x:mergeCell ref="H20:L25"/>
    <x:mergeCell ref="A28:L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20" hidden="0" customWidth="1"/>
    <x:col min="4" max="4" width="32" hidden="0" customWidth="1"/>
    <x:col min="5" max="5" width="13" hidden="0" customWidth="1"/>
    <x:col min="6" max="6" width="17" hidden="0" customWidth="1"/>
    <x:col min="7" max="7" width="24" hidden="0" customWidth="1"/>
    <x:col min="8" max="8" width="52" hidden="0" customWidth="1"/>
    <x:col min="9" max="9" width="34" hidden="0" customWidth="1"/>
    <x:col min="10" max="10" width="22" hidden="0" customWidth="1"/>
  </x:cols>
  <x:sheetData>
    <x:row r="1" ht="30" customHeight="1">
      <x:c r="A1" s="3" t="str">
        <x:v>Grandstand Limited (GRSD) — Source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>
      <x:c r="A2" s="118"/>
      <x:c r="B2" s="118"/>
      <x:c r="C2" s="118"/>
      <x:c r="D2" s="118"/>
      <x:c r="E2" s="118"/>
      <x:c r="F2" s="118"/>
      <x:c r="G2" s="118"/>
      <x:c r="H2" s="118"/>
      <x:c r="I2" s="118"/>
      <x:c r="J2" s="118"/>
      <x:c r="K2" s="118"/>
      <x:c r="L2" s="118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>
      <x:c r="A3" s="12" t="str">
        <x:v>ID</x:v>
      </x:c>
      <x:c r="B3" s="13" t="str">
        <x:v>Type</x:v>
      </x:c>
      <x:c r="C3" s="13" t="str">
        <x:v>Publisher</x:v>
      </x:c>
      <x:c r="D3" s="13" t="str">
        <x:v>Document</x:v>
      </x:c>
      <x:c r="E3" s="13" t="str">
        <x:v>Date</x:v>
      </x:c>
      <x:c r="F3" s="13" t="str">
        <x:v>Period / as-of</x:v>
      </x:c>
      <x:c r="G3" s="13" t="str">
        <x:v>Location</x:v>
      </x:c>
      <x:c r="H3" s="13" t="str">
        <x:v>URL</x:v>
      </x:c>
      <x:c r="I3" s="13" t="str">
        <x:v>Used for</x:v>
      </x:c>
      <x:c r="J3" s="14" t="str">
        <x:v>Status</x:v>
      </x:c>
      <x:c r="K3" s="118"/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 ht="44" customHeight="1">
      <x:c r="A4" s="150" t="str">
        <x:v>S1</x:v>
      </x:c>
      <x:c r="B4" s="150" t="str">
        <x:v>SEC filing</x:v>
      </x:c>
      <x:c r="C4" s="150" t="str">
        <x:v>Grandstand / SEC</x:v>
      </x:c>
      <x:c r="D4" s="150" t="str">
        <x:v>2025 Form 20-F (then Gambling.com Group)</x:v>
      </x:c>
      <x:c r="E4" s="150" t="str">
        <x:v>2026-03-19</x:v>
      </x:c>
      <x:c r="F4" s="150" t="str">
        <x:v>FY2023–FY2025</x:v>
      </x:c>
      <x:c r="G4" s="150" t="str">
        <x:v>F-3 to F-6; MD&amp;A pp. 54–65</x:v>
      </x:c>
      <x:c r="H4" s="150" t="str">
        <x:v>https://www.sec.gov/Archives/edgar/data/1839799/000183979926000048/gamb-20251231.htm</x:v>
      </x:c>
      <x:c r="I4" s="150" t="str">
        <x:v>Audited historicals, cash flow, debt, shares</x:v>
      </x:c>
      <x:c r="J4" s="150" t="str">
        <x:v>Verified primary</x:v>
      </x:c>
      <x:c r="K4" s="118"/>
      <x:c r="L4" s="11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 ht="44" customHeight="1">
      <x:c r="A5" s="150" t="str">
        <x:v>S2</x:v>
      </x:c>
      <x:c r="B5" s="150" t="str">
        <x:v>SEC filing</x:v>
      </x:c>
      <x:c r="C5" s="150" t="str">
        <x:v>Grandstand / SEC</x:v>
      </x:c>
      <x:c r="D5" s="150" t="str">
        <x:v>Q1 2026 Form 6-K and interim financials</x:v>
      </x:c>
      <x:c r="E5" s="150" t="str">
        <x:v>2026-05-14</x:v>
      </x:c>
      <x:c r="F5" s="150" t="str">
        <x:v>Quarter ended 2026-03-31</x:v>
      </x:c>
      <x:c r="G5" s="150" t="str">
        <x:v>pp. 2–5, 36–58</x:v>
      </x:c>
      <x:c r="H5" s="150" t="str">
        <x:v>https://www.sec.gov/Archives/edgar/data/1839799/000183979926000101/q12026quarterlyfinancials.htm</x:v>
      </x:c>
      <x:c r="I5" s="150" t="str">
        <x:v>Latest balance sheet, Q1 actuals, deferred consideration</x:v>
      </x:c>
      <x:c r="J5" s="150" t="str">
        <x:v>Verified primary</x:v>
      </x:c>
      <x:c r="K5" s="118"/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 ht="44" customHeight="1">
      <x:c r="A6" s="150" t="str">
        <x:v>S3</x:v>
      </x:c>
      <x:c r="B6" s="150" t="str">
        <x:v>SEC exhibit</x:v>
      </x:c>
      <x:c r="C6" s="150" t="str">
        <x:v>Grandstand / SEC</x:v>
      </x:c>
      <x:c r="D6" s="150" t="str">
        <x:v>Q1 2026 earnings release</x:v>
      </x:c>
      <x:c r="E6" s="150" t="str">
        <x:v>2026-05-14</x:v>
      </x:c>
      <x:c r="F6" s="150" t="str">
        <x:v>FY2026 guidance</x:v>
      </x:c>
      <x:c r="G6" s="150" t="str">
        <x:v>Outlook and restructuring sections</x:v>
      </x:c>
      <x:c r="H6" s="150" t="str">
        <x:v>https://www.sec.gov/Archives/edgar/data/1839799/000183979926000099/gamb-q12026xpressrelease.htm</x:v>
      </x:c>
      <x:c r="I6" s="150" t="str">
        <x:v>Revenue / EBITDA guidance; restructuring target</x:v>
      </x:c>
      <x:c r="J6" s="150" t="str">
        <x:v>Verified primary</x:v>
      </x:c>
      <x:c r="K6" s="118"/>
      <x:c r="L6" s="118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 ht="44" customHeight="1">
      <x:c r="A7" s="150" t="str">
        <x:v>S4</x:v>
      </x:c>
      <x:c r="B7" s="150" t="str">
        <x:v>Company IR</x:v>
      </x:c>
      <x:c r="C7" s="150" t="str">
        <x:v>Grandstand</x:v>
      </x:c>
      <x:c r="D7" s="150" t="str">
        <x:v>Investor-relations center</x:v>
      </x:c>
      <x:c r="E7" s="150" t="str">
        <x:v>2026-07-22</x:v>
      </x:c>
      <x:c r="F7" s="150" t="str">
        <x:v>As of 2026-07-28</x:v>
      </x:c>
      <x:c r="G7" s="150" t="str">
        <x:v>IR services and news</x:v>
      </x:c>
      <x:c r="H7" s="150" t="str">
        <x:v>https://grandstand.com/investors/ir-services</x:v>
      </x:c>
      <x:c r="I7" s="150" t="str">
        <x:v>GRSD ticker, entity and business-line confirmation</x:v>
      </x:c>
      <x:c r="J7" s="150" t="str">
        <x:v>Verified primary</x:v>
      </x:c>
      <x:c r="K7" s="118"/>
      <x:c r="L7" s="118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 ht="44" customHeight="1">
      <x:c r="A8" s="150" t="str">
        <x:v>S5</x:v>
      </x:c>
      <x:c r="B8" s="150" t="str">
        <x:v>Market snapshot</x:v>
      </x:c>
      <x:c r="C8" s="150" t="str">
        <x:v>StockAnalysis</x:v>
      </x:c>
      <x:c r="D8" s="150" t="str">
        <x:v>GRSD quote page</x:v>
      </x:c>
      <x:c r="E8" s="150" t="str">
        <x:v>2026-07-27</x:v>
      </x:c>
      <x:c r="F8" s="150" t="str">
        <x:v>2026-07-27 close</x:v>
      </x:c>
      <x:c r="G8" s="150" t="str">
        <x:v>Stock snapshot</x:v>
      </x:c>
      <x:c r="H8" s="150" t="str">
        <x:v>https://stockanalysis.com/stocks/grsd/</x:v>
      </x:c>
      <x:c r="I8" s="150" t="str">
        <x:v>Frozen close $1.95; market-relative diagnostics</x:v>
      </x:c>
      <x:c r="J8" s="150" t="str">
        <x:v>Verified secondary; closing snapshot</x:v>
      </x:c>
      <x:c r="K8" s="118"/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 ht="44" customHeight="1">
      <x:c r="A9" s="150" t="str">
        <x:v>S6</x:v>
      </x:c>
      <x:c r="B9" s="150" t="str">
        <x:v>Market risk</x:v>
      </x:c>
      <x:c r="C9" s="150" t="str">
        <x:v>Federal Reserve</x:v>
      </x:c>
      <x:c r="D9" s="150" t="str">
        <x:v>H.15 Selected Interest Rates</x:v>
      </x:c>
      <x:c r="E9" s="150" t="str">
        <x:v>2026-07-22</x:v>
      </x:c>
      <x:c r="F9" s="150" t="str">
        <x:v>2026-07-22</x:v>
      </x:c>
      <x:c r="G9" s="150" t="str">
        <x:v>10-year Treasury constant maturity</x:v>
      </x:c>
      <x:c r="H9" s="150" t="str">
        <x:v>https://www.federalreserve.gov/releases/h15/</x:v>
      </x:c>
      <x:c r="I9" s="150" t="str">
        <x:v>USD risk-free-rate reference</x:v>
      </x:c>
      <x:c r="J9" s="150" t="str">
        <x:v>Verified primary</x:v>
      </x:c>
      <x:c r="K9" s="118"/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 ht="44" customHeight="1">
      <x:c r="A10" s="150" t="str">
        <x:v>S7</x:v>
      </x:c>
      <x:c r="B10" s="150" t="str">
        <x:v>Market risk</x:v>
      </x:c>
      <x:c r="C10" s="150" t="str">
        <x:v>Aswath Damodaran</x:v>
      </x:c>
      <x:c r="D10" s="150" t="str">
        <x:v>Implied Equity Risk Premium</x:v>
      </x:c>
      <x:c r="E10" s="150" t="str">
        <x:v>2026-07-01</x:v>
      </x:c>
      <x:c r="F10" s="150" t="str">
        <x:v>July 2026</x:v>
      </x:c>
      <x:c r="G10" s="150" t="str">
        <x:v>Homepage update</x:v>
      </x:c>
      <x:c r="H10" s="150" t="str">
        <x:v>https://pages.stern.nyu.edu/~adamodar/New_Home_Page/home.htm</x:v>
      </x:c>
      <x:c r="I10" s="150" t="str">
        <x:v>4.18% implied US equity risk premium</x:v>
      </x:c>
      <x:c r="J10" s="150" t="str">
        <x:v>Verified secondary</x:v>
      </x:c>
      <x:c r="K10" s="118"/>
      <x:c r="L10" s="118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>
      <x:c r="A11" s="118"/>
      <x:c r="B11" s="118"/>
      <x:c r="C11" s="118"/>
      <x:c r="D11" s="118"/>
      <x:c r="E11" s="118"/>
      <x:c r="F11" s="118"/>
      <x:c r="G11" s="118"/>
      <x:c r="H11" s="118"/>
      <x:c r="I11" s="118"/>
      <x:c r="J11" s="118"/>
      <x:c r="K11" s="118"/>
      <x:c r="L11" s="118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>
      <x:c r="A12" s="118"/>
      <x:c r="B12" s="118"/>
      <x:c r="C12" s="118"/>
      <x:c r="D12" s="118"/>
      <x:c r="E12" s="118"/>
      <x:c r="F12" s="118"/>
      <x:c r="G12" s="118"/>
      <x:c r="H12" s="118"/>
      <x:c r="I12" s="118"/>
      <x:c r="J12" s="118"/>
      <x:c r="K12" s="118"/>
      <x:c r="L12" s="118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>
      <x:c r="A13" s="118"/>
      <x:c r="B13" s="118"/>
      <x:c r="C13" s="118"/>
      <x:c r="D13" s="118"/>
      <x:c r="E13" s="118"/>
      <x:c r="F13" s="118"/>
      <x:c r="G13" s="118"/>
      <x:c r="H13" s="118"/>
      <x:c r="I13" s="118"/>
      <x:c r="J13" s="118"/>
      <x:c r="K13" s="118"/>
      <x:c r="L13" s="118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>
      <x:c r="A14" s="118"/>
      <x:c r="B14" s="118"/>
      <x:c r="C14" s="118"/>
      <x:c r="D14" s="118"/>
      <x:c r="E14" s="118"/>
      <x:c r="F14" s="118"/>
      <x:c r="G14" s="118"/>
      <x:c r="H14" s="118"/>
      <x:c r="I14" s="118"/>
      <x:c r="J14" s="118"/>
      <x:c r="K14" s="118"/>
      <x:c r="L14" s="118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>
      <x:c r="A15" s="118"/>
      <x:c r="B15" s="118"/>
      <x:c r="C15" s="118"/>
      <x:c r="D15" s="118"/>
      <x:c r="E15" s="118"/>
      <x:c r="F15" s="118"/>
      <x:c r="G15" s="118"/>
      <x:c r="H15" s="118"/>
      <x:c r="I15" s="118"/>
      <x:c r="J15" s="118"/>
      <x:c r="K15" s="118"/>
      <x:c r="L15" s="118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>
      <x:c r="A16" s="118"/>
      <x:c r="B16" s="118"/>
      <x:c r="C16" s="118"/>
      <x:c r="D16" s="118"/>
      <x:c r="E16" s="118"/>
      <x:c r="F16" s="118"/>
      <x:c r="G16" s="118"/>
      <x:c r="H16" s="118"/>
      <x:c r="I16" s="118"/>
      <x:c r="J16" s="118"/>
      <x:c r="K16" s="118"/>
      <x:c r="L16" s="118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>
      <x:c r="A17" s="118"/>
      <x:c r="B17" s="118"/>
      <x:c r="C17" s="118"/>
      <x:c r="D17" s="118"/>
      <x:c r="E17" s="118"/>
      <x:c r="F17" s="118"/>
      <x:c r="G17" s="118"/>
      <x:c r="H17" s="118"/>
      <x:c r="I17" s="118"/>
      <x:c r="J17" s="118"/>
      <x:c r="K17" s="118"/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>
      <x:c r="A18" s="118"/>
      <x:c r="B18" s="118"/>
      <x:c r="C18" s="118"/>
      <x:c r="D18" s="118"/>
      <x:c r="E18" s="118"/>
      <x:c r="F18" s="118"/>
      <x:c r="G18" s="118"/>
      <x:c r="H18" s="118"/>
      <x:c r="I18" s="118"/>
      <x:c r="J18" s="118"/>
      <x:c r="K18" s="118"/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>
      <x:c r="A19" s="118"/>
      <x:c r="B19" s="118"/>
      <x:c r="C19" s="118"/>
      <x:c r="D19" s="118"/>
      <x:c r="E19" s="118"/>
      <x:c r="F19" s="118"/>
      <x:c r="G19" s="118"/>
      <x:c r="H19" s="118"/>
      <x:c r="I19" s="118"/>
      <x:c r="J19" s="118"/>
      <x:c r="K19" s="118"/>
      <x:c r="L19" s="118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>
      <x:c r="A20" s="118"/>
      <x:c r="B20" s="118"/>
      <x:c r="C20" s="118"/>
      <x:c r="D20" s="118"/>
      <x:c r="E20" s="118"/>
      <x:c r="F20" s="118"/>
      <x:c r="G20" s="118"/>
      <x:c r="H20" s="118"/>
      <x:c r="I20" s="118"/>
      <x:c r="J20" s="118"/>
      <x:c r="K20" s="118"/>
      <x:c r="L20" s="118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>
      <x:c r="A21" s="118"/>
      <x:c r="B21" s="118"/>
      <x:c r="C21" s="118"/>
      <x:c r="D21" s="118"/>
      <x:c r="E21" s="118"/>
      <x:c r="F21" s="118"/>
      <x:c r="G21" s="118"/>
      <x:c r="H21" s="118"/>
      <x:c r="I21" s="118"/>
      <x:c r="J21" s="118"/>
      <x:c r="K21" s="118"/>
      <x:c r="L21" s="118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>
      <x:c r="A22" s="118"/>
      <x:c r="B22" s="118"/>
      <x:c r="C22" s="118"/>
      <x:c r="D22" s="118"/>
      <x:c r="E22" s="118"/>
      <x:c r="F22" s="118"/>
      <x:c r="G22" s="118"/>
      <x:c r="H22" s="118"/>
      <x:c r="I22" s="118"/>
      <x:c r="J22" s="118"/>
      <x:c r="K22" s="118"/>
      <x:c r="L22" s="118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>
      <x:c r="A23" s="118"/>
      <x:c r="B23" s="118"/>
      <x:c r="C23" s="118"/>
      <x:c r="D23" s="118"/>
      <x:c r="E23" s="118"/>
      <x:c r="F23" s="118"/>
      <x:c r="G23" s="118"/>
      <x:c r="H23" s="118"/>
      <x:c r="I23" s="118"/>
      <x:c r="J23" s="118"/>
      <x:c r="K23" s="118"/>
      <x:c r="L23" s="118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>
      <x:c r="A24" s="118"/>
      <x:c r="B24" s="118"/>
      <x:c r="C24" s="118"/>
      <x:c r="D24" s="118"/>
      <x:c r="E24" s="118"/>
      <x:c r="F24" s="118"/>
      <x:c r="G24" s="118"/>
      <x:c r="H24" s="118"/>
      <x:c r="I24" s="118"/>
      <x:c r="J24" s="118"/>
      <x:c r="K24" s="118"/>
      <x:c r="L24" s="118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>
      <x:c r="A25" s="118"/>
      <x:c r="B25" s="118"/>
      <x:c r="C25" s="118"/>
      <x:c r="D25" s="118"/>
      <x:c r="E25" s="118"/>
      <x:c r="F25" s="118"/>
      <x:c r="G25" s="118"/>
      <x:c r="H25" s="118"/>
      <x:c r="I25" s="118"/>
      <x:c r="J25" s="118"/>
      <x:c r="K25" s="118"/>
      <x:c r="L25" s="118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>
      <x:c r="A26" s="118"/>
      <x:c r="B26" s="118"/>
      <x:c r="C26" s="118"/>
      <x:c r="D26" s="118"/>
      <x:c r="E26" s="118"/>
      <x:c r="F26" s="118"/>
      <x:c r="G26" s="118"/>
      <x:c r="H26" s="118"/>
      <x:c r="I26" s="118"/>
      <x:c r="J26" s="118"/>
      <x:c r="K26" s="118"/>
      <x:c r="L26" s="118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>
      <x:c r="A27" s="118"/>
      <x:c r="B27" s="118"/>
      <x:c r="C27" s="118"/>
      <x:c r="D27" s="118"/>
      <x:c r="E27" s="118"/>
      <x:c r="F27" s="118"/>
      <x:c r="G27" s="118"/>
      <x:c r="H27" s="118"/>
      <x:c r="I27" s="118"/>
      <x:c r="J27" s="118"/>
      <x:c r="K27" s="118"/>
      <x:c r="L27" s="118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>
      <x:c r="A28" s="118"/>
      <x:c r="B28" s="118"/>
      <x:c r="C28" s="118"/>
      <x:c r="D28" s="118"/>
      <x:c r="E28" s="118"/>
      <x:c r="F28" s="118"/>
      <x:c r="G28" s="118"/>
      <x:c r="H28" s="118"/>
      <x:c r="I28" s="118"/>
      <x:c r="J28" s="118"/>
      <x:c r="K28" s="118"/>
      <x:c r="L28" s="118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>
      <x:c r="A29" s="118"/>
      <x:c r="B29" s="118"/>
      <x:c r="C29" s="118"/>
      <x:c r="D29" s="118"/>
      <x:c r="E29" s="118"/>
      <x:c r="F29" s="118"/>
      <x:c r="G29" s="118"/>
      <x:c r="H29" s="118"/>
      <x:c r="I29" s="118"/>
      <x:c r="J29" s="118"/>
      <x:c r="K29" s="118"/>
      <x:c r="L29" s="118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>
      <x:c r="A30" s="118"/>
      <x:c r="B30" s="118"/>
      <x:c r="C30" s="118"/>
      <x:c r="D30" s="118"/>
      <x:c r="E30" s="118"/>
      <x:c r="F30" s="118"/>
      <x:c r="G30" s="118"/>
      <x:c r="H30" s="118"/>
      <x:c r="I30" s="118"/>
      <x:c r="J30" s="118"/>
      <x:c r="K30" s="118"/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>
      <x:c r="A31" s="118"/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8"/>
      <x:c r="L31" s="118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>
      <x:c r="A32" s="118"/>
      <x:c r="B32" s="118"/>
      <x:c r="C32" s="118"/>
      <x:c r="D32" s="118"/>
      <x:c r="E32" s="118"/>
      <x:c r="F32" s="118"/>
      <x:c r="G32" s="118"/>
      <x:c r="H32" s="118"/>
      <x:c r="I32" s="118"/>
      <x:c r="J32" s="118"/>
      <x:c r="K32" s="118"/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>
      <x:c r="A33" s="118"/>
      <x:c r="B33" s="118"/>
      <x:c r="C33" s="118"/>
      <x:c r="D33" s="118"/>
      <x:c r="E33" s="118"/>
      <x:c r="F33" s="118"/>
      <x:c r="G33" s="118"/>
      <x:c r="H33" s="118"/>
      <x:c r="I33" s="118"/>
      <x:c r="J33" s="118"/>
      <x:c r="K33" s="118"/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  <x:c r="I34" s="118"/>
      <x:c r="J34" s="118"/>
      <x:c r="K34" s="118"/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  <x:c r="I35" s="118"/>
      <x:c r="J35" s="118"/>
      <x:c r="K35" s="118"/>
      <x:c r="L35" s="118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  <x:c r="I36" s="118"/>
      <x:c r="J36" s="118"/>
      <x:c r="K36" s="118"/>
      <x:c r="L36" s="118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  <x:c r="I37" s="118"/>
      <x:c r="J37" s="118"/>
      <x:c r="K37" s="118"/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  <x:c r="I38" s="118"/>
      <x:c r="J38" s="118"/>
      <x:c r="K38" s="118"/>
      <x:c r="L38" s="118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  <x:c r="I39" s="118"/>
      <x:c r="J39" s="118"/>
      <x:c r="K39" s="118"/>
      <x:c r="L39" s="118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  <x:c r="I40" s="118"/>
      <x:c r="J40" s="118"/>
      <x:c r="K40" s="118"/>
      <x:c r="L40" s="118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8"/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  <x:c r="I42" s="118"/>
      <x:c r="J42" s="118"/>
      <x:c r="K42" s="118"/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  <x:c r="I43" s="118"/>
      <x:c r="J43" s="118"/>
      <x:c r="K43" s="118"/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  <x:c r="I44" s="118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  <x:c r="I45" s="118"/>
      <x:c r="J45" s="118"/>
      <x:c r="K45" s="118"/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  <x:c r="I46" s="118"/>
      <x:c r="J46" s="118"/>
      <x:c r="K46" s="118"/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  <x:c r="I47" s="118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  <x:c r="I48" s="118"/>
      <x:c r="J48" s="118"/>
      <x:c r="K48" s="118"/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  <x:c r="I50" s="118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8"/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  <x:c r="I52" s="118"/>
      <x:c r="J52" s="118"/>
      <x:c r="K52" s="118"/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/>
      <x:c r="B55" s="118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/>
      <x:c r="B58" s="118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18"/>
      <x:c r="B59" s="118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/>
      <x:c r="B60" s="118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/>
      <x:c r="B61" s="118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/>
      <x:c r="B62" s="118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4" hidden="0" customWidth="1"/>
    <x:col min="4" max="4" width="20" hidden="0" customWidth="1"/>
    <x:col min="5" max="5" width="43" hidden="0" customWidth="1"/>
    <x:col min="6" max="6" width="39" hidden="0" customWidth="1"/>
  </x:cols>
  <x:sheetData>
    <x:row r="1" ht="30" customHeight="1">
      <x:c r="A1" s="3" t="str">
        <x:v>Grandstand Limited (GRSD) — Assumption Register</x:v>
      </x:c>
      <x:c r="B1" s="3"/>
      <x:c r="C1" s="3"/>
      <x:c r="D1" s="3"/>
      <x:c r="E1" s="3"/>
      <x:c r="F1" s="3"/>
      <x:c r="G1" s="118"/>
      <x:c r="H1" s="118"/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>
      <x:c r="A2" s="118"/>
      <x:c r="B2" s="118"/>
      <x:c r="C2" s="118"/>
      <x:c r="D2" s="118"/>
      <x:c r="E2" s="118"/>
      <x:c r="F2" s="118"/>
      <x:c r="G2" s="118"/>
      <x:c r="H2" s="118"/>
      <x:c r="I2" s="118"/>
      <x:c r="J2" s="118"/>
      <x:c r="K2" s="118"/>
      <x:c r="L2" s="118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>
      <x:c r="A3" s="12" t="str">
        <x:v>Assumption</x:v>
      </x:c>
      <x:c r="B3" s="13" t="str">
        <x:v>Base</x:v>
      </x:c>
      <x:c r="C3" s="13" t="str">
        <x:v>Units</x:v>
      </x:c>
      <x:c r="D3" s="13" t="str">
        <x:v>Type</x:v>
      </x:c>
      <x:c r="E3" s="13" t="str">
        <x:v>Basis / source</x:v>
      </x:c>
      <x:c r="F3" s="14" t="str">
        <x:v>Sensitivity / limitation</x:v>
      </x:c>
      <x:c r="G3" s="118"/>
      <x:c r="H3" s="118"/>
      <x:c r="I3" s="118"/>
      <x:c r="J3" s="118"/>
      <x:c r="K3" s="118"/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>
      <x:c r="A4" s="118" t="str">
        <x:v>Valuation date</x:v>
      </x:c>
      <x:c r="B4" s="151" t="n">
        <x:v>46231</x:v>
      </x:c>
      <x:c r="C4" s="118" t="str">
        <x:v>date</x:v>
      </x:c>
      <x:c r="D4" s="118" t="str">
        <x:v>Sourced</x:v>
      </x:c>
      <x:c r="E4" s="118" t="str">
        <x:v>28-Jul-2026; close frozen at 27-Jul</x:v>
      </x:c>
      <x:c r="F4" s="118" t="str">
        <x:v>Operating source cutoff remains Q1 2026</x:v>
      </x:c>
      <x:c r="G4" s="118"/>
      <x:c r="H4" s="118"/>
      <x:c r="I4" s="118"/>
      <x:c r="J4" s="118"/>
      <x:c r="K4" s="118"/>
      <x:c r="L4" s="11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>
      <x:c r="A5" s="118" t="str">
        <x:v>Frozen market price</x:v>
      </x:c>
      <x:c r="B5" s="148" t="n">
        <x:v>1.95</x:v>
      </x:c>
      <x:c r="C5" s="118" t="str">
        <x:v>$/share</x:v>
      </x:c>
      <x:c r="D5" s="118" t="str">
        <x:v>Sourced secondary</x:v>
      </x:c>
      <x:c r="E5" s="118" t="str">
        <x:v>S5; 27-Jul-2026 close</x:v>
      </x:c>
      <x:c r="F5" s="118" t="str">
        <x:v>Refresh before decision use</x:v>
      </x:c>
      <x:c r="G5" s="118"/>
      <x:c r="H5" s="118"/>
      <x:c r="I5" s="118"/>
      <x:c r="J5" s="118"/>
      <x:c r="K5" s="118"/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>
      <x:c r="A6" s="118" t="str">
        <x:v>Basic shares outstanding</x:v>
      </x:c>
      <x:c r="B6" s="152" t="n">
        <x:v>35.225096</x:v>
      </x:c>
      <x:c r="C6" s="118" t="str">
        <x:v>mm</x:v>
      </x:c>
      <x:c r="D6" s="118" t="str">
        <x:v>Sourced</x:v>
      </x:c>
      <x:c r="E6" s="118" t="str">
        <x:v>S2; Q1 2026 basic weighted average</x:v>
      </x:c>
      <x:c r="F6" s="118" t="str">
        <x:v>Earnout shares can dilute equity</x:v>
      </x:c>
      <x:c r="G6" s="118"/>
      <x:c r="H6" s="118"/>
      <x:c r="I6" s="118"/>
      <x:c r="J6" s="118"/>
      <x:c r="K6" s="118"/>
      <x:c r="L6" s="118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>
      <x:c r="A7" s="118" t="str">
        <x:v>Diluted shares / model denominator</x:v>
      </x:c>
      <x:c r="B7" s="152" t="n">
        <x:v>42.426533</x:v>
      </x:c>
      <x:c r="C7" s="118" t="str">
        <x:v>mm</x:v>
      </x:c>
      <x:c r="D7" s="118" t="str">
        <x:v>Sourced</x:v>
      </x:c>
      <x:c r="E7" s="118" t="str">
        <x:v>S2; Q1 2026 if dilutive</x:v>
      </x:c>
      <x:c r="F7" s="118" t="str">
        <x:v>Conservative denominator</x:v>
      </x:c>
      <x:c r="G7" s="118"/>
      <x:c r="H7" s="118"/>
      <x:c r="I7" s="118"/>
      <x:c r="J7" s="118"/>
      <x:c r="K7" s="118"/>
      <x:c r="L7" s="118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>
      <x:c r="A8" s="118" t="str">
        <x:v>Cash</x:v>
      </x:c>
      <x:c r="B8" s="152" t="n">
        <x:v>8.412</x:v>
      </x:c>
      <x:c r="C8" s="118" t="str">
        <x:v>$mm</x:v>
      </x:c>
      <x:c r="D8" s="118" t="str">
        <x:v>Sourced</x:v>
      </x:c>
      <x:c r="E8" s="118" t="str">
        <x:v>S2; 31-Mar-2026</x:v>
      </x:c>
      <x:c r="F8" s="118" t="str">
        <x:v>May be stale after settlements</x:v>
      </x:c>
      <x:c r="G8" s="118"/>
      <x:c r="H8" s="118"/>
      <x:c r="I8" s="118"/>
      <x:c r="J8" s="118"/>
      <x:c r="K8" s="118"/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>
      <x:c r="A9" s="118" t="str">
        <x:v>Borrowings + accrued interest</x:v>
      </x:c>
      <x:c r="B9" s="152" t="n">
        <x:v>116.504</x:v>
      </x:c>
      <x:c r="C9" s="118" t="str">
        <x:v>$mm</x:v>
      </x:c>
      <x:c r="D9" s="118" t="str">
        <x:v>Sourced</x:v>
      </x:c>
      <x:c r="E9" s="118" t="str">
        <x:v>S2; current plus non-current</x:v>
      </x:c>
      <x:c r="F9" s="118" t="str">
        <x:v>Debt-like claim</x:v>
      </x:c>
      <x:c r="G9" s="118"/>
      <x:c r="H9" s="118"/>
      <x:c r="I9" s="118"/>
      <x:c r="J9" s="118"/>
      <x:c r="K9" s="118"/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>
      <x:c r="A10" s="118" t="str">
        <x:v>Deferred consideration</x:v>
      </x:c>
      <x:c r="B10" s="152" t="n">
        <x:v>36.684</x:v>
      </x:c>
      <x:c r="C10" s="118" t="str">
        <x:v>$mm</x:v>
      </x:c>
      <x:c r="D10" s="118" t="str">
        <x:v>Sourced</x:v>
      </x:c>
      <x:c r="E10" s="118" t="str">
        <x:v>S2; OddsJam 31-Mar-2026</x:v>
      </x:c>
      <x:c r="F10" s="118" t="str">
        <x:v>Debt-like; later settlements not fully modelled</x:v>
      </x:c>
      <x:c r="G10" s="118"/>
      <x:c r="H10" s="118"/>
      <x:c r="I10" s="118"/>
      <x:c r="J10" s="118"/>
      <x:c r="K10" s="118"/>
      <x:c r="L10" s="118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>
      <x:c r="A11" s="118" t="str">
        <x:v>Lease liabilities</x:v>
      </x:c>
      <x:c r="B11" s="152" t="n">
        <x:v>4.402</x:v>
      </x:c>
      <x:c r="C11" s="118" t="str">
        <x:v>$mm</x:v>
      </x:c>
      <x:c r="D11" s="118" t="str">
        <x:v>Sourced</x:v>
      </x:c>
      <x:c r="E11" s="118" t="str">
        <x:v>S2; current plus non-current</x:v>
      </x:c>
      <x:c r="F11" s="118" t="str">
        <x:v>Debt-like claim</x:v>
      </x:c>
      <x:c r="G11" s="118"/>
      <x:c r="H11" s="118"/>
      <x:c r="I11" s="118"/>
      <x:c r="J11" s="118"/>
      <x:c r="K11" s="118"/>
      <x:c r="L11" s="118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>
      <x:c r="A12" s="118" t="str">
        <x:v>Risk-free rate</x:v>
      </x:c>
      <x:c r="B12" s="153" t="n">
        <x:v>0.0455</x:v>
      </x:c>
      <x:c r="C12" s="118" t="str">
        <x:v>%</x:v>
      </x:c>
      <x:c r="D12" s="118" t="str">
        <x:v>Sourced</x:v>
      </x:c>
      <x:c r="E12" s="118" t="str">
        <x:v>S6; 22-Jul-2026 10-year Treasury</x:v>
      </x:c>
      <x:c r="F12" s="118" t="str">
        <x:v>Use USD rate</x:v>
      </x:c>
      <x:c r="G12" s="118"/>
      <x:c r="H12" s="118"/>
      <x:c r="I12" s="118"/>
      <x:c r="J12" s="118"/>
      <x:c r="K12" s="118"/>
      <x:c r="L12" s="118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>
      <x:c r="A13" s="118" t="str">
        <x:v>Equity risk premium</x:v>
      </x:c>
      <x:c r="B13" s="153" t="n">
        <x:v>0.0418</x:v>
      </x:c>
      <x:c r="C13" s="118" t="str">
        <x:v>%</x:v>
      </x:c>
      <x:c r="D13" s="118" t="str">
        <x:v>Sourced secondary</x:v>
      </x:c>
      <x:c r="E13" s="118" t="str">
        <x:v>S7; July 2026 implied ERP</x:v>
      </x:c>
      <x:c r="F13" s="118" t="str">
        <x:v>Not company-specific</x:v>
      </x:c>
      <x:c r="G13" s="118"/>
      <x:c r="H13" s="118"/>
      <x:c r="I13" s="118"/>
      <x:c r="J13" s="118"/>
      <x:c r="K13" s="118"/>
      <x:c r="L13" s="118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>
      <x:c r="A14" s="118" t="str">
        <x:v>Levered beta</x:v>
      </x:c>
      <x:c r="B14" s="154" t="n">
        <x:v>1.5</x:v>
      </x:c>
      <x:c r="C14" s="118" t="str">
        <x:v>x</x:v>
      </x:c>
      <x:c r="D14" s="118" t="str">
        <x:v>Analyst assumption</x:v>
      </x:c>
      <x:c r="E14" s="118" t="str">
        <x:v>Small-cap, highly volatile equity</x:v>
      </x:c>
      <x:c r="F14" s="118" t="str">
        <x:v>No licensed beta source</x:v>
      </x:c>
      <x:c r="G14" s="118"/>
      <x:c r="H14" s="118"/>
      <x:c r="I14" s="118"/>
      <x:c r="J14" s="118"/>
      <x:c r="K14" s="118"/>
      <x:c r="L14" s="118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>
      <x:c r="A15" s="118" t="str">
        <x:v>Specific / size premium</x:v>
      </x:c>
      <x:c r="B15" s="155" t="n">
        <x:v>0.048</x:v>
      </x:c>
      <x:c r="C15" s="118" t="str">
        <x:v>%</x:v>
      </x:c>
      <x:c r="D15" s="118" t="str">
        <x:v>Analyst assumption</x:v>
      </x:c>
      <x:c r="E15" s="118" t="str">
        <x:v>Micro-cap, leverage and execution risk</x:v>
      </x:c>
      <x:c r="F15" s="118" t="str">
        <x:v>Principal valuation judgment</x:v>
      </x:c>
      <x:c r="G15" s="118"/>
      <x:c r="H15" s="118"/>
      <x:c r="I15" s="118"/>
      <x:c r="J15" s="118"/>
      <x:c r="K15" s="118"/>
      <x:c r="L15" s="118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>
      <x:c r="A16" s="118" t="str">
        <x:v>Cost of equity</x:v>
      </x:c>
      <x:c r="B16" s="153" t="n">
        <x:f>B12+B14*B13+B15</x:f>
        <x:v>0.1562</x:v>
      </x:c>
      <x:c r="C16" s="118" t="str">
        <x:v>%</x:v>
      </x:c>
      <x:c r="D16" s="118" t="str">
        <x:v>Formula</x:v>
      </x:c>
      <x:c r="E16" s="118" t="str">
        <x:v>Rf + beta × ERP + specific premium</x:v>
      </x:c>
      <x:c r="F16" s="118" t="str">
        <x:v>Calculated</x:v>
      </x:c>
      <x:c r="G16" s="118"/>
      <x:c r="H16" s="118"/>
      <x:c r="I16" s="118"/>
      <x:c r="J16" s="118"/>
      <x:c r="K16" s="118"/>
      <x:c r="L16" s="118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>
      <x:c r="A17" s="118" t="str">
        <x:v>Pre-tax cost of debt</x:v>
      </x:c>
      <x:c r="B17" s="155" t="n">
        <x:v>0.09</x:v>
      </x:c>
      <x:c r="C17" s="118" t="str">
        <x:v>%</x:v>
      </x:c>
      <x:c r="D17" s="118" t="str">
        <x:v>Analyst assumption</x:v>
      </x:c>
      <x:c r="E17" s="118" t="str">
        <x:v>Rounded borrowing cost</x:v>
      </x:c>
      <x:c r="F17" s="118" t="str">
        <x:v>Refinancing risk is material</x:v>
      </x:c>
      <x:c r="G17" s="118"/>
      <x:c r="H17" s="118"/>
      <x:c r="I17" s="118"/>
      <x:c r="J17" s="118"/>
      <x:c r="K17" s="118"/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>
      <x:c r="A18" s="118" t="str">
        <x:v>Tax rate</x:v>
      </x:c>
      <x:c r="B18" s="155" t="n">
        <x:v>0.25</x:v>
      </x:c>
      <x:c r="C18" s="118" t="str">
        <x:v>%</x:v>
      </x:c>
      <x:c r="D18" s="118" t="str">
        <x:v>Analyst assumption</x:v>
      </x:c>
      <x:c r="E18" s="118" t="str">
        <x:v>Normalized cash tax</x:v>
      </x:c>
      <x:c r="F18" s="118" t="str">
        <x:v>Statutory tax is volatile</x:v>
      </x:c>
      <x:c r="G18" s="118"/>
      <x:c r="H18" s="118"/>
      <x:c r="I18" s="118"/>
      <x:c r="J18" s="118"/>
      <x:c r="K18" s="118"/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>
      <x:c r="A19" s="118" t="str">
        <x:v>Debt weight</x:v>
      </x:c>
      <x:c r="B19" s="155" t="n">
        <x:v>0.3</x:v>
      </x:c>
      <x:c r="C19" s="118" t="str">
        <x:v>%</x:v>
      </x:c>
      <x:c r="D19" s="118" t="str">
        <x:v>Analyst assumption</x:v>
      </x:c>
      <x:c r="E19" s="118" t="str">
        <x:v>Target capital structure</x:v>
      </x:c>
      <x:c r="F19" s="118" t="str">
        <x:v>Not current book mix</x:v>
      </x:c>
      <x:c r="G19" s="118"/>
      <x:c r="H19" s="118"/>
      <x:c r="I19" s="118"/>
      <x:c r="J19" s="118"/>
      <x:c r="K19" s="118"/>
      <x:c r="L19" s="118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>
      <x:c r="A20" s="118" t="str">
        <x:v>WACC</x:v>
      </x:c>
      <x:c r="B20" s="153" t="n">
        <x:f>B16*(1-B19)+B17*(1-B18)*B19</x:f>
        <x:v>0.12958999999999998</x:v>
      </x:c>
      <x:c r="C20" s="118" t="str">
        <x:v>%</x:v>
      </x:c>
      <x:c r="D20" s="118" t="str">
        <x:v>Formula</x:v>
      </x:c>
      <x:c r="E20" s="118" t="str">
        <x:v>Cost of equity / after-tax debt cost</x:v>
      </x:c>
      <x:c r="F20" s="118" t="str">
        <x:v>11–15% tested</x:v>
      </x:c>
      <x:c r="G20" s="118"/>
      <x:c r="H20" s="118"/>
      <x:c r="I20" s="118"/>
      <x:c r="J20" s="118"/>
      <x:c r="K20" s="118"/>
      <x:c r="L20" s="118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>
      <x:c r="A21" s="118" t="str">
        <x:v>Terminal growth</x:v>
      </x:c>
      <x:c r="B21" s="155" t="n">
        <x:v>0.025</x:v>
      </x:c>
      <x:c r="C21" s="118" t="str">
        <x:v>%</x:v>
      </x:c>
      <x:c r="D21" s="118" t="str">
        <x:v>Analyst assumption</x:v>
      </x:c>
      <x:c r="E21" s="118" t="str">
        <x:v>Long-run USD nominal growth</x:v>
      </x:c>
      <x:c r="F21" s="118" t="str">
        <x:v>2.0–3.0% tested</x:v>
      </x:c>
      <x:c r="G21" s="118"/>
      <x:c r="H21" s="118"/>
      <x:c r="I21" s="118"/>
      <x:c r="J21" s="118"/>
      <x:c r="K21" s="118"/>
      <x:c r="L21" s="118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>
      <x:c r="A22" s="118" t="str">
        <x:v>Cash tax / FCFF rate</x:v>
      </x:c>
      <x:c r="B22" s="155" t="n">
        <x:v>0.25</x:v>
      </x:c>
      <x:c r="C22" s="118" t="str">
        <x:v>%</x:v>
      </x:c>
      <x:c r="D22" s="118" t="str">
        <x:v>Analyst assumption</x:v>
      </x:c>
      <x:c r="E22" s="118" t="str">
        <x:v>Normalized cash rate</x:v>
      </x:c>
      <x:c r="F22" s="118" t="str">
        <x:v>Not statutory forecast</x:v>
      </x:c>
      <x:c r="G22" s="118"/>
      <x:c r="H22" s="118"/>
      <x:c r="I22" s="118"/>
      <x:c r="J22" s="118"/>
      <x:c r="K22" s="118"/>
      <x:c r="L22" s="118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>
      <x:c r="A23" s="118" t="str">
        <x:v>Exit EBITDA multiple — low</x:v>
      </x:c>
      <x:c r="B23" s="154" t="n">
        <x:v>5</x:v>
      </x:c>
      <x:c r="C23" s="118" t="str">
        <x:v>x</x:v>
      </x:c>
      <x:c r="D23" s="118" t="str">
        <x:v>Analyst assumption</x:v>
      </x:c>
      <x:c r="E23" s="118" t="str">
        <x:v>Market-based terminal stress</x:v>
      </x:c>
      <x:c r="F23" s="118" t="str">
        <x:v>Not a peer median</x:v>
      </x:c>
      <x:c r="G23" s="118"/>
      <x:c r="H23" s="118"/>
      <x:c r="I23" s="118"/>
      <x:c r="J23" s="118"/>
      <x:c r="K23" s="118"/>
      <x:c r="L23" s="118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>
      <x:c r="A24" s="118" t="str">
        <x:v>Exit EBITDA multiple — mid</x:v>
      </x:c>
      <x:c r="B24" s="154" t="n">
        <x:v>6</x:v>
      </x:c>
      <x:c r="C24" s="118" t="str">
        <x:v>x</x:v>
      </x:c>
      <x:c r="D24" s="118" t="str">
        <x:v>Analyst assumption</x:v>
      </x:c>
      <x:c r="E24" s="118" t="str">
        <x:v>Market-based terminal stress</x:v>
      </x:c>
      <x:c r="F24" s="118" t="str">
        <x:v>Not a peer median</x:v>
      </x:c>
      <x:c r="G24" s="118"/>
      <x:c r="H24" s="118"/>
      <x:c r="I24" s="118"/>
      <x:c r="J24" s="118"/>
      <x:c r="K24" s="118"/>
      <x:c r="L24" s="118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>
      <x:c r="A25" s="118" t="str">
        <x:v>Exit EBITDA multiple — high</x:v>
      </x:c>
      <x:c r="B25" s="154" t="n">
        <x:v>7</x:v>
      </x:c>
      <x:c r="C25" s="118" t="str">
        <x:v>x</x:v>
      </x:c>
      <x:c r="D25" s="118" t="str">
        <x:v>Analyst assumption</x:v>
      </x:c>
      <x:c r="E25" s="118" t="str">
        <x:v>Market-based terminal stress</x:v>
      </x:c>
      <x:c r="F25" s="118" t="str">
        <x:v>Not a peer median</x:v>
      </x:c>
      <x:c r="G25" s="118"/>
      <x:c r="H25" s="118"/>
      <x:c r="I25" s="118"/>
      <x:c r="J25" s="118"/>
      <x:c r="K25" s="118"/>
      <x:c r="L25" s="118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>
      <x:c r="A26" s="118" t="str">
        <x:v>EV / revenue multiple — low</x:v>
      </x:c>
      <x:c r="B26" s="154" t="n">
        <x:v>1</x:v>
      </x:c>
      <x:c r="C26" s="118" t="str">
        <x:v>x</x:v>
      </x:c>
      <x:c r="D26" s="118" t="str">
        <x:v>Analyst assumption</x:v>
      </x:c>
      <x:c r="E26" s="118" t="str">
        <x:v>Scale / mix stress</x:v>
      </x:c>
      <x:c r="F26" s="118" t="str">
        <x:v>No normalized peer set</x:v>
      </x:c>
      <x:c r="G26" s="118"/>
      <x:c r="H26" s="118"/>
      <x:c r="I26" s="118"/>
      <x:c r="J26" s="118"/>
      <x:c r="K26" s="118"/>
      <x:c r="L26" s="118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>
      <x:c r="A27" s="118" t="str">
        <x:v>EV / revenue multiple — mid</x:v>
      </x:c>
      <x:c r="B27" s="154" t="n">
        <x:v>1.5</x:v>
      </x:c>
      <x:c r="C27" s="118" t="str">
        <x:v>x</x:v>
      </x:c>
      <x:c r="D27" s="118" t="str">
        <x:v>Analyst assumption</x:v>
      </x:c>
      <x:c r="E27" s="118" t="str">
        <x:v>Scale / mix stress</x:v>
      </x:c>
      <x:c r="F27" s="118" t="str">
        <x:v>No normalized peer set</x:v>
      </x:c>
      <x:c r="G27" s="118"/>
      <x:c r="H27" s="118"/>
      <x:c r="I27" s="118"/>
      <x:c r="J27" s="118"/>
      <x:c r="K27" s="118"/>
      <x:c r="L27" s="118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>
      <x:c r="A28" s="118" t="str">
        <x:v>EV / revenue multiple — high</x:v>
      </x:c>
      <x:c r="B28" s="154" t="n">
        <x:v>2</x:v>
      </x:c>
      <x:c r="C28" s="118" t="str">
        <x:v>x</x:v>
      </x:c>
      <x:c r="D28" s="118" t="str">
        <x:v>Analyst assumption</x:v>
      </x:c>
      <x:c r="E28" s="118" t="str">
        <x:v>Scale / mix stress</x:v>
      </x:c>
      <x:c r="F28" s="118" t="str">
        <x:v>No normalized peer set</x:v>
      </x:c>
      <x:c r="G28" s="118"/>
      <x:c r="H28" s="118"/>
      <x:c r="I28" s="118"/>
      <x:c r="J28" s="118"/>
      <x:c r="K28" s="118"/>
      <x:c r="L28" s="118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>
      <x:c r="A29" s="118" t="str">
        <x:v>EV / EBITDA multiple — low</x:v>
      </x:c>
      <x:c r="B29" s="154" t="n">
        <x:v>4</x:v>
      </x:c>
      <x:c r="C29" s="118" t="str">
        <x:v>x</x:v>
      </x:c>
      <x:c r="D29" s="118" t="str">
        <x:v>Analyst assumption</x:v>
      </x:c>
      <x:c r="E29" s="118" t="str">
        <x:v>Profitability stress</x:v>
      </x:c>
      <x:c r="F29" s="118" t="str">
        <x:v>No normalized peer set</x:v>
      </x:c>
      <x:c r="G29" s="118"/>
      <x:c r="H29" s="118"/>
      <x:c r="I29" s="118"/>
      <x:c r="J29" s="118"/>
      <x:c r="K29" s="118"/>
      <x:c r="L29" s="118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>
      <x:c r="A30" s="118" t="str">
        <x:v>EV / EBITDA multiple — mid</x:v>
      </x:c>
      <x:c r="B30" s="154" t="n">
        <x:v>5</x:v>
      </x:c>
      <x:c r="C30" s="118" t="str">
        <x:v>x</x:v>
      </x:c>
      <x:c r="D30" s="118" t="str">
        <x:v>Analyst assumption</x:v>
      </x:c>
      <x:c r="E30" s="118" t="str">
        <x:v>Profitability stress</x:v>
      </x:c>
      <x:c r="F30" s="118" t="str">
        <x:v>No normalized peer set</x:v>
      </x:c>
      <x:c r="G30" s="118"/>
      <x:c r="H30" s="118"/>
      <x:c r="I30" s="118"/>
      <x:c r="J30" s="118"/>
      <x:c r="K30" s="118"/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>
      <x:c r="A31" s="118" t="str">
        <x:v>EV / EBITDA multiple — high</x:v>
      </x:c>
      <x:c r="B31" s="154" t="n">
        <x:v>6</x:v>
      </x:c>
      <x:c r="C31" s="118" t="str">
        <x:v>x</x:v>
      </x:c>
      <x:c r="D31" s="118" t="str">
        <x:v>Analyst assumption</x:v>
      </x:c>
      <x:c r="E31" s="118" t="str">
        <x:v>Profitability stress</x:v>
      </x:c>
      <x:c r="F31" s="118" t="str">
        <x:v>No normalized peer set</x:v>
      </x:c>
      <x:c r="G31" s="118"/>
      <x:c r="H31" s="118"/>
      <x:c r="I31" s="118"/>
      <x:c r="J31" s="118"/>
      <x:c r="K31" s="118"/>
      <x:c r="L31" s="118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>
      <x:c r="A32" s="118" t="str">
        <x:v>APV unlevered beta</x:v>
      </x:c>
      <x:c r="B32" s="156" t="n">
        <x:f>B14/(1+(1-B18)*B19/(1-B19))</x:f>
        <x:v>1.135135135135135</x:v>
      </x:c>
      <x:c r="C32" s="118" t="str">
        <x:v>x</x:v>
      </x:c>
      <x:c r="D32" s="118" t="str">
        <x:v>Formula</x:v>
      </x:c>
      <x:c r="E32" s="118" t="str">
        <x:v>Levered beta unlevered at target D/E</x:v>
      </x:c>
      <x:c r="F32" s="118" t="str">
        <x:v>Uses target capital structure</x:v>
      </x:c>
      <x:c r="G32" s="118"/>
      <x:c r="H32" s="118"/>
      <x:c r="I32" s="118"/>
      <x:c r="J32" s="118"/>
      <x:c r="K32" s="118"/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>
      <x:c r="A33" s="118" t="str">
        <x:v>APV unlevered cost</x:v>
      </x:c>
      <x:c r="B33" s="153" t="n">
        <x:f>B12+B32*B13+B15</x:f>
        <x:v>0.14094864864864864</x:v>
      </x:c>
      <x:c r="C33" s="118" t="str">
        <x:v>%</x:v>
      </x:c>
      <x:c r="D33" s="118" t="str">
        <x:v>Formula</x:v>
      </x:c>
      <x:c r="E33" s="118" t="str">
        <x:v>Rf + unlevered beta × ERP + specific premium</x:v>
      </x:c>
      <x:c r="F33" s="118" t="str">
        <x:v>Tax shield valued separately</x:v>
      </x:c>
      <x:c r="G33" s="118"/>
      <x:c r="H33" s="118"/>
      <x:c r="I33" s="118"/>
      <x:c r="J33" s="118"/>
      <x:c r="K33" s="118"/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>
      <x:c r="A34" s="118" t="str">
        <x:v>APV debt amortization — 2026</x:v>
      </x:c>
      <x:c r="B34" s="155" t="n">
        <x:v>0.1</x:v>
      </x:c>
      <x:c r="C34" s="118" t="str">
        <x:v>%</x:v>
      </x:c>
      <x:c r="D34" s="118" t="str">
        <x:v>Analyst assumption</x:v>
      </x:c>
      <x:c r="E34" s="118" t="str">
        <x:v>Illustrative schedule</x:v>
      </x:c>
      <x:c r="F34" s="118" t="str">
        <x:v>No contractual schedule available</x:v>
      </x:c>
      <x:c r="G34" s="118"/>
      <x:c r="H34" s="118"/>
      <x:c r="I34" s="118"/>
      <x:c r="J34" s="118"/>
      <x:c r="K34" s="118"/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>
      <x:c r="A35" s="118" t="str">
        <x:v>APV debt amortization — 2027</x:v>
      </x:c>
      <x:c r="B35" s="155" t="n">
        <x:v>0.15</x:v>
      </x:c>
      <x:c r="C35" s="118" t="str">
        <x:v>%</x:v>
      </x:c>
      <x:c r="D35" s="118" t="str">
        <x:v>Analyst assumption</x:v>
      </x:c>
      <x:c r="E35" s="118" t="str">
        <x:v>Illustrative schedule</x:v>
      </x:c>
      <x:c r="F35" s="118" t="str">
        <x:v>No contractual schedule available</x:v>
      </x:c>
      <x:c r="G35" s="118"/>
      <x:c r="H35" s="118"/>
      <x:c r="I35" s="118"/>
      <x:c r="J35" s="118"/>
      <x:c r="K35" s="118"/>
      <x:c r="L35" s="118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>
      <x:c r="A36" s="118" t="str">
        <x:v>APV debt amortization — 2028</x:v>
      </x:c>
      <x:c r="B36" s="155" t="n">
        <x:v>0.2</x:v>
      </x:c>
      <x:c r="C36" s="118" t="str">
        <x:v>%</x:v>
      </x:c>
      <x:c r="D36" s="118" t="str">
        <x:v>Analyst assumption</x:v>
      </x:c>
      <x:c r="E36" s="118" t="str">
        <x:v>Illustrative schedule</x:v>
      </x:c>
      <x:c r="F36" s="118" t="str">
        <x:v>No contractual schedule available</x:v>
      </x:c>
      <x:c r="G36" s="118"/>
      <x:c r="H36" s="118"/>
      <x:c r="I36" s="118"/>
      <x:c r="J36" s="118"/>
      <x:c r="K36" s="118"/>
      <x:c r="L36" s="118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>
      <x:c r="A37" s="118" t="str">
        <x:v>APV debt amortization — 2029</x:v>
      </x:c>
      <x:c r="B37" s="155" t="n">
        <x:v>0.2</x:v>
      </x:c>
      <x:c r="C37" s="118" t="str">
        <x:v>%</x:v>
      </x:c>
      <x:c r="D37" s="118" t="str">
        <x:v>Analyst assumption</x:v>
      </x:c>
      <x:c r="E37" s="118" t="str">
        <x:v>Illustrative schedule</x:v>
      </x:c>
      <x:c r="F37" s="118" t="str">
        <x:v>No contractual schedule available</x:v>
      </x:c>
      <x:c r="G37" s="118"/>
      <x:c r="H37" s="118"/>
      <x:c r="I37" s="118"/>
      <x:c r="J37" s="118"/>
      <x:c r="K37" s="118"/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>
      <x:c r="A38" s="118" t="str">
        <x:v>APV debt amortization — 2030</x:v>
      </x:c>
      <x:c r="B38" s="155" t="n">
        <x:v>0.2</x:v>
      </x:c>
      <x:c r="C38" s="118" t="str">
        <x:v>%</x:v>
      </x:c>
      <x:c r="D38" s="118" t="str">
        <x:v>Analyst assumption</x:v>
      </x:c>
      <x:c r="E38" s="118" t="str">
        <x:v>Illustrative schedule</x:v>
      </x:c>
      <x:c r="F38" s="118" t="str">
        <x:v>No contractual schedule available</x:v>
      </x:c>
      <x:c r="G38" s="118"/>
      <x:c r="H38" s="118"/>
      <x:c r="I38" s="118"/>
      <x:c r="J38" s="118"/>
      <x:c r="K38" s="118"/>
      <x:c r="L38" s="118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>
      <x:c r="A39" s="118" t="str">
        <x:v>APV debt amortization — 2031</x:v>
      </x:c>
      <x:c r="B39" s="155" t="n">
        <x:v>0.15</x:v>
      </x:c>
      <x:c r="C39" s="118" t="str">
        <x:v>%</x:v>
      </x:c>
      <x:c r="D39" s="118" t="str">
        <x:v>Analyst assumption</x:v>
      </x:c>
      <x:c r="E39" s="118" t="str">
        <x:v>Illustrative schedule</x:v>
      </x:c>
      <x:c r="F39" s="118" t="str">
        <x:v>No contractual schedule available</x:v>
      </x:c>
      <x:c r="G39" s="118"/>
      <x:c r="H39" s="118"/>
      <x:c r="I39" s="118"/>
      <x:c r="J39" s="118"/>
      <x:c r="K39" s="118"/>
      <x:c r="L39" s="118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>
      <x:c r="A40" s="118" t="str">
        <x:v>APV tax-shield rate</x:v>
      </x:c>
      <x:c r="B40" s="153" t="n">
        <x:f>B22</x:f>
        <x:v>0.25</x:v>
      </x:c>
      <x:c r="C40" s="118" t="str">
        <x:v>%</x:v>
      </x:c>
      <x:c r="D40" s="118" t="str">
        <x:v>Formula</x:v>
      </x:c>
      <x:c r="E40" s="118" t="str">
        <x:v>Normalized cash-tax rate</x:v>
      </x:c>
      <x:c r="F40" s="118" t="str">
        <x:v>Applied only to modeled cash interest</x:v>
      </x:c>
      <x:c r="G40" s="118"/>
      <x:c r="H40" s="118"/>
      <x:c r="I40" s="118"/>
      <x:c r="J40" s="118"/>
      <x:c r="K40" s="118"/>
      <x:c r="L40" s="118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8"/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>
      <x:c r="A42" s="157" t="str">
        <x:v>Yellow / blue cells are editable analyst assumptions. Sourced facts, formulas and market-method stresses remain separate. Exit and trading multiples are analyst ranges, not observed peer medians. APV debt amortization is illustrative because the evidence set lacks a complete contractual schedule.</x:v>
      </x:c>
      <x:c r="B42" s="157"/>
      <x:c r="C42" s="157"/>
      <x:c r="D42" s="157"/>
      <x:c r="E42" s="157"/>
      <x:c r="F42" s="157"/>
      <x:c r="G42" s="118"/>
      <x:c r="H42" s="118"/>
      <x:c r="I42" s="118"/>
      <x:c r="J42" s="118"/>
      <x:c r="K42" s="118"/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>
      <x:c r="A43" s="157"/>
      <x:c r="B43" s="157"/>
      <x:c r="C43" s="157"/>
      <x:c r="D43" s="157"/>
      <x:c r="E43" s="157"/>
      <x:c r="F43" s="157"/>
      <x:c r="G43" s="118"/>
      <x:c r="H43" s="118"/>
      <x:c r="I43" s="118"/>
      <x:c r="J43" s="118"/>
      <x:c r="K43" s="118"/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>
      <x:c r="A44" s="157"/>
      <x:c r="B44" s="157"/>
      <x:c r="C44" s="157"/>
      <x:c r="D44" s="157"/>
      <x:c r="E44" s="157"/>
      <x:c r="F44" s="157"/>
      <x:c r="G44" s="118"/>
      <x:c r="H44" s="118"/>
      <x:c r="I44" s="118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  <x:c r="I45" s="118"/>
      <x:c r="J45" s="118"/>
      <x:c r="K45" s="118"/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  <x:c r="I46" s="118"/>
      <x:c r="J46" s="118"/>
      <x:c r="K46" s="118"/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  <x:c r="I47" s="118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  <x:c r="I48" s="118"/>
      <x:c r="J48" s="118"/>
      <x:c r="K48" s="118"/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  <x:c r="I50" s="118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8"/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  <x:c r="I52" s="118"/>
      <x:c r="J52" s="118"/>
      <x:c r="K52" s="118"/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/>
      <x:c r="B55" s="118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/>
      <x:c r="B58" s="118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18"/>
      <x:c r="B59" s="118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/>
      <x:c r="B60" s="118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/>
      <x:c r="B61" s="118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/>
      <x:c r="B62" s="118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</x:sheetData>
  <x:mergeCells>
    <x:mergeCell ref="A1:F1"/>
    <x:mergeCell ref="A42:F44"/>
  </x:mergeCells>
  <x:pageMargins left="0.7" right="0.7" top="0.75" bottom="0.75" header="0.3" footer="0.3"/>
  <x:legacyDrawing xmlns:r="http://schemas.openxmlformats.org/officeDocument/2006/relationships" r:id="Rcd97f70c08e84c9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3" t="str">
        <x:v>Grandstand Limited — Historical Financials and Operating Drivers</x:v>
      </x:c>
      <x:c r="B1" s="3"/>
      <x:c r="C1" s="3"/>
      <x:c r="D1" s="3"/>
      <x:c r="E1" s="3"/>
      <x:c r="F1" s="3"/>
      <x:c r="G1" s="118"/>
      <x:c r="H1" s="118"/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>
      <x:c r="A2" s="118"/>
      <x:c r="B2" s="118"/>
      <x:c r="C2" s="118"/>
      <x:c r="D2" s="118"/>
      <x:c r="E2" s="118"/>
      <x:c r="F2" s="118"/>
      <x:c r="G2" s="118"/>
      <x:c r="H2" s="118"/>
      <x:c r="I2" s="118"/>
      <x:c r="J2" s="118"/>
      <x:c r="K2" s="118"/>
      <x:c r="L2" s="118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>
      <x:c r="A3" s="12" t="str">
        <x:v>USD millions, except per-share data</x:v>
      </x:c>
      <x:c r="B3" s="13" t="str">
        <x:v>FY2023A</x:v>
      </x:c>
      <x:c r="C3" s="13" t="str">
        <x:v>FY2024A</x:v>
      </x:c>
      <x:c r="D3" s="13" t="str">
        <x:v>FY2025A</x:v>
      </x:c>
      <x:c r="E3" s="13" t="str">
        <x:v>Q1 2025A</x:v>
      </x:c>
      <x:c r="F3" s="14" t="str">
        <x:v>Q1 2026A</x:v>
      </x:c>
      <x:c r="G3" s="118"/>
      <x:c r="H3" s="118"/>
      <x:c r="I3" s="118"/>
      <x:c r="J3" s="118"/>
      <x:c r="K3" s="118"/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>
      <x:c r="A4" s="118" t="str">
        <x:v>Revenue</x:v>
      </x:c>
      <x:c r="B4" s="152" t="n">
        <x:v>108.652</x:v>
      </x:c>
      <x:c r="C4" s="152" t="n">
        <x:v>127.182</x:v>
      </x:c>
      <x:c r="D4" s="152" t="n">
        <x:v>165.447</x:v>
      </x:c>
      <x:c r="E4" s="152" t="n">
        <x:v>40.635</x:v>
      </x:c>
      <x:c r="F4" s="152" t="n">
        <x:v>40.44</x:v>
      </x:c>
      <x:c r="G4" s="118"/>
      <x:c r="H4" s="118"/>
      <x:c r="I4" s="118"/>
      <x:c r="J4" s="118"/>
      <x:c r="K4" s="118"/>
      <x:c r="L4" s="11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>
      <x:c r="A5" s="118" t="str">
        <x:v>Growth</x:v>
      </x:c>
      <x:c r="B5" s="153"/>
      <x:c r="C5" s="153" t="n">
        <x:f>C4/B4-1</x:f>
        <x:v>0.17054449066745203</x:v>
      </x:c>
      <x:c r="D5" s="153" t="n">
        <x:f>D4/C4-1</x:f>
        <x:v>0.30086804736519324</x:v>
      </x:c>
      <x:c r="E5" s="153"/>
      <x:c r="F5" s="153" t="n">
        <x:f>F4/E4-1</x:f>
        <x:v>-0.0047988187523071435</x:v>
      </x:c>
      <x:c r="G5" s="118"/>
      <x:c r="H5" s="118"/>
      <x:c r="I5" s="118"/>
      <x:c r="J5" s="118"/>
      <x:c r="K5" s="118"/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>
      <x:c r="A6" s="118" t="str">
        <x:v>Cost of sales</x:v>
      </x:c>
      <x:c r="B6" s="152" t="n">
        <x:v>-9.112</x:v>
      </x:c>
      <x:c r="C6" s="152" t="n">
        <x:v>-7.536</x:v>
      </x:c>
      <x:c r="D6" s="152" t="n">
        <x:v>-15.261</x:v>
      </x:c>
      <x:c r="E6" s="152" t="n">
        <x:v>-2.246</x:v>
      </x:c>
      <x:c r="F6" s="152" t="n">
        <x:v>-6.088</x:v>
      </x:c>
      <x:c r="G6" s="118"/>
      <x:c r="H6" s="118"/>
      <x:c r="I6" s="118"/>
      <x:c r="J6" s="118"/>
      <x:c r="K6" s="118"/>
      <x:c r="L6" s="118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>
      <x:c r="A7" s="118" t="str">
        <x:v>Gross profit</x:v>
      </x:c>
      <x:c r="B7" s="152" t="n">
        <x:v>99.54</x:v>
      </x:c>
      <x:c r="C7" s="152" t="n">
        <x:v>119.646</x:v>
      </x:c>
      <x:c r="D7" s="152" t="n">
        <x:v>150.186</x:v>
      </x:c>
      <x:c r="E7" s="152" t="n">
        <x:v>38.389</x:v>
      </x:c>
      <x:c r="F7" s="152" t="n">
        <x:v>34.352</x:v>
      </x:c>
      <x:c r="G7" s="118"/>
      <x:c r="H7" s="118"/>
      <x:c r="I7" s="118"/>
      <x:c r="J7" s="118"/>
      <x:c r="K7" s="118"/>
      <x:c r="L7" s="118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>
      <x:c r="A8" s="118" t="str">
        <x:v>Sales &amp; marketing</x:v>
      </x:c>
      <x:c r="B8" s="152" t="n">
        <x:v>-35.331</x:v>
      </x:c>
      <x:c r="C8" s="152" t="n">
        <x:v>-41.897</x:v>
      </x:c>
      <x:c r="D8" s="152" t="n">
        <x:v>-63.003</x:v>
      </x:c>
      <x:c r="E8" s="152" t="n">
        <x:v>-15.163</x:v>
      </x:c>
      <x:c r="F8" s="152" t="n">
        <x:v>-16.19</x:v>
      </x:c>
      <x:c r="G8" s="118"/>
      <x:c r="H8" s="118"/>
      <x:c r="I8" s="118"/>
      <x:c r="J8" s="118"/>
      <x:c r="K8" s="118"/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>
      <x:c r="A9" s="118" t="str">
        <x:v>Technology</x:v>
      </x:c>
      <x:c r="B9" s="152" t="n">
        <x:v>-10.287</x:v>
      </x:c>
      <x:c r="C9" s="152" t="n">
        <x:v>-13.949</x:v>
      </x:c>
      <x:c r="D9" s="152" t="n">
        <x:v>-24.789</x:v>
      </x:c>
      <x:c r="E9" s="152" t="n">
        <x:v>-5.193</x:v>
      </x:c>
      <x:c r="F9" s="152" t="n">
        <x:v>-6.658</x:v>
      </x:c>
      <x:c r="G9" s="118"/>
      <x:c r="H9" s="118"/>
      <x:c r="I9" s="118"/>
      <x:c r="J9" s="118"/>
      <x:c r="K9" s="118"/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>
      <x:c r="A10" s="118" t="str">
        <x:v>G&amp;A</x:v>
      </x:c>
      <x:c r="B10" s="152" t="n">
        <x:v>-24.291</x:v>
      </x:c>
      <x:c r="C10" s="152" t="n">
        <x:v>-27.645</x:v>
      </x:c>
      <x:c r="D10" s="152" t="n">
        <x:v>-32.169</x:v>
      </x:c>
      <x:c r="E10" s="152" t="n">
        <x:v>-7.675</x:v>
      </x:c>
      <x:c r="F10" s="152" t="n">
        <x:v>-8.156</x:v>
      </x:c>
      <x:c r="G10" s="118"/>
      <x:c r="H10" s="118"/>
      <x:c r="I10" s="118"/>
      <x:c r="J10" s="118"/>
      <x:c r="K10" s="118"/>
      <x:c r="L10" s="118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>
      <x:c r="A11" s="118" t="str">
        <x:v>Other / impairment / contingent FV</x:v>
      </x:c>
      <x:c r="B11" s="152" t="n">
        <x:v>-7.853</x:v>
      </x:c>
      <x:c r="C11" s="152" t="n">
        <x:v>-0.48</x:v>
      </x:c>
      <x:c r="D11" s="152" t="n">
        <x:v>-62.013</x:v>
      </x:c>
      <x:c r="E11" s="152" t="n">
        <x:v>-0.329</x:v>
      </x:c>
      <x:c r="F11" s="152" t="n">
        <x:v>-0.082</x:v>
      </x:c>
      <x:c r="G11" s="118"/>
      <x:c r="H11" s="118"/>
      <x:c r="I11" s="118"/>
      <x:c r="J11" s="118"/>
      <x:c r="K11" s="118"/>
      <x:c r="L11" s="118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>
      <x:c r="A12" s="118" t="str">
        <x:v>Operating profit</x:v>
      </x:c>
      <x:c r="B12" s="152" t="n">
        <x:v>21.778</x:v>
      </x:c>
      <x:c r="C12" s="152" t="n">
        <x:v>35.675</x:v>
      </x:c>
      <x:c r="D12" s="152" t="n">
        <x:v>-31.788</x:v>
      </x:c>
      <x:c r="E12" s="152" t="n">
        <x:v>10.029</x:v>
      </x:c>
      <x:c r="F12" s="152" t="n">
        <x:v>3.266</x:v>
      </x:c>
      <x:c r="G12" s="118"/>
      <x:c r="H12" s="118"/>
      <x:c r="I12" s="118"/>
      <x:c r="J12" s="118"/>
      <x:c r="K12" s="118"/>
      <x:c r="L12" s="118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>
      <x:c r="A13" s="118" t="str">
        <x:v>Adjusted EBITDA (management)</x:v>
      </x:c>
      <x:c r="B13" s="152" t="n">
        <x:v>36.715</x:v>
      </x:c>
      <x:c r="C13" s="152" t="n">
        <x:v>48.691</x:v>
      </x:c>
      <x:c r="D13" s="152" t="n">
        <x:v>58.01</x:v>
      </x:c>
      <x:c r="E13" s="152" t="n">
        <x:v>15.864</x:v>
      </x:c>
      <x:c r="F13" s="152" t="n">
        <x:v>9.001</x:v>
      </x:c>
      <x:c r="G13" s="118"/>
      <x:c r="H13" s="118"/>
      <x:c r="I13" s="118"/>
      <x:c r="J13" s="118"/>
      <x:c r="K13" s="118"/>
      <x:c r="L13" s="118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>
      <x:c r="A14" s="158" t="str">
        <x:v>Cash flow from operations</x:v>
      </x:c>
      <x:c r="B14" s="159" t="n">
        <x:v>17.91</x:v>
      </x:c>
      <x:c r="C14" s="159" t="n">
        <x:v>37.638</x:v>
      </x:c>
      <x:c r="D14" s="159" t="n">
        <x:v>19.104</x:v>
      </x:c>
      <x:c r="E14" s="159" t="n">
        <x:v>8.092</x:v>
      </x:c>
      <x:c r="F14" s="159" t="n">
        <x:v>0.914</x:v>
      </x:c>
      <x:c r="G14" s="118"/>
      <x:c r="H14" s="118"/>
      <x:c r="I14" s="118"/>
      <x:c r="J14" s="118"/>
      <x:c r="K14" s="118"/>
      <x:c r="L14" s="118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>
      <x:c r="A15" s="118" t="str">
        <x:v>Free cash flow (management)</x:v>
      </x:c>
      <x:c r="B15" s="152" t="n">
        <x:v>23</x:v>
      </x:c>
      <x:c r="C15" s="152" t="n">
        <x:v>41.582</x:v>
      </x:c>
      <x:c r="D15" s="152" t="n">
        <x:v>32.938</x:v>
      </x:c>
      <x:c r="E15" s="152" t="n">
        <x:v>6.954</x:v>
      </x:c>
      <x:c r="F15" s="152" t="n">
        <x:v>1.688</x:v>
      </x:c>
      <x:c r="G15" s="118"/>
      <x:c r="H15" s="118"/>
      <x:c r="I15" s="118"/>
      <x:c r="J15" s="118"/>
      <x:c r="K15" s="118"/>
      <x:c r="L15" s="118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>
      <x:c r="A16" s="118" t="str">
        <x:v>Cash</x:v>
      </x:c>
      <x:c r="B16" s="152"/>
      <x:c r="C16" s="152" t="n">
        <x:v>13.729</x:v>
      </x:c>
      <x:c r="D16" s="152" t="n">
        <x:v>15.814</x:v>
      </x:c>
      <x:c r="E16" s="152"/>
      <x:c r="F16" s="152" t="n">
        <x:v>8.412</x:v>
      </x:c>
      <x:c r="G16" s="118"/>
      <x:c r="H16" s="118"/>
      <x:c r="I16" s="118"/>
      <x:c r="J16" s="118"/>
      <x:c r="K16" s="118"/>
      <x:c r="L16" s="118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>
      <x:c r="A17" s="118" t="str">
        <x:v>Borrowings + accrued interest</x:v>
      </x:c>
      <x:c r="B17" s="152"/>
      <x:c r="C17" s="152" t="n">
        <x:v>22.931</x:v>
      </x:c>
      <x:c r="D17" s="152" t="n">
        <x:v>118.636</x:v>
      </x:c>
      <x:c r="E17" s="152"/>
      <x:c r="F17" s="152" t="n">
        <x:v>116.504</x:v>
      </x:c>
      <x:c r="G17" s="118"/>
      <x:c r="H17" s="118"/>
      <x:c r="I17" s="118"/>
      <x:c r="J17" s="118"/>
      <x:c r="K17" s="118"/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>
      <x:c r="A18" s="118" t="str">
        <x:v>New depositing customers (000s)</x:v>
      </x:c>
      <x:c r="B18" s="152"/>
      <x:c r="C18" s="152"/>
      <x:c r="D18" s="152"/>
      <x:c r="E18" s="152" t="n">
        <x:v>138</x:v>
      </x:c>
      <x:c r="F18" s="152" t="n">
        <x:v>140</x:v>
      </x:c>
      <x:c r="G18" s="118"/>
      <x:c r="H18" s="118"/>
      <x:c r="I18" s="118"/>
      <x:c r="J18" s="118"/>
      <x:c r="K18" s="118"/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>
      <x:c r="A19" s="118" t="str">
        <x:v>Diluted weighted-average shares (mm)</x:v>
      </x:c>
      <x:c r="B19" s="152" t="n">
        <x:v>38.542</x:v>
      </x:c>
      <x:c r="C19" s="152" t="n">
        <x:v>36.337</x:v>
      </x:c>
      <x:c r="D19" s="152" t="n">
        <x:v>35.478</x:v>
      </x:c>
      <x:c r="E19" s="152" t="n">
        <x:v>36.22</x:v>
      </x:c>
      <x:c r="F19" s="152" t="n">
        <x:v>42.427</x:v>
      </x:c>
      <x:c r="G19" s="118"/>
      <x:c r="H19" s="118"/>
      <x:c r="I19" s="118"/>
      <x:c r="J19" s="118"/>
      <x:c r="K19" s="118"/>
      <x:c r="L19" s="118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>
      <x:c r="A20" s="118" t="str">
        <x:v>Source ID</x:v>
      </x:c>
      <x:c r="B20" s="118" t="str">
        <x:v>S1</x:v>
      </x:c>
      <x:c r="C20" s="118" t="str">
        <x:v>S1</x:v>
      </x:c>
      <x:c r="D20" s="118" t="str">
        <x:v>S1</x:v>
      </x:c>
      <x:c r="E20" s="118" t="str">
        <x:v>S2</x:v>
      </x:c>
      <x:c r="F20" s="118" t="str">
        <x:v>S2</x:v>
      </x:c>
      <x:c r="G20" s="118"/>
      <x:c r="H20" s="118"/>
      <x:c r="I20" s="118"/>
      <x:c r="J20" s="118"/>
      <x:c r="K20" s="118"/>
      <x:c r="L20" s="118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>
      <x:c r="A21" s="118"/>
      <x:c r="B21" s="118"/>
      <x:c r="C21" s="118"/>
      <x:c r="D21" s="118"/>
      <x:c r="E21" s="118"/>
      <x:c r="F21" s="118"/>
      <x:c r="G21" s="118"/>
      <x:c r="H21" s="118"/>
      <x:c r="I21" s="118"/>
      <x:c r="J21" s="118"/>
      <x:c r="K21" s="118"/>
      <x:c r="L21" s="118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>
      <x:c r="A22" s="118"/>
      <x:c r="B22" s="118"/>
      <x:c r="C22" s="118"/>
      <x:c r="D22" s="118"/>
      <x:c r="E22" s="118"/>
      <x:c r="F22" s="118"/>
      <x:c r="G22" s="118"/>
      <x:c r="H22" s="118"/>
      <x:c r="I22" s="118"/>
      <x:c r="J22" s="118"/>
      <x:c r="K22" s="118"/>
      <x:c r="L22" s="118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>
      <x:c r="A23" s="157" t="str">
        <x:v>FY2025 operating profit is distorted by impairment and contingent-consideration fair-value movements. The valuation forecast starts from management’s FY2026 guidance but constructs FCFF from normalized operating assumptions; management free cash flow is not used as a substitute.</x:v>
      </x:c>
      <x:c r="B23" s="157"/>
      <x:c r="C23" s="157"/>
      <x:c r="D23" s="157"/>
      <x:c r="E23" s="157"/>
      <x:c r="F23" s="157"/>
      <x:c r="G23" s="118"/>
      <x:c r="H23" s="118"/>
      <x:c r="I23" s="118"/>
      <x:c r="J23" s="118"/>
      <x:c r="K23" s="118"/>
      <x:c r="L23" s="118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>
      <x:c r="A24" s="157"/>
      <x:c r="B24" s="157"/>
      <x:c r="C24" s="157"/>
      <x:c r="D24" s="157"/>
      <x:c r="E24" s="157"/>
      <x:c r="F24" s="157"/>
      <x:c r="G24" s="118"/>
      <x:c r="H24" s="118"/>
      <x:c r="I24" s="118"/>
      <x:c r="J24" s="118"/>
      <x:c r="K24" s="118"/>
      <x:c r="L24" s="118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>
      <x:c r="A25" s="157"/>
      <x:c r="B25" s="157"/>
      <x:c r="C25" s="157"/>
      <x:c r="D25" s="157"/>
      <x:c r="E25" s="157"/>
      <x:c r="F25" s="157"/>
      <x:c r="G25" s="118"/>
      <x:c r="H25" s="118"/>
      <x:c r="I25" s="118"/>
      <x:c r="J25" s="118"/>
      <x:c r="K25" s="118"/>
      <x:c r="L25" s="118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>
      <x:c r="A26" s="118"/>
      <x:c r="B26" s="118"/>
      <x:c r="C26" s="118"/>
      <x:c r="D26" s="118"/>
      <x:c r="E26" s="118"/>
      <x:c r="F26" s="118"/>
      <x:c r="G26" s="118"/>
      <x:c r="H26" s="118"/>
      <x:c r="I26" s="118"/>
      <x:c r="J26" s="118"/>
      <x:c r="K26" s="118"/>
      <x:c r="L26" s="118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>
      <x:c r="A27" s="118"/>
      <x:c r="B27" s="118"/>
      <x:c r="C27" s="118"/>
      <x:c r="D27" s="118"/>
      <x:c r="E27" s="118"/>
      <x:c r="F27" s="118"/>
      <x:c r="G27" s="118"/>
      <x:c r="H27" s="118"/>
      <x:c r="I27" s="118"/>
      <x:c r="J27" s="118"/>
      <x:c r="K27" s="118"/>
      <x:c r="L27" s="118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>
      <x:c r="A28" s="118"/>
      <x:c r="B28" s="118"/>
      <x:c r="C28" s="118"/>
      <x:c r="D28" s="118"/>
      <x:c r="E28" s="118"/>
      <x:c r="F28" s="118"/>
      <x:c r="G28" s="118"/>
      <x:c r="H28" s="118"/>
      <x:c r="I28" s="118"/>
      <x:c r="J28" s="118"/>
      <x:c r="K28" s="118"/>
      <x:c r="L28" s="118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>
      <x:c r="A29" s="118"/>
      <x:c r="B29" s="118"/>
      <x:c r="C29" s="118"/>
      <x:c r="D29" s="118"/>
      <x:c r="E29" s="118"/>
      <x:c r="F29" s="118"/>
      <x:c r="G29" s="118"/>
      <x:c r="H29" s="118"/>
      <x:c r="I29" s="118"/>
      <x:c r="J29" s="118"/>
      <x:c r="K29" s="118"/>
      <x:c r="L29" s="118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>
      <x:c r="A30" s="118"/>
      <x:c r="B30" s="118"/>
      <x:c r="C30" s="118"/>
      <x:c r="D30" s="118"/>
      <x:c r="E30" s="118"/>
      <x:c r="F30" s="118"/>
      <x:c r="G30" s="118"/>
      <x:c r="H30" s="118"/>
      <x:c r="I30" s="118"/>
      <x:c r="J30" s="118"/>
      <x:c r="K30" s="118"/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>
      <x:c r="A31" s="118"/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8"/>
      <x:c r="L31" s="118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>
      <x:c r="A32" s="118"/>
      <x:c r="B32" s="118"/>
      <x:c r="C32" s="118"/>
      <x:c r="D32" s="118"/>
      <x:c r="E32" s="118"/>
      <x:c r="F32" s="118"/>
      <x:c r="G32" s="118"/>
      <x:c r="H32" s="118"/>
      <x:c r="I32" s="118"/>
      <x:c r="J32" s="118"/>
      <x:c r="K32" s="118"/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>
      <x:c r="A33" s="118"/>
      <x:c r="B33" s="118"/>
      <x:c r="C33" s="118"/>
      <x:c r="D33" s="118"/>
      <x:c r="E33" s="118"/>
      <x:c r="F33" s="118"/>
      <x:c r="G33" s="118"/>
      <x:c r="H33" s="118"/>
      <x:c r="I33" s="118"/>
      <x:c r="J33" s="118"/>
      <x:c r="K33" s="118"/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  <x:c r="I34" s="118"/>
      <x:c r="J34" s="118"/>
      <x:c r="K34" s="118"/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  <x:c r="I35" s="118"/>
      <x:c r="J35" s="118"/>
      <x:c r="K35" s="118"/>
      <x:c r="L35" s="118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  <x:c r="I36" s="118"/>
      <x:c r="J36" s="118"/>
      <x:c r="K36" s="118"/>
      <x:c r="L36" s="118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  <x:c r="I37" s="118"/>
      <x:c r="J37" s="118"/>
      <x:c r="K37" s="118"/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  <x:c r="I38" s="118"/>
      <x:c r="J38" s="118"/>
      <x:c r="K38" s="118"/>
      <x:c r="L38" s="118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  <x:c r="I39" s="118"/>
      <x:c r="J39" s="118"/>
      <x:c r="K39" s="118"/>
      <x:c r="L39" s="118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  <x:c r="I40" s="118"/>
      <x:c r="J40" s="118"/>
      <x:c r="K40" s="118"/>
      <x:c r="L40" s="118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8"/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  <x:c r="I42" s="118"/>
      <x:c r="J42" s="118"/>
      <x:c r="K42" s="118"/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  <x:c r="I43" s="118"/>
      <x:c r="J43" s="118"/>
      <x:c r="K43" s="118"/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  <x:c r="I44" s="118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  <x:c r="I45" s="118"/>
      <x:c r="J45" s="118"/>
      <x:c r="K45" s="118"/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  <x:c r="I46" s="118"/>
      <x:c r="J46" s="118"/>
      <x:c r="K46" s="118"/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  <x:c r="I47" s="118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  <x:c r="I48" s="118"/>
      <x:c r="J48" s="118"/>
      <x:c r="K48" s="118"/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  <x:c r="I50" s="118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8"/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  <x:c r="I52" s="118"/>
      <x:c r="J52" s="118"/>
      <x:c r="K52" s="118"/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/>
      <x:c r="B55" s="118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/>
      <x:c r="B58" s="118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18"/>
      <x:c r="B59" s="118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/>
      <x:c r="B60" s="118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/>
      <x:c r="B61" s="118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/>
      <x:c r="B62" s="118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</x:sheetData>
  <x:mergeCells>
    <x:mergeCell ref="A1:F1"/>
    <x:mergeCell ref="A23:F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Grandstand Limited — Base-Case FCFF Forecast</x:v>
      </x:c>
      <x:c r="B1" s="3"/>
      <x:c r="C1" s="3"/>
      <x:c r="D1" s="3"/>
      <x:c r="E1" s="3"/>
      <x:c r="F1" s="3"/>
      <x:c r="G1" s="3"/>
      <x:c r="H1" s="3"/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>
      <x:c r="A2" s="118"/>
      <x:c r="B2" s="118"/>
      <x:c r="C2" s="118"/>
      <x:c r="D2" s="118"/>
      <x:c r="E2" s="118"/>
      <x:c r="F2" s="118"/>
      <x:c r="G2" s="118"/>
      <x:c r="H2" s="118"/>
      <x:c r="I2" s="118"/>
      <x:c r="J2" s="118"/>
      <x:c r="K2" s="118"/>
      <x:c r="L2" s="118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>
      <x:c r="A3" s="12" t="str">
        <x:v>USD millions, except ratios</x:v>
      </x:c>
      <x:c r="B3" s="13" t="str">
        <x:v>FY2025A</x:v>
      </x:c>
      <x:c r="C3" s="13" t="str">
        <x:v>FY2026E</x:v>
      </x:c>
      <x:c r="D3" s="13" t="str">
        <x:v>FY2027E</x:v>
      </x:c>
      <x:c r="E3" s="13" t="str">
        <x:v>FY2028E</x:v>
      </x:c>
      <x:c r="F3" s="13" t="str">
        <x:v>FY2029E</x:v>
      </x:c>
      <x:c r="G3" s="13" t="str">
        <x:v>FY2030E</x:v>
      </x:c>
      <x:c r="H3" s="14" t="str">
        <x:v>FY2031E</x:v>
      </x:c>
      <x:c r="I3" s="118"/>
      <x:c r="J3" s="118"/>
      <x:c r="K3" s="118"/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>
      <x:c r="A4" s="118" t="str">
        <x:v>Revenue</x:v>
      </x:c>
      <x:c r="B4" s="152" t="n">
        <x:v>165.447</x:v>
      </x:c>
      <x:c r="C4" s="160" t="n">
        <x:v>167.5</x:v>
      </x:c>
      <x:c r="D4" s="160" t="n">
        <x:f>C4*(1+D5)</x:f>
        <x:v>184.25000000000003</x:v>
      </x:c>
      <x:c r="E4" s="160" t="n">
        <x:f>D4*(1+E5)</x:f>
        <x:v>198.99000000000004</x:v>
      </x:c>
      <x:c r="F4" s="160" t="n">
        <x:f>E4*(1+F5)</x:f>
        <x:v>212.91930000000005</x:v>
      </x:c>
      <x:c r="G4" s="160" t="n">
        <x:f>F4*(1+G5)</x:f>
        <x:v>225.69445800000005</x:v>
      </x:c>
      <x:c r="H4" s="160" t="n">
        <x:f>G4*(1+H5)</x:f>
        <x:v>236.97918090000007</x:v>
      </x:c>
      <x:c r="I4" s="118"/>
      <x:c r="J4" s="118"/>
      <x:c r="K4" s="118"/>
      <x:c r="L4" s="11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>
      <x:c r="A5" s="118" t="str">
        <x:v>Revenue growth</x:v>
      </x:c>
      <x:c r="B5" s="153"/>
      <x:c r="C5" s="155" t="n">
        <x:f>C4/B4-1</x:f>
        <x:v>0.0124088076544151</x:v>
      </x:c>
      <x:c r="D5" s="155" t="n">
        <x:v>0.1</x:v>
      </x:c>
      <x:c r="E5" s="155" t="n">
        <x:v>0.08</x:v>
      </x:c>
      <x:c r="F5" s="155" t="n">
        <x:v>0.07</x:v>
      </x:c>
      <x:c r="G5" s="155" t="n">
        <x:v>0.06</x:v>
      </x:c>
      <x:c r="H5" s="155" t="n">
        <x:v>0.05</x:v>
      </x:c>
      <x:c r="I5" s="118"/>
      <x:c r="J5" s="118"/>
      <x:c r="K5" s="118"/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>
      <x:c r="A6" s="118" t="str">
        <x:v>Normalized EBITDA margin</x:v>
      </x:c>
      <x:c r="B6" s="153" t="n">
        <x:v>0.3506</x:v>
      </x:c>
      <x:c r="C6" s="155" t="n">
        <x:v>0.275</x:v>
      </x:c>
      <x:c r="D6" s="155" t="n">
        <x:v>0.29</x:v>
      </x:c>
      <x:c r="E6" s="155" t="n">
        <x:v>0.3</x:v>
      </x:c>
      <x:c r="F6" s="155" t="n">
        <x:v>0.31</x:v>
      </x:c>
      <x:c r="G6" s="155" t="n">
        <x:v>0.32</x:v>
      </x:c>
      <x:c r="H6" s="155" t="n">
        <x:v>0.325</x:v>
      </x:c>
      <x:c r="I6" s="118"/>
      <x:c r="J6" s="118"/>
      <x:c r="K6" s="118"/>
      <x:c r="L6" s="118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>
      <x:c r="A7" s="118" t="str">
        <x:v>Normalized EBITDA</x:v>
      </x:c>
      <x:c r="B7" s="152" t="n">
        <x:f>B4*B6</x:f>
        <x:v>58.005718200000004</x:v>
      </x:c>
      <x:c r="C7" s="152" t="n">
        <x:f>C4*C6</x:f>
        <x:v>46.06250000000001</x:v>
      </x:c>
      <x:c r="D7" s="152" t="n">
        <x:f>D4*D6</x:f>
        <x:v>53.432500000000005</x:v>
      </x:c>
      <x:c r="E7" s="152" t="n">
        <x:f>E4*E6</x:f>
        <x:v>59.69700000000001</x:v>
      </x:c>
      <x:c r="F7" s="152" t="n">
        <x:f>F4*F6</x:f>
        <x:v>66.00498300000001</x:v>
      </x:c>
      <x:c r="G7" s="152" t="n">
        <x:f>G4*G6</x:f>
        <x:v>72.22222656000002</x:v>
      </x:c>
      <x:c r="H7" s="152" t="n">
        <x:f>H4*H6</x:f>
        <x:v>77.01823379250003</x:v>
      </x:c>
      <x:c r="I7" s="118"/>
      <x:c r="J7" s="118"/>
      <x:c r="K7" s="118"/>
      <x:c r="L7" s="118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>
      <x:c r="A8" s="118" t="str">
        <x:v>D&amp;A as % revenue</x:v>
      </x:c>
      <x:c r="B8" s="153" t="n">
        <x:v>0.0872</x:v>
      </x:c>
      <x:c r="C8" s="155" t="n">
        <x:v>0.085</x:v>
      </x:c>
      <x:c r="D8" s="155" t="n">
        <x:v>0.082</x:v>
      </x:c>
      <x:c r="E8" s="155" t="n">
        <x:v>0.078</x:v>
      </x:c>
      <x:c r="F8" s="155" t="n">
        <x:v>0.075</x:v>
      </x:c>
      <x:c r="G8" s="155" t="n">
        <x:v>0.072</x:v>
      </x:c>
      <x:c r="H8" s="155" t="n">
        <x:v>0.07</x:v>
      </x:c>
      <x:c r="I8" s="118"/>
      <x:c r="J8" s="118"/>
      <x:c r="K8" s="118"/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>
      <x:c r="A9" s="118" t="str">
        <x:v>D&amp;A</x:v>
      </x:c>
      <x:c r="B9" s="152" t="n">
        <x:f>B4*B8</x:f>
        <x:v>14.4269784</x:v>
      </x:c>
      <x:c r="C9" s="152" t="n">
        <x:f>C4*C8</x:f>
        <x:v>14.2375</x:v>
      </x:c>
      <x:c r="D9" s="152" t="n">
        <x:f>D4*D8</x:f>
        <x:v>15.108500000000003</x:v>
      </x:c>
      <x:c r="E9" s="152" t="n">
        <x:f>E4*E8</x:f>
        <x:v>15.521220000000003</x:v>
      </x:c>
      <x:c r="F9" s="152" t="n">
        <x:f>F4*F8</x:f>
        <x:v>15.968947500000002</x:v>
      </x:c>
      <x:c r="G9" s="152" t="n">
        <x:f>G4*G8</x:f>
        <x:v>16.250000976000003</x:v>
      </x:c>
      <x:c r="H9" s="152" t="n">
        <x:f>H4*H8</x:f>
        <x:v>16.588542663000005</x:v>
      </x:c>
      <x:c r="I9" s="118"/>
      <x:c r="J9" s="118"/>
      <x:c r="K9" s="118"/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>
      <x:c r="A10" s="118" t="str">
        <x:v>EBIT</x:v>
      </x:c>
      <x:c r="B10" s="152" t="n">
        <x:f>B7-B9</x:f>
        <x:v>43.57873980000001</x:v>
      </x:c>
      <x:c r="C10" s="152" t="n">
        <x:f>C7-C9</x:f>
        <x:v>31.825000000000006</x:v>
      </x:c>
      <x:c r="D10" s="152" t="n">
        <x:f>D7-D9</x:f>
        <x:v>38.324</x:v>
      </x:c>
      <x:c r="E10" s="152" t="n">
        <x:f>E7-E9</x:f>
        <x:v>44.17578</x:v>
      </x:c>
      <x:c r="F10" s="152" t="n">
        <x:f>F7-F9</x:f>
        <x:v>50.03603550000001</x:v>
      </x:c>
      <x:c r="G10" s="152" t="n">
        <x:f>G7-G9</x:f>
        <x:v>55.97222558400002</x:v>
      </x:c>
      <x:c r="H10" s="152" t="n">
        <x:f>H7-H9</x:f>
        <x:v>60.42969112950002</x:v>
      </x:c>
      <x:c r="I10" s="118"/>
      <x:c r="J10" s="118"/>
      <x:c r="K10" s="118"/>
      <x:c r="L10" s="118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>
      <x:c r="A11" s="118" t="str">
        <x:v>Cash tax rate</x:v>
      </x:c>
      <x:c r="B11" s="153"/>
      <x:c r="C11" s="153" t="n">
        <x:f>'Assumptions'!B22</x:f>
        <x:v>0.25</x:v>
      </x:c>
      <x:c r="D11" s="153" t="n">
        <x:f>'Assumptions'!B22</x:f>
        <x:v>0.25</x:v>
      </x:c>
      <x:c r="E11" s="153" t="n">
        <x:f>'Assumptions'!B22</x:f>
        <x:v>0.25</x:v>
      </x:c>
      <x:c r="F11" s="153" t="n">
        <x:f>'Assumptions'!B22</x:f>
        <x:v>0.25</x:v>
      </x:c>
      <x:c r="G11" s="153" t="n">
        <x:f>'Assumptions'!B22</x:f>
        <x:v>0.25</x:v>
      </x:c>
      <x:c r="H11" s="153" t="n">
        <x:f>'Assumptions'!B22</x:f>
        <x:v>0.25</x:v>
      </x:c>
      <x:c r="I11" s="118"/>
      <x:c r="J11" s="118"/>
      <x:c r="K11" s="118"/>
      <x:c r="L11" s="118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>
      <x:c r="A12" s="118" t="str">
        <x:v>Cash taxes</x:v>
      </x:c>
      <x:c r="B12" s="152"/>
      <x:c r="C12" s="152" t="n">
        <x:f>-MAX(C10,0)*C11</x:f>
        <x:v>-7.956250000000002</x:v>
      </x:c>
      <x:c r="D12" s="152" t="n">
        <x:f>-MAX(D10,0)*D11</x:f>
        <x:v>-9.581</x:v>
      </x:c>
      <x:c r="E12" s="152" t="n">
        <x:f>-MAX(E10,0)*E11</x:f>
        <x:v>-11.043945</x:v>
      </x:c>
      <x:c r="F12" s="152" t="n">
        <x:f>-MAX(F10,0)*F11</x:f>
        <x:v>-12.509008875000003</x:v>
      </x:c>
      <x:c r="G12" s="152" t="n">
        <x:f>-MAX(G10,0)*G11</x:f>
        <x:v>-13.993056396000005</x:v>
      </x:c>
      <x:c r="H12" s="152" t="n">
        <x:f>-MAX(H10,0)*H11</x:f>
        <x:v>-15.107422782375005</x:v>
      </x:c>
      <x:c r="I12" s="118"/>
      <x:c r="J12" s="118"/>
      <x:c r="K12" s="118"/>
      <x:c r="L12" s="118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>
      <x:c r="A13" s="118" t="str">
        <x:v>NOPAT</x:v>
      </x:c>
      <x:c r="B13" s="152" t="n">
        <x:f>B10</x:f>
        <x:v>43.57873980000001</x:v>
      </x:c>
      <x:c r="C13" s="152" t="n">
        <x:f>C10+C12</x:f>
        <x:v>23.868750000000006</x:v>
      </x:c>
      <x:c r="D13" s="152" t="n">
        <x:f>D10+D12</x:f>
        <x:v>28.743</x:v>
      </x:c>
      <x:c r="E13" s="152" t="n">
        <x:f>E10+E12</x:f>
        <x:v>33.131835</x:v>
      </x:c>
      <x:c r="F13" s="152" t="n">
        <x:f>F10+F12</x:f>
        <x:v>37.527026625000005</x:v>
      </x:c>
      <x:c r="G13" s="152" t="n">
        <x:f>G10+G12</x:f>
        <x:v>41.979169188000014</x:v>
      </x:c>
      <x:c r="H13" s="152" t="n">
        <x:f>H10+H12</x:f>
        <x:v>45.32226834712502</x:v>
      </x:c>
      <x:c r="I13" s="118"/>
      <x:c r="J13" s="118"/>
      <x:c r="K13" s="118"/>
      <x:c r="L13" s="118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>
      <x:c r="A14" s="118" t="str">
        <x:v>Capex as % revenue</x:v>
      </x:c>
      <x:c r="B14" s="153" t="n">
        <x:v>0.04</x:v>
      </x:c>
      <x:c r="C14" s="155" t="n">
        <x:v>0.04</x:v>
      </x:c>
      <x:c r="D14" s="155" t="n">
        <x:v>0.037</x:v>
      </x:c>
      <x:c r="E14" s="155" t="n">
        <x:v>0.035</x:v>
      </x:c>
      <x:c r="F14" s="155" t="n">
        <x:v>0.033</x:v>
      </x:c>
      <x:c r="G14" s="155" t="n">
        <x:v>0.032</x:v>
      </x:c>
      <x:c r="H14" s="155" t="n">
        <x:v>0.03</x:v>
      </x:c>
      <x:c r="I14" s="118"/>
      <x:c r="J14" s="118"/>
      <x:c r="K14" s="118"/>
      <x:c r="L14" s="118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>
      <x:c r="A15" s="118" t="str">
        <x:v>Capex</x:v>
      </x:c>
      <x:c r="B15" s="152" t="n">
        <x:f>-B4*B14</x:f>
        <x:v>-6.61788</x:v>
      </x:c>
      <x:c r="C15" s="152" t="n">
        <x:f>-C4*C14</x:f>
        <x:v>-6.7</x:v>
      </x:c>
      <x:c r="D15" s="152" t="n">
        <x:f>-D4*D14</x:f>
        <x:v>-6.8172500000000005</x:v>
      </x:c>
      <x:c r="E15" s="152" t="n">
        <x:f>-E4*E14</x:f>
        <x:v>-6.964650000000002</x:v>
      </x:c>
      <x:c r="F15" s="152" t="n">
        <x:f>-F4*F14</x:f>
        <x:v>-7.026336900000002</x:v>
      </x:c>
      <x:c r="G15" s="152" t="n">
        <x:f>-G4*G14</x:f>
        <x:v>-7.222222656000002</x:v>
      </x:c>
      <x:c r="H15" s="152" t="n">
        <x:f>-H4*H14</x:f>
        <x:v>-7.109375427000002</x:v>
      </x:c>
      <x:c r="I15" s="118"/>
      <x:c r="J15" s="118"/>
      <x:c r="K15" s="118"/>
      <x:c r="L15" s="118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>
      <x:c r="A16" s="118" t="str">
        <x:v>Change in operating working capital</x:v>
      </x:c>
      <x:c r="B16" s="152" t="n">
        <x:v>0</x:v>
      </x:c>
      <x:c r="C16" s="160" t="n">
        <x:v>1.675</x:v>
      </x:c>
      <x:c r="D16" s="160" t="n">
        <x:v>1.842</x:v>
      </x:c>
      <x:c r="E16" s="160" t="n">
        <x:v>1.99</x:v>
      </x:c>
      <x:c r="F16" s="160" t="n">
        <x:v>2.129</x:v>
      </x:c>
      <x:c r="G16" s="160" t="n">
        <x:v>2.257</x:v>
      </x:c>
      <x:c r="H16" s="160" t="n">
        <x:v>2.37</x:v>
      </x:c>
      <x:c r="I16" s="118"/>
      <x:c r="J16" s="118"/>
      <x:c r="K16" s="118"/>
      <x:c r="L16" s="118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>
      <x:c r="A17" s="158" t="str">
        <x:v>FCFF</x:v>
      </x:c>
      <x:c r="B17" s="159" t="n">
        <x:f>B13+B9+B15-B16</x:f>
        <x:v>51.387838200000004</x:v>
      </x:c>
      <x:c r="C17" s="159" t="n">
        <x:f>C13+C9+C15-C16</x:f>
        <x:v>29.731250000000003</x:v>
      </x:c>
      <x:c r="D17" s="159" t="n">
        <x:f>D13+D9+D15-D16</x:f>
        <x:v>35.19225</x:v>
      </x:c>
      <x:c r="E17" s="159" t="n">
        <x:f>E13+E9+E15-E16</x:f>
        <x:v>39.69840500000001</x:v>
      </x:c>
      <x:c r="F17" s="159" t="n">
        <x:f>F13+F9+F15-F16</x:f>
        <x:v>44.340637225</x:v>
      </x:c>
      <x:c r="G17" s="159" t="n">
        <x:f>G13+G9+G15-G16</x:f>
        <x:v>48.74994750800002</x:v>
      </x:c>
      <x:c r="H17" s="159" t="n">
        <x:f>H13+H9+H15-H16</x:f>
        <x:v>52.43143558312502</x:v>
      </x:c>
      <x:c r="I17" s="118"/>
      <x:c r="J17" s="118"/>
      <x:c r="K17" s="118"/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>
      <x:c r="A18" s="118" t="str">
        <x:v>Source / formula note</x:v>
      </x:c>
      <x:c r="B18" s="118" t="str">
        <x:v>S1</x:v>
      </x:c>
      <x:c r="C18" s="118" t="str">
        <x:v>S3 midpoint</x:v>
      </x:c>
      <x:c r="D18" s="118" t="str">
        <x:v>Analyst</x:v>
      </x:c>
      <x:c r="E18" s="118" t="str">
        <x:v>Analyst</x:v>
      </x:c>
      <x:c r="F18" s="118" t="str">
        <x:v>Analyst</x:v>
      </x:c>
      <x:c r="G18" s="118" t="str">
        <x:v>Analyst</x:v>
      </x:c>
      <x:c r="H18" s="118" t="str">
        <x:v>Analyst</x:v>
      </x:c>
      <x:c r="I18" s="118"/>
      <x:c r="J18" s="118"/>
      <x:c r="K18" s="118"/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>
      <x:c r="A19" s="118" t="str">
        <x:v>Scenario driver — 2026 revenue</x:v>
      </x:c>
      <x:c r="B19" s="118"/>
      <x:c r="C19" s="118"/>
      <x:c r="D19" s="118"/>
      <x:c r="E19" s="118"/>
      <x:c r="F19" s="118"/>
      <x:c r="G19" s="118"/>
      <x:c r="H19" s="118"/>
      <x:c r="I19" s="118"/>
      <x:c r="J19" s="118"/>
      <x:c r="K19" s="118"/>
      <x:c r="L19" s="118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>
      <x:c r="A20" s="118" t="str">
        <x:v>Bear / base / bull revenue</x:v>
      </x:c>
      <x:c r="B20" s="118"/>
      <x:c r="C20" s="118" t="str">
        <x:v>$165.0m / $167.5m / $170.0m</x:v>
      </x:c>
      <x:c r="D20" s="118" t="str">
        <x:v>Common growth path after 2026</x:v>
      </x:c>
      <x:c r="E20" s="118" t="str"/>
      <x:c r="F20" s="118" t="str"/>
      <x:c r="G20" s="118" t="str"/>
      <x:c r="H20" s="118" t="str"/>
      <x:c r="I20" s="118"/>
      <x:c r="J20" s="118"/>
      <x:c r="K20" s="118"/>
      <x:c r="L20" s="118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>
      <x:c r="A21" s="118" t="str">
        <x:v>Bear / base / bull EBITDA margin</x:v>
      </x:c>
      <x:c r="B21" s="118"/>
      <x:c r="C21" s="118" t="str">
        <x:v>26.0% / 27.5% / 29.0%</x:v>
      </x:c>
      <x:c r="D21" s="118" t="str">
        <x:v>Linear path to 2031 terminal margin</x:v>
      </x:c>
      <x:c r="E21" s="118" t="str"/>
      <x:c r="F21" s="118" t="str"/>
      <x:c r="G21" s="118" t="str"/>
      <x:c r="H21" s="118" t="str"/>
      <x:c r="I21" s="118"/>
      <x:c r="J21" s="118"/>
      <x:c r="K21" s="118"/>
      <x:c r="L21" s="118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>
      <x:c r="A22" s="118" t="str">
        <x:v>What must be true</x:v>
      </x:c>
      <x:c r="B22" s="118"/>
      <x:c r="C22" s="118" t="str">
        <x:v>Traffic diversification, restructuring savings, and data-services growth must offset search and regulatory pressure.</x:v>
      </x:c>
      <x:c r="D22" s="118" t="str"/>
      <x:c r="E22" s="118" t="str"/>
      <x:c r="F22" s="118" t="str"/>
      <x:c r="G22" s="118" t="str"/>
      <x:c r="H22" s="118" t="str"/>
      <x:c r="I22" s="118"/>
      <x:c r="J22" s="118"/>
      <x:c r="K22" s="118"/>
      <x:c r="L22" s="118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>
      <x:c r="A23" s="118"/>
      <x:c r="B23" s="118"/>
      <x:c r="C23" s="118"/>
      <x:c r="D23" s="118"/>
      <x:c r="E23" s="118"/>
      <x:c r="F23" s="118"/>
      <x:c r="G23" s="118"/>
      <x:c r="H23" s="118"/>
      <x:c r="I23" s="118"/>
      <x:c r="J23" s="118"/>
      <x:c r="K23" s="118"/>
      <x:c r="L23" s="118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>
      <x:c r="A24" s="118"/>
      <x:c r="B24" s="118"/>
      <x:c r="C24" s="118"/>
      <x:c r="D24" s="118"/>
      <x:c r="E24" s="118"/>
      <x:c r="F24" s="118"/>
      <x:c r="G24" s="118"/>
      <x:c r="H24" s="118"/>
      <x:c r="I24" s="118"/>
      <x:c r="J24" s="118"/>
      <x:c r="K24" s="118"/>
      <x:c r="L24" s="118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>
      <x:c r="A25" s="157" t="str">
        <x:v>The formula map is revenue → EBITDA → D&amp;A → EBIT → cash taxes → NOPAT → FCFF. Capitalized development is treated as capex. All forecast assumptions remain visible; no management adjusted-EBITDA value is used as a cash-flow substitute.</x:v>
      </x:c>
      <x:c r="B25" s="157"/>
      <x:c r="C25" s="157"/>
      <x:c r="D25" s="157"/>
      <x:c r="E25" s="157"/>
      <x:c r="F25" s="157"/>
      <x:c r="G25" s="157"/>
      <x:c r="H25" s="157"/>
      <x:c r="I25" s="118"/>
      <x:c r="J25" s="118"/>
      <x:c r="K25" s="118"/>
      <x:c r="L25" s="118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>
      <x:c r="A26" s="157"/>
      <x:c r="B26" s="157"/>
      <x:c r="C26" s="157"/>
      <x:c r="D26" s="157"/>
      <x:c r="E26" s="157"/>
      <x:c r="F26" s="157"/>
      <x:c r="G26" s="157"/>
      <x:c r="H26" s="157"/>
      <x:c r="I26" s="118"/>
      <x:c r="J26" s="118"/>
      <x:c r="K26" s="118"/>
      <x:c r="L26" s="118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>
      <x:c r="A27" s="157"/>
      <x:c r="B27" s="157"/>
      <x:c r="C27" s="157"/>
      <x:c r="D27" s="157"/>
      <x:c r="E27" s="157"/>
      <x:c r="F27" s="157"/>
      <x:c r="G27" s="157"/>
      <x:c r="H27" s="157"/>
      <x:c r="I27" s="118"/>
      <x:c r="J27" s="118"/>
      <x:c r="K27" s="118"/>
      <x:c r="L27" s="118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>
      <x:c r="A28" s="118"/>
      <x:c r="B28" s="118"/>
      <x:c r="C28" s="118"/>
      <x:c r="D28" s="118"/>
      <x:c r="E28" s="118"/>
      <x:c r="F28" s="118"/>
      <x:c r="G28" s="118"/>
      <x:c r="H28" s="118"/>
      <x:c r="I28" s="118"/>
      <x:c r="J28" s="118"/>
      <x:c r="K28" s="118"/>
      <x:c r="L28" s="118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>
      <x:c r="A29" s="118"/>
      <x:c r="B29" s="118"/>
      <x:c r="C29" s="118"/>
      <x:c r="D29" s="118"/>
      <x:c r="E29" s="118"/>
      <x:c r="F29" s="118"/>
      <x:c r="G29" s="118"/>
      <x:c r="H29" s="118"/>
      <x:c r="I29" s="118"/>
      <x:c r="J29" s="118"/>
      <x:c r="K29" s="118"/>
      <x:c r="L29" s="118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>
      <x:c r="A30" s="118"/>
      <x:c r="B30" s="118"/>
      <x:c r="C30" s="118"/>
      <x:c r="D30" s="118"/>
      <x:c r="E30" s="118"/>
      <x:c r="F30" s="118"/>
      <x:c r="G30" s="118"/>
      <x:c r="H30" s="118"/>
      <x:c r="I30" s="118"/>
      <x:c r="J30" s="118"/>
      <x:c r="K30" s="118"/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>
      <x:c r="A31" s="118"/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8"/>
      <x:c r="L31" s="118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>
      <x:c r="A32" s="118"/>
      <x:c r="B32" s="118"/>
      <x:c r="C32" s="118"/>
      <x:c r="D32" s="118"/>
      <x:c r="E32" s="118"/>
      <x:c r="F32" s="118"/>
      <x:c r="G32" s="118"/>
      <x:c r="H32" s="118"/>
      <x:c r="I32" s="118"/>
      <x:c r="J32" s="118"/>
      <x:c r="K32" s="118"/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>
      <x:c r="A33" s="118"/>
      <x:c r="B33" s="118"/>
      <x:c r="C33" s="118"/>
      <x:c r="D33" s="118"/>
      <x:c r="E33" s="118"/>
      <x:c r="F33" s="118"/>
      <x:c r="G33" s="118"/>
      <x:c r="H33" s="118"/>
      <x:c r="I33" s="118"/>
      <x:c r="J33" s="118"/>
      <x:c r="K33" s="118"/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  <x:c r="I34" s="118"/>
      <x:c r="J34" s="118"/>
      <x:c r="K34" s="118"/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  <x:c r="I35" s="118"/>
      <x:c r="J35" s="118"/>
      <x:c r="K35" s="118"/>
      <x:c r="L35" s="118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  <x:c r="I36" s="118"/>
      <x:c r="J36" s="118"/>
      <x:c r="K36" s="118"/>
      <x:c r="L36" s="118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  <x:c r="I37" s="118"/>
      <x:c r="J37" s="118"/>
      <x:c r="K37" s="118"/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  <x:c r="I38" s="118"/>
      <x:c r="J38" s="118"/>
      <x:c r="K38" s="118"/>
      <x:c r="L38" s="118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  <x:c r="I39" s="118"/>
      <x:c r="J39" s="118"/>
      <x:c r="K39" s="118"/>
      <x:c r="L39" s="118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  <x:c r="I40" s="118"/>
      <x:c r="J40" s="118"/>
      <x:c r="K40" s="118"/>
      <x:c r="L40" s="118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8"/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  <x:c r="I42" s="118"/>
      <x:c r="J42" s="118"/>
      <x:c r="K42" s="118"/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  <x:c r="I43" s="118"/>
      <x:c r="J43" s="118"/>
      <x:c r="K43" s="118"/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  <x:c r="I44" s="118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  <x:c r="I45" s="118"/>
      <x:c r="J45" s="118"/>
      <x:c r="K45" s="118"/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  <x:c r="I46" s="118"/>
      <x:c r="J46" s="118"/>
      <x:c r="K46" s="118"/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  <x:c r="I47" s="118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  <x:c r="I48" s="118"/>
      <x:c r="J48" s="118"/>
      <x:c r="K48" s="118"/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  <x:c r="I50" s="118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8"/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  <x:c r="I52" s="118"/>
      <x:c r="J52" s="118"/>
      <x:c r="K52" s="118"/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/>
      <x:c r="B55" s="118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/>
      <x:c r="B58" s="118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18"/>
      <x:c r="B59" s="118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/>
      <x:c r="B60" s="118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/>
      <x:c r="B61" s="118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/>
      <x:c r="B62" s="118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</x:sheetData>
  <x:mergeCells>
    <x:mergeCell ref="A1:H1"/>
    <x:mergeCell ref="C20:H20"/>
    <x:mergeCell ref="C21:H21"/>
    <x:mergeCell ref="C22:H22"/>
    <x:mergeCell ref="A25:H2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17" hidden="0" customWidth="1"/>
  </x:cols>
  <x:sheetData>
    <x:row r="1" ht="30" customHeight="1">
      <x:c r="A1" s="3" t="str">
        <x:v>Grandstand Limited — FCFF DCF Valuation</x:v>
      </x:c>
      <x:c r="B1" s="3"/>
      <x:c r="C1" s="3"/>
      <x:c r="D1" s="3"/>
      <x:c r="E1" s="3"/>
      <x:c r="F1" s="3"/>
      <x:c r="G1" s="3"/>
      <x:c r="H1" s="3"/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>
      <x:c r="A2" s="118"/>
      <x:c r="B2" s="118"/>
      <x:c r="C2" s="118"/>
      <x:c r="D2" s="118"/>
      <x:c r="E2" s="118"/>
      <x:c r="F2" s="118"/>
      <x:c r="G2" s="118"/>
      <x:c r="H2" s="118"/>
      <x:c r="I2" s="118"/>
      <x:c r="J2" s="118"/>
      <x:c r="K2" s="118"/>
      <x:c r="L2" s="118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>
      <x:c r="A3" s="12" t="str">
        <x:v>USD millions, except per-share data</x:v>
      </x:c>
      <x:c r="B3" s="13" t="str">
        <x:v>FY2026E</x:v>
      </x:c>
      <x:c r="C3" s="13" t="str">
        <x:v>FY2027E</x:v>
      </x:c>
      <x:c r="D3" s="13" t="str">
        <x:v>FY2028E</x:v>
      </x:c>
      <x:c r="E3" s="13" t="str">
        <x:v>FY2029E</x:v>
      </x:c>
      <x:c r="F3" s="13" t="str">
        <x:v>FY2030E</x:v>
      </x:c>
      <x:c r="G3" s="13" t="str">
        <x:v>FY2031E</x:v>
      </x:c>
      <x:c r="H3" s="14" t="str">
        <x:v>Terminal</x:v>
      </x:c>
      <x:c r="I3" s="118"/>
      <x:c r="J3" s="118"/>
      <x:c r="K3" s="118"/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>
      <x:c r="A4" s="118" t="str">
        <x:v>FCFF</x:v>
      </x:c>
      <x:c r="B4" s="152" t="n">
        <x:f>'Forecast'!C17</x:f>
        <x:v>29.731250000000003</x:v>
      </x:c>
      <x:c r="C4" s="152" t="n">
        <x:f>'Forecast'!D17</x:f>
        <x:v>35.19225</x:v>
      </x:c>
      <x:c r="D4" s="152" t="n">
        <x:f>'Forecast'!E17</x:f>
        <x:v>39.69840500000001</x:v>
      </x:c>
      <x:c r="E4" s="152" t="n">
        <x:f>'Forecast'!F17</x:f>
        <x:v>44.340637225</x:v>
      </x:c>
      <x:c r="F4" s="152" t="n">
        <x:f>'Forecast'!G17</x:f>
        <x:v>48.74994750800002</x:v>
      </x:c>
      <x:c r="G4" s="152" t="n">
        <x:f>'Forecast'!H17</x:f>
        <x:v>52.43143558312502</x:v>
      </x:c>
      <x:c r="H4" s="152"/>
      <x:c r="I4" s="118"/>
      <x:c r="J4" s="118"/>
      <x:c r="K4" s="118"/>
      <x:c r="L4" s="11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>
      <x:c r="A5" s="118" t="str">
        <x:v>Discount period</x:v>
      </x:c>
      <x:c r="B5" s="161" t="n">
        <x:v>0.5</x:v>
      </x:c>
      <x:c r="C5" s="161" t="n">
        <x:v>1.5</x:v>
      </x:c>
      <x:c r="D5" s="161" t="n">
        <x:v>2.5</x:v>
      </x:c>
      <x:c r="E5" s="161" t="n">
        <x:v>3.5</x:v>
      </x:c>
      <x:c r="F5" s="161" t="n">
        <x:v>4.5</x:v>
      </x:c>
      <x:c r="G5" s="161" t="n">
        <x:v>5.5</x:v>
      </x:c>
      <x:c r="H5" s="152"/>
      <x:c r="I5" s="118"/>
      <x:c r="J5" s="118"/>
      <x:c r="K5" s="118"/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>
      <x:c r="A6" s="118" t="str">
        <x:v>Discount factor</x:v>
      </x:c>
      <x:c r="B6" s="153" t="n">
        <x:f>1/(1+'Assumptions'!B20)^B5</x:f>
        <x:v>0.9408915765892427</x:v>
      </x:c>
      <x:c r="C6" s="153" t="n">
        <x:f>1/(1+'Assumptions'!B20)^C5</x:f>
        <x:v>0.8329496335743437</x:v>
      </x:c>
      <x:c r="D6" s="153" t="n">
        <x:f>1/(1+'Assumptions'!B20)^D5</x:f>
        <x:v>0.7373911185247248</x:v>
      </x:c>
      <x:c r="E6" s="153" t="n">
        <x:f>1/(1+'Assumptions'!B20)^E5</x:f>
        <x:v>0.6527953669249239</x:v>
      </x:c>
      <x:c r="F6" s="153" t="n">
        <x:f>1/(1+'Assumptions'!B20)^F5</x:f>
        <x:v>0.5779046972130808</x:v>
      </x:c>
      <x:c r="G6" s="153" t="n">
        <x:f>1/(1+'Assumptions'!B20)^G5</x:f>
        <x:v>0.5116057128808513</x:v>
      </x:c>
      <x:c r="H6" s="152"/>
      <x:c r="I6" s="118"/>
      <x:c r="J6" s="118"/>
      <x:c r="K6" s="118"/>
      <x:c r="L6" s="118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>
      <x:c r="A7" s="118" t="str">
        <x:v>Present value of FCFF</x:v>
      </x:c>
      <x:c r="B7" s="152" t="n">
        <x:f>B4*B6</x:f>
        <x:v>27.973882686468926</x:v>
      </x:c>
      <x:c r="C7" s="152" t="n">
        <x:f>C4*C6</x:f>
        <x:v>29.313371742156697</x:v>
      </x:c>
      <x:c r="D7" s="152" t="n">
        <x:f>D4*D6</x:f>
        <x:v>29.273251266597534</x:v>
      </x:c>
      <x:c r="E7" s="152" t="n">
        <x:f>E4*E6</x:f>
        <x:v>28.945362546978817</x:v>
      </x:c>
      <x:c r="F7" s="152" t="n">
        <x:f>F4*F6</x:f>
        <x:v>28.172823653764333</x:v>
      </x:c>
      <x:c r="G7" s="152" t="n">
        <x:f>G4*G6</x:f>
        <x:v>26.824221978871112</x:v>
      </x:c>
      <x:c r="H7" s="152"/>
      <x:c r="I7" s="118"/>
      <x:c r="J7" s="118"/>
      <x:c r="K7" s="118"/>
      <x:c r="L7" s="118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>
      <x:c r="A8" s="118" t="str">
        <x:v>Terminal growth</x:v>
      </x:c>
      <x:c r="B8" s="152"/>
      <x:c r="C8" s="152"/>
      <x:c r="D8" s="152"/>
      <x:c r="E8" s="152"/>
      <x:c r="F8" s="152"/>
      <x:c r="G8" s="152"/>
      <x:c r="H8" s="153" t="n">
        <x:f>'Assumptions'!B21</x:f>
        <x:v>0.025</x:v>
      </x:c>
      <x:c r="I8" s="118"/>
      <x:c r="J8" s="118"/>
      <x:c r="K8" s="118"/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>
      <x:c r="A9" s="118" t="str">
        <x:v>Terminal value</x:v>
      </x:c>
      <x:c r="B9" s="152"/>
      <x:c r="C9" s="152"/>
      <x:c r="D9" s="152"/>
      <x:c r="E9" s="152"/>
      <x:c r="F9" s="152"/>
      <x:c r="G9" s="152"/>
      <x:c r="H9" s="152" t="n">
        <x:f>G4*(1+H8)/('Assumptions'!B20-H8)</x:f>
        <x:v>513.8370921952686</x:v>
      </x:c>
      <x:c r="I9" s="118"/>
      <x:c r="J9" s="118"/>
      <x:c r="K9" s="118"/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>
      <x:c r="A10" s="118" t="str">
        <x:v>PV of terminal value</x:v>
      </x:c>
      <x:c r="B10" s="152"/>
      <x:c r="C10" s="152"/>
      <x:c r="D10" s="152"/>
      <x:c r="E10" s="152"/>
      <x:c r="F10" s="152"/>
      <x:c r="G10" s="152"/>
      <x:c r="H10" s="152" t="n">
        <x:f>H9*G6</x:f>
        <x:v>262.8819918571841</x:v>
      </x:c>
      <x:c r="I10" s="118"/>
      <x:c r="J10" s="118"/>
      <x:c r="K10" s="118"/>
      <x:c r="L10" s="118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>
      <x:c r="A11" s="118" t="str">
        <x:v>Enterprise value</x:v>
      </x:c>
      <x:c r="B11" s="152"/>
      <x:c r="C11" s="152"/>
      <x:c r="D11" s="152"/>
      <x:c r="E11" s="152"/>
      <x:c r="F11" s="152"/>
      <x:c r="G11" s="152"/>
      <x:c r="H11" s="152" t="n">
        <x:f>SUM(B7:G7)+H10</x:f>
        <x:v>433.38490573202154</x:v>
      </x:c>
      <x:c r="I11" s="118"/>
      <x:c r="J11" s="118"/>
      <x:c r="K11" s="118"/>
      <x:c r="L11" s="118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>
      <x:c r="A12" s="118" t="str">
        <x:v>Cash</x:v>
      </x:c>
      <x:c r="B12" s="152"/>
      <x:c r="C12" s="152"/>
      <x:c r="D12" s="152"/>
      <x:c r="E12" s="152"/>
      <x:c r="F12" s="152"/>
      <x:c r="G12" s="152"/>
      <x:c r="H12" s="152" t="n">
        <x:f>'Assumptions'!B8</x:f>
        <x:v>8.412</x:v>
      </x:c>
      <x:c r="I12" s="118"/>
      <x:c r="J12" s="118"/>
      <x:c r="K12" s="118"/>
      <x:c r="L12" s="118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>
      <x:c r="A13" s="118" t="str">
        <x:v>Borrowings + accrued interest</x:v>
      </x:c>
      <x:c r="B13" s="152"/>
      <x:c r="C13" s="152"/>
      <x:c r="D13" s="152"/>
      <x:c r="E13" s="152"/>
      <x:c r="F13" s="152"/>
      <x:c r="G13" s="152"/>
      <x:c r="H13" s="152" t="n">
        <x:f>-'Assumptions'!B9</x:f>
        <x:v>-116.504</x:v>
      </x:c>
      <x:c r="I13" s="118"/>
      <x:c r="J13" s="118"/>
      <x:c r="K13" s="118"/>
      <x:c r="L13" s="118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>
      <x:c r="A14" s="118" t="str">
        <x:v>Deferred consideration</x:v>
      </x:c>
      <x:c r="B14" s="152"/>
      <x:c r="C14" s="152"/>
      <x:c r="D14" s="152"/>
      <x:c r="E14" s="152"/>
      <x:c r="F14" s="152"/>
      <x:c r="G14" s="152"/>
      <x:c r="H14" s="152" t="n">
        <x:f>-'Assumptions'!B10</x:f>
        <x:v>-36.684</x:v>
      </x:c>
      <x:c r="I14" s="118"/>
      <x:c r="J14" s="118"/>
      <x:c r="K14" s="118"/>
      <x:c r="L14" s="118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>
      <x:c r="A15" s="118" t="str">
        <x:v>Lease liabilities</x:v>
      </x:c>
      <x:c r="B15" s="152"/>
      <x:c r="C15" s="152"/>
      <x:c r="D15" s="152"/>
      <x:c r="E15" s="152"/>
      <x:c r="F15" s="152"/>
      <x:c r="G15" s="152"/>
      <x:c r="H15" s="152" t="n">
        <x:f>-'Assumptions'!B11</x:f>
        <x:v>-4.402</x:v>
      </x:c>
      <x:c r="I15" s="118"/>
      <x:c r="J15" s="118"/>
      <x:c r="K15" s="118"/>
      <x:c r="L15" s="118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>
      <x:c r="A16" s="162" t="str">
        <x:v>Equity value</x:v>
      </x:c>
      <x:c r="B16" s="163"/>
      <x:c r="C16" s="163"/>
      <x:c r="D16" s="163"/>
      <x:c r="E16" s="163"/>
      <x:c r="F16" s="163"/>
      <x:c r="G16" s="163"/>
      <x:c r="H16" s="163" t="n">
        <x:f>SUM(H11:H15)</x:f>
        <x:v>284.20690573202154</x:v>
      </x:c>
      <x:c r="I16" s="118"/>
      <x:c r="J16" s="118"/>
      <x:c r="K16" s="118"/>
      <x:c r="L16" s="118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>
      <x:c r="A17" s="164" t="str">
        <x:v>Diluted shares (mm)</x:v>
      </x:c>
      <x:c r="B17" s="165"/>
      <x:c r="C17" s="165"/>
      <x:c r="D17" s="165"/>
      <x:c r="E17" s="165"/>
      <x:c r="F17" s="165"/>
      <x:c r="G17" s="165"/>
      <x:c r="H17" s="165" t="n">
        <x:f>'Assumptions'!B7</x:f>
        <x:v>42.426533</x:v>
      </x:c>
      <x:c r="I17" s="118"/>
      <x:c r="J17" s="118"/>
      <x:c r="K17" s="118"/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>
      <x:c r="A18" s="166" t="str">
        <x:v>Value per share</x:v>
      </x:c>
      <x:c r="B18" s="166"/>
      <x:c r="C18" s="166"/>
      <x:c r="D18" s="166"/>
      <x:c r="E18" s="166"/>
      <x:c r="F18" s="166"/>
      <x:c r="G18" s="166"/>
      <x:c r="H18" s="167" t="n">
        <x:f>H16/H17</x:f>
        <x:v>6.698801095343368</x:v>
      </x:c>
      <x:c r="I18" s="118"/>
      <x:c r="J18" s="118"/>
      <x:c r="K18" s="118"/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>
      <x:c r="A19" s="118"/>
      <x:c r="B19" s="118"/>
      <x:c r="C19" s="118"/>
      <x:c r="D19" s="118"/>
      <x:c r="E19" s="118"/>
      <x:c r="F19" s="118"/>
      <x:c r="G19" s="118"/>
      <x:c r="H19" s="118"/>
      <x:c r="I19" s="118"/>
      <x:c r="J19" s="118"/>
      <x:c r="K19" s="118"/>
      <x:c r="L19" s="118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>
      <x:c r="A20" s="118"/>
      <x:c r="B20" s="118"/>
      <x:c r="C20" s="118"/>
      <x:c r="D20" s="118"/>
      <x:c r="E20" s="118"/>
      <x:c r="F20" s="118"/>
      <x:c r="G20" s="118"/>
      <x:c r="H20" s="118"/>
      <x:c r="I20" s="118"/>
      <x:c r="J20" s="118"/>
      <x:c r="K20" s="118"/>
      <x:c r="L20" s="118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>
      <x:c r="A21" s="46" t="str">
        <x:v>Exit-multiple DCF: market-based terminal value cross-check</x:v>
      </x:c>
      <x:c r="B21" s="46"/>
      <x:c r="C21" s="46"/>
      <x:c r="D21" s="46"/>
      <x:c r="E21" s="118"/>
      <x:c r="F21" s="118"/>
      <x:c r="G21" s="118"/>
      <x:c r="H21" s="118"/>
      <x:c r="I21" s="118"/>
      <x:c r="J21" s="118"/>
      <x:c r="K21" s="118"/>
      <x:c r="L21" s="118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>
      <x:c r="A22" s="12" t="str">
        <x:v>Case</x:v>
      </x:c>
      <x:c r="B22" s="13" t="str">
        <x:v>Exit EBITDA multiple</x:v>
      </x:c>
      <x:c r="C22" s="13" t="str">
        <x:v>Enterprise value</x:v>
      </x:c>
      <x:c r="D22" s="14" t="str">
        <x:v>Value / share</x:v>
      </x:c>
      <x:c r="E22" s="118"/>
      <x:c r="F22" s="118"/>
      <x:c r="G22" s="118"/>
      <x:c r="H22" s="118"/>
      <x:c r="I22" s="118"/>
      <x:c r="J22" s="118"/>
      <x:c r="K22" s="118"/>
      <x:c r="L22" s="118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>
      <x:c r="A23" s="118" t="str">
        <x:v>Low</x:v>
      </x:c>
      <x:c r="B23" s="156" t="n">
        <x:f>'Assumptions'!B23</x:f>
        <x:v>5</x:v>
      </x:c>
      <x:c r="C23" s="152" t="n">
        <x:f>SUM(B7:G7)+'Forecast'!H7*B23*G6</x:f>
        <x:v>367.51775589601766</x:v>
      </x:c>
      <x:c r="D23" s="148" t="n">
        <x:f>(C23+'Assumptions'!B8-'Assumptions'!B9-'Assumptions'!B10-'Assumptions'!B11)/'Assumptions'!B7</x:f>
        <x:v>5.146302100527932</x:v>
      </x:c>
      <x:c r="E23" s="118"/>
      <x:c r="F23" s="118"/>
      <x:c r="G23" s="118"/>
      <x:c r="H23" s="118"/>
      <x:c r="I23" s="118"/>
      <x:c r="J23" s="118"/>
      <x:c r="K23" s="118"/>
      <x:c r="L23" s="118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>
      <x:c r="A24" s="118" t="str">
        <x:v>Mid</x:v>
      </x:c>
      <x:c r="B24" s="156" t="n">
        <x:f>'Assumptions'!B24</x:f>
        <x:v>6</x:v>
      </x:c>
      <x:c r="C24" s="152" t="n">
        <x:f>SUM(B7:G7)+'Forecast'!H7*B24*G6</x:f>
        <x:v>406.9207243002537</x:v>
      </x:c>
      <x:c r="D24" s="148" t="n">
        <x:f>(C24+'Assumptions'!B8-'Assumptions'!B9-'Assumptions'!B10-'Assumptions'!B11)/'Assumptions'!B7</x:f>
        <x:v>6.0750362114258465</x:v>
      </x:c>
      <x:c r="E24" s="118"/>
      <x:c r="F24" s="118"/>
      <x:c r="G24" s="118"/>
      <x:c r="H24" s="118"/>
      <x:c r="I24" s="118"/>
      <x:c r="J24" s="118"/>
      <x:c r="K24" s="118"/>
      <x:c r="L24" s="118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>
      <x:c r="A25" s="118" t="str">
        <x:v>High</x:v>
      </x:c>
      <x:c r="B25" s="156" t="n">
        <x:f>'Assumptions'!B25</x:f>
        <x:v>7</x:v>
      </x:c>
      <x:c r="C25" s="152" t="n">
        <x:f>SUM(B7:G7)+'Forecast'!H7*B25*G6</x:f>
        <x:v>446.32369270448976</x:v>
      </x:c>
      <x:c r="D25" s="148" t="n">
        <x:f>(C25+'Assumptions'!B8-'Assumptions'!B9-'Assumptions'!B10-'Assumptions'!B11)/'Assumptions'!B7</x:f>
        <x:v>7.003770322323762</x:v>
      </x:c>
      <x:c r="E25" s="118"/>
      <x:c r="F25" s="118"/>
      <x:c r="G25" s="118"/>
      <x:c r="H25" s="118"/>
      <x:c r="I25" s="118"/>
      <x:c r="J25" s="118"/>
      <x:c r="K25" s="118"/>
      <x:c r="L25" s="118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>
      <x:c r="A26" s="118"/>
      <x:c r="B26" s="118"/>
      <x:c r="C26" s="118"/>
      <x:c r="D26" s="118"/>
      <x:c r="E26" s="118"/>
      <x:c r="F26" s="118"/>
      <x:c r="G26" s="118"/>
      <x:c r="H26" s="118"/>
      <x:c r="I26" s="118"/>
      <x:c r="J26" s="118"/>
      <x:c r="K26" s="118"/>
      <x:c r="L26" s="118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>
      <x:c r="A27" s="118"/>
      <x:c r="B27" s="118"/>
      <x:c r="C27" s="118"/>
      <x:c r="D27" s="118"/>
      <x:c r="E27" s="118"/>
      <x:c r="F27" s="118"/>
      <x:c r="G27" s="118"/>
      <x:c r="H27" s="118"/>
      <x:c r="I27" s="118"/>
      <x:c r="J27" s="118"/>
      <x:c r="K27" s="118"/>
      <x:c r="L27" s="118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>
      <x:c r="A28" s="46" t="str">
        <x:v>Reverse DCF / current-price diagnostics</x:v>
      </x:c>
      <x:c r="B28" s="46"/>
      <x:c r="C28" s="46"/>
      <x:c r="D28" s="46"/>
      <x:c r="E28" s="118"/>
      <x:c r="F28" s="118"/>
      <x:c r="G28" s="118"/>
      <x:c r="H28" s="118"/>
      <x:c r="I28" s="118"/>
      <x:c r="J28" s="118"/>
      <x:c r="K28" s="118"/>
      <x:c r="L28" s="118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>
      <x:c r="A29" s="118" t="str">
        <x:v>Current equity value</x:v>
      </x:c>
      <x:c r="B29" s="118" t="n">
        <x:f>'Assumptions'!B5*'Assumptions'!B7</x:f>
        <x:v>82.73173935</x:v>
      </x:c>
      <x:c r="C29" s="118" t="str">
        <x:v>$mm</x:v>
      </x:c>
      <x:c r="D29" s="118" t="str">
        <x:v>Frozen price × diluted shares</x:v>
      </x:c>
      <x:c r="E29" s="118"/>
      <x:c r="F29" s="118"/>
      <x:c r="G29" s="118"/>
      <x:c r="H29" s="118"/>
      <x:c r="I29" s="118"/>
      <x:c r="J29" s="118"/>
      <x:c r="K29" s="118"/>
      <x:c r="L29" s="118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>
      <x:c r="A30" s="118" t="str">
        <x:v>Implied enterprise value</x:v>
      </x:c>
      <x:c r="B30" s="118" t="n">
        <x:f>B29-'Assumptions'!B8+'Assumptions'!B9+'Assumptions'!B10+'Assumptions'!B11</x:f>
        <x:v>231.90973934999997</x:v>
      </x:c>
      <x:c r="C30" s="118" t="str">
        <x:v>$mm</x:v>
      </x:c>
      <x:c r="D30" s="118" t="str">
        <x:v>Equity value + debt-like claims − cash</x:v>
      </x:c>
      <x:c r="E30" s="118"/>
      <x:c r="F30" s="118"/>
      <x:c r="G30" s="118"/>
      <x:c r="H30" s="118"/>
      <x:c r="I30" s="118"/>
      <x:c r="J30" s="118"/>
      <x:c r="K30" s="118"/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>
      <x:c r="A31" s="118" t="str">
        <x:v>Implied EV / 2026 revenue</x:v>
      </x:c>
      <x:c r="B31" s="156" t="n">
        <x:f>B30/'Forecast'!C4</x:f>
        <x:v>1.3845357573134327</x:v>
      </x:c>
      <x:c r="C31" s="118" t="str">
        <x:v>x</x:v>
      </x:c>
      <x:c r="D31" s="118" t="str">
        <x:v>Model-derived market diagnostic</x:v>
      </x:c>
      <x:c r="E31" s="118"/>
      <x:c r="F31" s="118"/>
      <x:c r="G31" s="118"/>
      <x:c r="H31" s="118"/>
      <x:c r="I31" s="118"/>
      <x:c r="J31" s="118"/>
      <x:c r="K31" s="118"/>
      <x:c r="L31" s="118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>
      <x:c r="A32" s="118" t="str">
        <x:v>Implied EV / 2026 normalized EBITDA</x:v>
      </x:c>
      <x:c r="B32" s="156" t="n">
        <x:f>B30/'Forecast'!C7</x:f>
        <x:v>5.034675481139754</x:v>
      </x:c>
      <x:c r="C32" s="118" t="str">
        <x:v>x</x:v>
      </x:c>
      <x:c r="D32" s="118" t="str">
        <x:v>Model-derived market diagnostic</x:v>
      </x:c>
      <x:c r="E32" s="118"/>
      <x:c r="F32" s="118"/>
      <x:c r="G32" s="118"/>
      <x:c r="H32" s="118"/>
      <x:c r="I32" s="118"/>
      <x:c r="J32" s="118"/>
      <x:c r="K32" s="118"/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>
      <x:c r="A33" s="118" t="str">
        <x:v>Terminal value / enterprise value</x:v>
      </x:c>
      <x:c r="B33" s="153" t="n">
        <x:f>H10/H11</x:f>
        <x:v>0.6065785595674025</x:v>
      </x:c>
      <x:c r="C33" s="118" t="str">
        <x:v>%</x:v>
      </x:c>
      <x:c r="D33" s="118" t="str">
        <x:v>Concentration warning</x:v>
      </x:c>
      <x:c r="E33" s="118"/>
      <x:c r="F33" s="118"/>
      <x:c r="G33" s="118"/>
      <x:c r="H33" s="118"/>
      <x:c r="I33" s="118"/>
      <x:c r="J33" s="118"/>
      <x:c r="K33" s="118"/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  <x:c r="I34" s="118"/>
      <x:c r="J34" s="118"/>
      <x:c r="K34" s="118"/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  <x:c r="I35" s="118"/>
      <x:c r="J35" s="118"/>
      <x:c r="K35" s="118"/>
      <x:c r="L35" s="118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>
      <x:c r="A36" s="157" t="str">
        <x:v>The Gordon-growth DCF is primary. The exit-multiple DCF uses the same explicit cash flows but substitutes a market-based terminal value and is therefore corroborative, not an independent operating forecast. Reverse outputs are model-derived implied expectations, not quoted consensus or a unique market belief.</x:v>
      </x:c>
      <x:c r="B36" s="157"/>
      <x:c r="C36" s="157"/>
      <x:c r="D36" s="157"/>
      <x:c r="E36" s="157"/>
      <x:c r="F36" s="157"/>
      <x:c r="G36" s="157"/>
      <x:c r="H36" s="157"/>
      <x:c r="I36" s="118"/>
      <x:c r="J36" s="118"/>
      <x:c r="K36" s="118"/>
      <x:c r="L36" s="118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>
      <x:c r="A37" s="157"/>
      <x:c r="B37" s="157"/>
      <x:c r="C37" s="157"/>
      <x:c r="D37" s="157"/>
      <x:c r="E37" s="157"/>
      <x:c r="F37" s="157"/>
      <x:c r="G37" s="157"/>
      <x:c r="H37" s="157"/>
      <x:c r="I37" s="118"/>
      <x:c r="J37" s="118"/>
      <x:c r="K37" s="118"/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>
      <x:c r="A38" s="157"/>
      <x:c r="B38" s="157"/>
      <x:c r="C38" s="157"/>
      <x:c r="D38" s="157"/>
      <x:c r="E38" s="157"/>
      <x:c r="F38" s="157"/>
      <x:c r="G38" s="157"/>
      <x:c r="H38" s="157"/>
      <x:c r="I38" s="118"/>
      <x:c r="J38" s="118"/>
      <x:c r="K38" s="118"/>
      <x:c r="L38" s="118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  <x:c r="I39" s="118"/>
      <x:c r="J39" s="118"/>
      <x:c r="K39" s="118"/>
      <x:c r="L39" s="118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  <x:c r="I40" s="118"/>
      <x:c r="J40" s="118"/>
      <x:c r="K40" s="118"/>
      <x:c r="L40" s="118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8"/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  <x:c r="I42" s="118"/>
      <x:c r="J42" s="118"/>
      <x:c r="K42" s="118"/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  <x:c r="I43" s="118"/>
      <x:c r="J43" s="118"/>
      <x:c r="K43" s="118"/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  <x:c r="I44" s="118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  <x:c r="I45" s="118"/>
      <x:c r="J45" s="118"/>
      <x:c r="K45" s="118"/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  <x:c r="I46" s="118"/>
      <x:c r="J46" s="118"/>
      <x:c r="K46" s="118"/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  <x:c r="I47" s="118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  <x:c r="I48" s="118"/>
      <x:c r="J48" s="118"/>
      <x:c r="K48" s="118"/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  <x:c r="I50" s="118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8"/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  <x:c r="I52" s="118"/>
      <x:c r="J52" s="118"/>
      <x:c r="K52" s="118"/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/>
      <x:c r="B55" s="118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/>
      <x:c r="B58" s="118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18"/>
      <x:c r="B59" s="118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/>
      <x:c r="B60" s="118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/>
      <x:c r="B61" s="118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/>
      <x:c r="B62" s="118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</x:sheetData>
  <x:mergeCells>
    <x:mergeCell ref="A1:H1"/>
    <x:mergeCell ref="A21:D21"/>
    <x:mergeCell ref="A28:D28"/>
    <x:mergeCell ref="A36:H3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</x:cols>
  <x:sheetData>
    <x:row r="1" ht="30" customHeight="1">
      <x:c r="A1" s="3" t="str">
        <x:v>Grandstand Limited — Adjusted Present Value (APV)</x:v>
      </x:c>
      <x:c r="B1" s="3"/>
      <x:c r="C1" s="3"/>
      <x:c r="D1" s="3"/>
      <x:c r="E1" s="3"/>
      <x:c r="F1" s="3"/>
      <x:c r="G1" s="3"/>
      <x:c r="H1" s="118"/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>
      <x:c r="A2" s="118"/>
      <x:c r="B2" s="118"/>
      <x:c r="C2" s="118"/>
      <x:c r="D2" s="118"/>
      <x:c r="E2" s="118"/>
      <x:c r="F2" s="118"/>
      <x:c r="G2" s="118"/>
      <x:c r="H2" s="118"/>
      <x:c r="I2" s="118"/>
      <x:c r="J2" s="118"/>
      <x:c r="K2" s="118"/>
      <x:c r="L2" s="118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>
      <x:c r="A3" s="12" t="str">
        <x:v>USD millions, except per-share data</x:v>
      </x:c>
      <x:c r="B3" s="13" t="str">
        <x:v>FY2026E</x:v>
      </x:c>
      <x:c r="C3" s="13" t="str">
        <x:v>FY2027E</x:v>
      </x:c>
      <x:c r="D3" s="13" t="str">
        <x:v>FY2028E</x:v>
      </x:c>
      <x:c r="E3" s="13" t="str">
        <x:v>FY2029E</x:v>
      </x:c>
      <x:c r="F3" s="13" t="str">
        <x:v>FY2030E</x:v>
      </x:c>
      <x:c r="G3" s="14" t="str">
        <x:v>FY2031E</x:v>
      </x:c>
      <x:c r="H3" s="118"/>
      <x:c r="I3" s="118"/>
      <x:c r="J3" s="118"/>
      <x:c r="K3" s="118"/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>
      <x:c r="A4" s="118" t="str">
        <x:v>FCFF</x:v>
      </x:c>
      <x:c r="B4" s="152" t="n">
        <x:f>'Forecast'!C17</x:f>
        <x:v>29.731250000000003</x:v>
      </x:c>
      <x:c r="C4" s="152" t="n">
        <x:f>'Forecast'!D17</x:f>
        <x:v>35.19225</x:v>
      </x:c>
      <x:c r="D4" s="152" t="n">
        <x:f>'Forecast'!E17</x:f>
        <x:v>39.69840500000001</x:v>
      </x:c>
      <x:c r="E4" s="152" t="n">
        <x:f>'Forecast'!F17</x:f>
        <x:v>44.340637225</x:v>
      </x:c>
      <x:c r="F4" s="152" t="n">
        <x:f>'Forecast'!G17</x:f>
        <x:v>48.74994750800002</x:v>
      </x:c>
      <x:c r="G4" s="152" t="n">
        <x:f>'Forecast'!H17</x:f>
        <x:v>52.43143558312502</x:v>
      </x:c>
      <x:c r="H4" s="118"/>
      <x:c r="I4" s="118"/>
      <x:c r="J4" s="118"/>
      <x:c r="K4" s="118"/>
      <x:c r="L4" s="11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>
      <x:c r="A5" s="118" t="str">
        <x:v>Discount period</x:v>
      </x:c>
      <x:c r="B5" s="161" t="n">
        <x:v>0.5</x:v>
      </x:c>
      <x:c r="C5" s="161" t="n">
        <x:v>1.5</x:v>
      </x:c>
      <x:c r="D5" s="161" t="n">
        <x:v>2.5</x:v>
      </x:c>
      <x:c r="E5" s="161" t="n">
        <x:v>3.5</x:v>
      </x:c>
      <x:c r="F5" s="161" t="n">
        <x:v>4.5</x:v>
      </x:c>
      <x:c r="G5" s="161" t="n">
        <x:v>5.5</x:v>
      </x:c>
      <x:c r="H5" s="118"/>
      <x:c r="I5" s="118"/>
      <x:c r="J5" s="118"/>
      <x:c r="K5" s="118"/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>
      <x:c r="A6" s="118" t="str">
        <x:v>Unlevered discount factor</x:v>
      </x:c>
      <x:c r="B6" s="153" t="n">
        <x:f>1/(1+'Assumptions'!B33)^B5</x:f>
        <x:v>0.9361963656466615</x:v>
      </x:c>
      <x:c r="C6" s="153" t="n">
        <x:f>1/(1+'Assumptions'!B33)^C5</x:f>
        <x:v>0.8205420697552885</x:v>
      </x:c>
      <x:c r="D6" s="153" t="n">
        <x:f>1/(1+'Assumptions'!B33)^D5</x:f>
        <x:v>0.7191752851691852</x:v>
      </x:c>
      <x:c r="E6" s="153" t="n">
        <x:f>1/(1+'Assumptions'!B33)^E5</x:f>
        <x:v>0.6303309846775171</x:v>
      </x:c>
      <x:c r="F6" s="153" t="n">
        <x:f>1/(1+'Assumptions'!B33)^F5</x:f>
        <x:v>0.5524621861151137</x:v>
      </x:c>
      <x:c r="G6" s="153" t="n">
        <x:f>1/(1+'Assumptions'!B33)^G5</x:f>
        <x:v>0.4842130158701319</x:v>
      </x:c>
      <x:c r="H6" s="118"/>
      <x:c r="I6" s="118"/>
      <x:c r="J6" s="118"/>
      <x:c r="K6" s="118"/>
      <x:c r="L6" s="118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>
      <x:c r="A7" s="118" t="str">
        <x:v>PV of FCFF</x:v>
      </x:c>
      <x:c r="B7" s="152" t="n">
        <x:f>B4*B6</x:f>
        <x:v>27.83428819613231</x:v>
      </x:c>
      <x:c r="C7" s="152" t="n">
        <x:f>C4*C6</x:f>
        <x:v>28.876721654345555</x:v>
      </x:c>
      <x:c r="D7" s="152" t="n">
        <x:f>D4*D6</x:f>
        <x:v>28.55011173663681</x:v>
      </x:c>
      <x:c r="E7" s="152" t="n">
        <x:f>E4*E6</x:f>
        <x:v>27.949277523262822</x:v>
      </x:c>
      <x:c r="F7" s="152" t="n">
        <x:f>F4*F6</x:f>
        <x:v>26.932502573266728</x:v>
      </x:c>
      <x:c r="G7" s="152" t="n">
        <x:f>G4*G6</x:f>
        <x:v>25.387983550105513</x:v>
      </x:c>
      <x:c r="H7" s="118"/>
      <x:c r="I7" s="118"/>
      <x:c r="J7" s="118"/>
      <x:c r="K7" s="118"/>
      <x:c r="L7" s="118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>
      <x:c r="A8" s="118" t="str">
        <x:v>Opening debt</x:v>
      </x:c>
      <x:c r="B8" s="152" t="n">
        <x:f>'Assumptions'!B9</x:f>
        <x:v>116.504</x:v>
      </x:c>
      <x:c r="C8" s="152" t="n">
        <x:f>B11</x:f>
        <x:v>104.8536</x:v>
      </x:c>
      <x:c r="D8" s="152" t="n">
        <x:f>C11</x:f>
        <x:v>87.378</x:v>
      </x:c>
      <x:c r="E8" s="152" t="n">
        <x:f>D11</x:f>
        <x:v>64.0772</x:v>
      </x:c>
      <x:c r="F8" s="152" t="n">
        <x:f>E11</x:f>
        <x:v>40.7764</x:v>
      </x:c>
      <x:c r="G8" s="152" t="n">
        <x:f>F11</x:f>
        <x:v>17.4756</x:v>
      </x:c>
      <x:c r="H8" s="118"/>
      <x:c r="I8" s="118"/>
      <x:c r="J8" s="118"/>
      <x:c r="K8" s="118"/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>
      <x:c r="A9" s="118" t="str">
        <x:v>Debt amortization rate</x:v>
      </x:c>
      <x:c r="B9" s="153" t="n">
        <x:f>'Assumptions'!B34</x:f>
        <x:v>0.1</x:v>
      </x:c>
      <x:c r="C9" s="153" t="n">
        <x:f>'Assumptions'!B35</x:f>
        <x:v>0.15</x:v>
      </x:c>
      <x:c r="D9" s="153" t="n">
        <x:f>'Assumptions'!B36</x:f>
        <x:v>0.2</x:v>
      </x:c>
      <x:c r="E9" s="153" t="n">
        <x:f>'Assumptions'!B37</x:f>
        <x:v>0.2</x:v>
      </x:c>
      <x:c r="F9" s="153" t="n">
        <x:f>'Assumptions'!B38</x:f>
        <x:v>0.2</x:v>
      </x:c>
      <x:c r="G9" s="153" t="n">
        <x:f>'Assumptions'!B39</x:f>
        <x:v>0.15</x:v>
      </x:c>
      <x:c r="H9" s="118"/>
      <x:c r="I9" s="118"/>
      <x:c r="J9" s="118"/>
      <x:c r="K9" s="118"/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>
      <x:c r="A10" s="118" t="str">
        <x:v>Debt amortization</x:v>
      </x:c>
      <x:c r="B10" s="152" t="n">
        <x:f>'Assumptions'!B9*B9</x:f>
        <x:v>11.650400000000001</x:v>
      </x:c>
      <x:c r="C10" s="152" t="n">
        <x:f>'Assumptions'!B9*C9</x:f>
        <x:v>17.4756</x:v>
      </x:c>
      <x:c r="D10" s="152" t="n">
        <x:f>'Assumptions'!B9*D9</x:f>
        <x:v>23.300800000000002</x:v>
      </x:c>
      <x:c r="E10" s="152" t="n">
        <x:f>'Assumptions'!B9*E9</x:f>
        <x:v>23.300800000000002</x:v>
      </x:c>
      <x:c r="F10" s="152" t="n">
        <x:f>'Assumptions'!B9*F9</x:f>
        <x:v>23.300800000000002</x:v>
      </x:c>
      <x:c r="G10" s="152" t="n">
        <x:f>'Assumptions'!B9*G9</x:f>
        <x:v>17.4756</x:v>
      </x:c>
      <x:c r="H10" s="118"/>
      <x:c r="I10" s="118"/>
      <x:c r="J10" s="118"/>
      <x:c r="K10" s="118"/>
      <x:c r="L10" s="118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>
      <x:c r="A11" s="118" t="str">
        <x:v>Ending debt</x:v>
      </x:c>
      <x:c r="B11" s="152" t="n">
        <x:f>B8-B10</x:f>
        <x:v>104.8536</x:v>
      </x:c>
      <x:c r="C11" s="152" t="n">
        <x:f>C8-C10</x:f>
        <x:v>87.378</x:v>
      </x:c>
      <x:c r="D11" s="152" t="n">
        <x:f>D8-D10</x:f>
        <x:v>64.0772</x:v>
      </x:c>
      <x:c r="E11" s="152" t="n">
        <x:f>E8-E10</x:f>
        <x:v>40.7764</x:v>
      </x:c>
      <x:c r="F11" s="152" t="n">
        <x:f>F8-F10</x:f>
        <x:v>17.4756</x:v>
      </x:c>
      <x:c r="G11" s="152" t="n">
        <x:f>G8-G10</x:f>
        <x:v>0</x:v>
      </x:c>
      <x:c r="H11" s="118"/>
      <x:c r="I11" s="118"/>
      <x:c r="J11" s="118"/>
      <x:c r="K11" s="118"/>
      <x:c r="L11" s="118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>
      <x:c r="A12" s="118" t="str">
        <x:v>Cash interest</x:v>
      </x:c>
      <x:c r="B12" s="152" t="n">
        <x:f>AVERAGE(B8,B11)*'Assumptions'!B17</x:f>
        <x:v>9.961091999999999</x:v>
      </x:c>
      <x:c r="C12" s="152" t="n">
        <x:f>AVERAGE(C8,C11)*'Assumptions'!B17</x:f>
        <x:v>8.650422</x:v>
      </x:c>
      <x:c r="D12" s="152" t="n">
        <x:f>AVERAGE(D8,D11)*'Assumptions'!B17</x:f>
        <x:v>6.815484</x:v>
      </x:c>
      <x:c r="E12" s="152" t="n">
        <x:f>AVERAGE(E8,E11)*'Assumptions'!B17</x:f>
        <x:v>4.718412</x:v>
      </x:c>
      <x:c r="F12" s="152" t="n">
        <x:f>AVERAGE(F8,F11)*'Assumptions'!B17</x:f>
        <x:v>2.62134</x:v>
      </x:c>
      <x:c r="G12" s="152" t="n">
        <x:f>AVERAGE(G8,G11)*'Assumptions'!B17</x:f>
        <x:v>0.7864019999999999</x:v>
      </x:c>
      <x:c r="H12" s="118"/>
      <x:c r="I12" s="118"/>
      <x:c r="J12" s="118"/>
      <x:c r="K12" s="118"/>
      <x:c r="L12" s="118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>
      <x:c r="A13" s="118" t="str">
        <x:v>Interest tax shield</x:v>
      </x:c>
      <x:c r="B13" s="152" t="n">
        <x:f>B12*'Assumptions'!B40</x:f>
        <x:v>2.4902729999999997</x:v>
      </x:c>
      <x:c r="C13" s="152" t="n">
        <x:f>C12*'Assumptions'!B40</x:f>
        <x:v>2.1626055</x:v>
      </x:c>
      <x:c r="D13" s="152" t="n">
        <x:f>D12*'Assumptions'!B40</x:f>
        <x:v>1.703871</x:v>
      </x:c>
      <x:c r="E13" s="152" t="n">
        <x:f>E12*'Assumptions'!B40</x:f>
        <x:v>1.179603</x:v>
      </x:c>
      <x:c r="F13" s="152" t="n">
        <x:f>F12*'Assumptions'!B40</x:f>
        <x:v>0.655335</x:v>
      </x:c>
      <x:c r="G13" s="152" t="n">
        <x:f>G12*'Assumptions'!B40</x:f>
        <x:v>0.19660049999999998</x:v>
      </x:c>
      <x:c r="H13" s="118"/>
      <x:c r="I13" s="118"/>
      <x:c r="J13" s="118"/>
      <x:c r="K13" s="118"/>
      <x:c r="L13" s="118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>
      <x:c r="A14" s="118" t="str">
        <x:v>Tax-shield discount factor</x:v>
      </x:c>
      <x:c r="B14" s="153" t="n">
        <x:f>1/(1+'Assumptions'!B17)^B5</x:f>
        <x:v>0.9578262852211513</x:v>
      </x:c>
      <x:c r="C14" s="153" t="n">
        <x:f>1/(1+'Assumptions'!B17)^C5</x:f>
        <x:v>0.8787397112120654</x:v>
      </x:c>
      <x:c r="D14" s="153" t="n">
        <x:f>1/(1+'Assumptions'!B17)^D5</x:f>
        <x:v>0.8061832212954727</x:v>
      </x:c>
      <x:c r="E14" s="153" t="n">
        <x:f>1/(1+'Assumptions'!B17)^E5</x:f>
        <x:v>0.7396176342160301</x:v>
      </x:c>
      <x:c r="F14" s="153" t="n">
        <x:f>1/(1+'Assumptions'!B17)^F5</x:f>
        <x:v>0.6785482882715871</x:v>
      </x:c>
      <x:c r="G14" s="153" t="n">
        <x:f>1/(1+'Assumptions'!B17)^G5</x:f>
        <x:v>0.6225213653867772</x:v>
      </x:c>
      <x:c r="H14" s="118"/>
      <x:c r="I14" s="118"/>
      <x:c r="J14" s="118"/>
      <x:c r="K14" s="118"/>
      <x:c r="L14" s="118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>
      <x:c r="A15" s="118" t="str">
        <x:v>PV of tax shield</x:v>
      </x:c>
      <x:c r="B15" s="152" t="n">
        <x:f>B13*B14</x:f>
        <x:v>2.3852489367765317</x:v>
      </x:c>
      <x:c r="C15" s="152" t="n">
        <x:f>C13*C14</x:f>
        <x:v>1.9003673325356245</x:v>
      </x:c>
      <x:c r="D15" s="152" t="n">
        <x:f>D13*D14</x:f>
        <x:v>1.3736322114519384</x:v>
      </x:c>
      <x:c r="E15" s="152" t="n">
        <x:f>E13*E14</x:f>
        <x:v>0.8724551801741317</x:v>
      </x:c>
      <x:c r="F15" s="152" t="n">
        <x:f>F13*F14</x:f>
        <x:v>0.44467644249446053</x:v>
      </x:c>
      <x:c r="G15" s="152" t="n">
        <x:f>G13*G14</x:f>
        <x:v>0.12238801169572307</x:v>
      </x:c>
      <x:c r="H15" s="118"/>
      <x:c r="I15" s="118"/>
      <x:c r="J15" s="118"/>
      <x:c r="K15" s="118"/>
      <x:c r="L15" s="118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>
      <x:c r="A16" s="118" t="str">
        <x:v>Unlevered terminal value</x:v>
      </x:c>
      <x:c r="B16" s="152"/>
      <x:c r="C16" s="152"/>
      <x:c r="D16" s="152"/>
      <x:c r="E16" s="152"/>
      <x:c r="F16" s="152"/>
      <x:c r="G16" s="152" t="n">
        <x:f>G4*(1+'Assumptions'!B21)/('Assumptions'!B33-'Assumptions'!B21)</x:f>
        <x:v>463.5001968462312</x:v>
      </x:c>
      <x:c r="H16" s="118"/>
      <x:c r="I16" s="118"/>
      <x:c r="J16" s="118"/>
      <x:c r="K16" s="118"/>
      <x:c r="L16" s="118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>
      <x:c r="A17" s="118"/>
      <x:c r="B17" s="118"/>
      <x:c r="C17" s="118"/>
      <x:c r="D17" s="118"/>
      <x:c r="E17" s="118"/>
      <x:c r="F17" s="118"/>
      <x:c r="G17" s="118"/>
      <x:c r="H17" s="118"/>
      <x:c r="I17" s="118"/>
      <x:c r="J17" s="118"/>
      <x:c r="K17" s="118"/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>
      <x:c r="A18" s="118"/>
      <x:c r="B18" s="118"/>
      <x:c r="C18" s="118"/>
      <x:c r="D18" s="118"/>
      <x:c r="E18" s="118"/>
      <x:c r="F18" s="118"/>
      <x:c r="G18" s="118"/>
      <x:c r="H18" s="118"/>
      <x:c r="I18" s="118"/>
      <x:c r="J18" s="118"/>
      <x:c r="K18" s="118"/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>
      <x:c r="A19" s="118"/>
      <x:c r="B19" s="118"/>
      <x:c r="C19" s="118"/>
      <x:c r="D19" s="118"/>
      <x:c r="E19" s="118"/>
      <x:c r="F19" s="118"/>
      <x:c r="G19" s="118"/>
      <x:c r="H19" s="118"/>
      <x:c r="I19" s="118"/>
      <x:c r="J19" s="118"/>
      <x:c r="K19" s="118"/>
      <x:c r="L19" s="118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 ht="21" customHeight="1">
      <x:c r="A20" s="47" t="str">
        <x:v>APV enterprise-to-equity bridge</x:v>
      </x:c>
      <x:c r="B20" s="47"/>
      <x:c r="C20" s="47"/>
      <x:c r="D20" s="47"/>
      <x:c r="E20" s="47"/>
      <x:c r="F20" s="47"/>
      <x:c r="G20" s="47"/>
      <x:c r="H20" s="118"/>
      <x:c r="I20" s="118"/>
      <x:c r="J20" s="118"/>
      <x:c r="K20" s="118"/>
      <x:c r="L20" s="118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>
      <x:c r="A21" s="118" t="str">
        <x:v>Unlevered operating value</x:v>
      </x:c>
      <x:c r="B21" s="152" t="n">
        <x:f>SUM(B7:G7)+G16*G6</x:f>
        <x:v>389.9637134050631</x:v>
      </x:c>
      <x:c r="C21" s="118" t="str">
        <x:v>PV of FCFF + terminal</x:v>
      </x:c>
      <x:c r="D21" s="118"/>
      <x:c r="E21" s="118"/>
      <x:c r="F21" s="118"/>
      <x:c r="G21" s="118"/>
      <x:c r="H21" s="118"/>
      <x:c r="I21" s="118"/>
      <x:c r="J21" s="118"/>
      <x:c r="K21" s="118"/>
      <x:c r="L21" s="118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>
      <x:c r="A22" s="118" t="str">
        <x:v>PV of interest tax shields</x:v>
      </x:c>
      <x:c r="B22" s="152" t="n">
        <x:f>SUM(B15:G15)</x:f>
        <x:v>7.0987681151284105</x:v>
      </x:c>
      <x:c r="C22" s="118" t="str">
        <x:v>Explicit debt schedule</x:v>
      </x:c>
      <x:c r="D22" s="118"/>
      <x:c r="E22" s="118"/>
      <x:c r="F22" s="118"/>
      <x:c r="G22" s="118"/>
      <x:c r="H22" s="118"/>
      <x:c r="I22" s="118"/>
      <x:c r="J22" s="118"/>
      <x:c r="K22" s="118"/>
      <x:c r="L22" s="118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>
      <x:c r="A23" s="118" t="str">
        <x:v>Enterprise value incl. tax shields</x:v>
      </x:c>
      <x:c r="B23" s="152" t="n">
        <x:f>B21+B22</x:f>
        <x:v>397.0624815201915</x:v>
      </x:c>
      <x:c r="C23" s="118" t="str">
        <x:v>APV</x:v>
      </x:c>
      <x:c r="D23" s="118"/>
      <x:c r="E23" s="118"/>
      <x:c r="F23" s="118"/>
      <x:c r="G23" s="118"/>
      <x:c r="H23" s="118"/>
      <x:c r="I23" s="118"/>
      <x:c r="J23" s="118"/>
      <x:c r="K23" s="118"/>
      <x:c r="L23" s="118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>
      <x:c r="A24" s="118" t="str">
        <x:v>Cash</x:v>
      </x:c>
      <x:c r="B24" s="152" t="n">
        <x:f>'Assumptions'!B8</x:f>
        <x:v>8.412</x:v>
      </x:c>
      <x:c r="C24" s="118" t="str">
        <x:v>S2</x:v>
      </x:c>
      <x:c r="D24" s="118"/>
      <x:c r="E24" s="118"/>
      <x:c r="F24" s="118"/>
      <x:c r="G24" s="118"/>
      <x:c r="H24" s="118"/>
      <x:c r="I24" s="118"/>
      <x:c r="J24" s="118"/>
      <x:c r="K24" s="118"/>
      <x:c r="L24" s="118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>
      <x:c r="A25" s="118" t="str">
        <x:v>Borrowings + accrued interest</x:v>
      </x:c>
      <x:c r="B25" s="152" t="n">
        <x:f>-'Assumptions'!B9</x:f>
        <x:v>-116.504</x:v>
      </x:c>
      <x:c r="C25" s="118" t="str">
        <x:v>S2</x:v>
      </x:c>
      <x:c r="D25" s="118"/>
      <x:c r="E25" s="118"/>
      <x:c r="F25" s="118"/>
      <x:c r="G25" s="118"/>
      <x:c r="H25" s="118"/>
      <x:c r="I25" s="118"/>
      <x:c r="J25" s="118"/>
      <x:c r="K25" s="118"/>
      <x:c r="L25" s="118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>
      <x:c r="A26" s="118" t="str">
        <x:v>Deferred consideration</x:v>
      </x:c>
      <x:c r="B26" s="152" t="n">
        <x:f>-'Assumptions'!B10</x:f>
        <x:v>-36.684</x:v>
      </x:c>
      <x:c r="C26" s="118" t="str">
        <x:v>S2</x:v>
      </x:c>
      <x:c r="D26" s="118"/>
      <x:c r="E26" s="118"/>
      <x:c r="F26" s="118"/>
      <x:c r="G26" s="118"/>
      <x:c r="H26" s="118"/>
      <x:c r="I26" s="118"/>
      <x:c r="J26" s="118"/>
      <x:c r="K26" s="118"/>
      <x:c r="L26" s="118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>
      <x:c r="A27" s="118" t="str">
        <x:v>Lease liabilities</x:v>
      </x:c>
      <x:c r="B27" s="152" t="n">
        <x:f>-'Assumptions'!B11</x:f>
        <x:v>-4.402</x:v>
      </x:c>
      <x:c r="C27" s="118" t="str">
        <x:v>S2</x:v>
      </x:c>
      <x:c r="D27" s="118"/>
      <x:c r="E27" s="118"/>
      <x:c r="F27" s="118"/>
      <x:c r="G27" s="118"/>
      <x:c r="H27" s="118"/>
      <x:c r="I27" s="118"/>
      <x:c r="J27" s="118"/>
      <x:c r="K27" s="118"/>
      <x:c r="L27" s="118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>
      <x:c r="A28" s="162" t="str">
        <x:v>Equity value</x:v>
      </x:c>
      <x:c r="B28" s="163" t="n">
        <x:f>SUM(B23:B27)</x:f>
        <x:v>247.88448152019149</x:v>
      </x:c>
      <x:c r="C28" s="162" t="str">
        <x:v>APV bridge</x:v>
      </x:c>
      <x:c r="D28" s="118"/>
      <x:c r="E28" s="118"/>
      <x:c r="F28" s="118"/>
      <x:c r="G28" s="118"/>
      <x:c r="H28" s="118"/>
      <x:c r="I28" s="118"/>
      <x:c r="J28" s="118"/>
      <x:c r="K28" s="118"/>
      <x:c r="L28" s="118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>
      <x:c r="A29" s="166" t="str">
        <x:v>Value per share</x:v>
      </x:c>
      <x:c r="B29" s="167" t="n">
        <x:f>B28/'Assumptions'!B7</x:f>
        <x:v>5.842675891527396</x:v>
      </x:c>
      <x:c r="C29" s="166" t="str">
        <x:v>Diluted denominator</x:v>
      </x:c>
      <x:c r="D29" s="118"/>
      <x:c r="E29" s="118"/>
      <x:c r="F29" s="118"/>
      <x:c r="G29" s="118"/>
      <x:c r="H29" s="118"/>
      <x:c r="I29" s="118"/>
      <x:c r="J29" s="118"/>
      <x:c r="K29" s="118"/>
      <x:c r="L29" s="118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>
      <x:c r="A30" s="118"/>
      <x:c r="B30" s="118"/>
      <x:c r="C30" s="118"/>
      <x:c r="D30" s="118"/>
      <x:c r="E30" s="118"/>
      <x:c r="F30" s="118"/>
      <x:c r="G30" s="118"/>
      <x:c r="H30" s="118"/>
      <x:c r="I30" s="118"/>
      <x:c r="J30" s="118"/>
      <x:c r="K30" s="118"/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>
      <x:c r="A31" s="118"/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8"/>
      <x:c r="L31" s="118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 ht="21" customHeight="1">
      <x:c r="A32" s="47" t="str">
        <x:v>APV cost-of-capital sensitivity</x:v>
      </x:c>
      <x:c r="B32" s="47"/>
      <x:c r="C32" s="47"/>
      <x:c r="D32" s="47"/>
      <x:c r="E32" s="118"/>
      <x:c r="F32" s="118"/>
      <x:c r="G32" s="118"/>
      <x:c r="H32" s="118"/>
      <x:c r="I32" s="118"/>
      <x:c r="J32" s="118"/>
      <x:c r="K32" s="118"/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>
      <x:c r="A33" s="12" t="str">
        <x:v>Case</x:v>
      </x:c>
      <x:c r="B33" s="13" t="str">
        <x:v>Unlevered cost</x:v>
      </x:c>
      <x:c r="C33" s="13" t="str">
        <x:v>Value / share</x:v>
      </x:c>
      <x:c r="D33" s="14" t="str">
        <x:v>Interpretation</x:v>
      </x:c>
      <x:c r="E33" s="118"/>
      <x:c r="F33" s="118"/>
      <x:c r="G33" s="118"/>
      <x:c r="H33" s="118"/>
      <x:c r="I33" s="118"/>
      <x:c r="J33" s="118"/>
      <x:c r="K33" s="118"/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>
      <x:c r="A34" s="118" t="str">
        <x:v>High cost</x:v>
      </x:c>
      <x:c r="B34" s="153" t="n">
        <x:f>'Assumptions'!B33+1.5%</x:f>
        <x:v>0.15594864864864866</x:v>
      </x:c>
      <x:c r="C34" s="148" t="n">
        <x:f>(SUMPRODUCT(B4:G4,1/(1+B34)^B5:G5)+G4*(1+'Assumptions'!B21)/(B34-'Assumptions'!B21)/(1+B34)^G5+B22+'Assumptions'!B8-'Assumptions'!B9-'Assumptions'!B10-'Assumptions'!B11)/'Assumptions'!B7</x:f>
        <x:v>4.765795638694996</x:v>
      </x:c>
      <x:c r="D34" s="118" t="str">
        <x:v>Low APV</x:v>
      </x:c>
      <x:c r="E34" s="118"/>
      <x:c r="F34" s="118"/>
      <x:c r="G34" s="118"/>
      <x:c r="H34" s="118"/>
      <x:c r="I34" s="118"/>
      <x:c r="J34" s="118"/>
      <x:c r="K34" s="118"/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>
      <x:c r="A35" s="118" t="str">
        <x:v>Base</x:v>
      </x:c>
      <x:c r="B35" s="153" t="n">
        <x:f>'Assumptions'!B33</x:f>
        <x:v>0.14094864864864864</x:v>
      </x:c>
      <x:c r="C35" s="148" t="n">
        <x:f>(SUMPRODUCT(B4:G4,1/(1+B35)^B5:G5)+G4*(1+'Assumptions'!B21)/(B35-'Assumptions'!B21)/(1+B35)^G5+B22+'Assumptions'!B8-'Assumptions'!B9-'Assumptions'!B10-'Assumptions'!B11)/'Assumptions'!B7</x:f>
        <x:v>5.842675891527396</x:v>
      </x:c>
      <x:c r="D35" s="118" t="str">
        <x:v>Illustrative debt schedule</x:v>
      </x:c>
      <x:c r="E35" s="118"/>
      <x:c r="F35" s="118"/>
      <x:c r="G35" s="118"/>
      <x:c r="H35" s="118"/>
      <x:c r="I35" s="118"/>
      <x:c r="J35" s="118"/>
      <x:c r="K35" s="118"/>
      <x:c r="L35" s="118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>
      <x:c r="A36" s="118" t="str">
        <x:v>Low cost</x:v>
      </x:c>
      <x:c r="B36" s="153" t="n">
        <x:f>'Assumptions'!B33-1.5%</x:f>
        <x:v>0.12594864864864863</x:v>
      </x:c>
      <x:c r="C36" s="148" t="n">
        <x:f>(SUMPRODUCT(B4:G4,1/(1+B36)^B5:G5)+G4*(1+'Assumptions'!B21)/(B36-'Assumptions'!B21)/(1+B36)^G5+B22+'Assumptions'!B8-'Assumptions'!B9-'Assumptions'!B10-'Assumptions'!B11)/'Assumptions'!B7</x:f>
        <x:v>7.243458227705869</x:v>
      </x:c>
      <x:c r="D36" s="118" t="str">
        <x:v>High APV</x:v>
      </x:c>
      <x:c r="E36" s="118"/>
      <x:c r="F36" s="118"/>
      <x:c r="G36" s="118"/>
      <x:c r="H36" s="118"/>
      <x:c r="I36" s="118"/>
      <x:c r="J36" s="118"/>
      <x:c r="K36" s="118"/>
      <x:c r="L36" s="118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  <x:c r="I37" s="118"/>
      <x:c r="J37" s="118"/>
      <x:c r="K37" s="118"/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  <x:c r="I38" s="118"/>
      <x:c r="J38" s="118"/>
      <x:c r="K38" s="118"/>
      <x:c r="L38" s="118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>
      <x:c r="A39" s="157" t="str">
        <x:v>APV separates unlevered operating value from financing tax shields. Its corroborative value is assumption-heavy: the debt amortization schedule is illustrative, and refinancing, covenant and contractual repayment terms were not independently modeled.</x:v>
      </x:c>
      <x:c r="B39" s="157"/>
      <x:c r="C39" s="157"/>
      <x:c r="D39" s="157"/>
      <x:c r="E39" s="157"/>
      <x:c r="F39" s="157"/>
      <x:c r="G39" s="157"/>
      <x:c r="H39" s="118"/>
      <x:c r="I39" s="118"/>
      <x:c r="J39" s="118"/>
      <x:c r="K39" s="118"/>
      <x:c r="L39" s="118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>
      <x:c r="A40" s="157"/>
      <x:c r="B40" s="157"/>
      <x:c r="C40" s="157"/>
      <x:c r="D40" s="157"/>
      <x:c r="E40" s="157"/>
      <x:c r="F40" s="157"/>
      <x:c r="G40" s="157"/>
      <x:c r="H40" s="118"/>
      <x:c r="I40" s="118"/>
      <x:c r="J40" s="118"/>
      <x:c r="K40" s="118"/>
      <x:c r="L40" s="118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>
      <x:c r="A41" s="157"/>
      <x:c r="B41" s="157"/>
      <x:c r="C41" s="157"/>
      <x:c r="D41" s="157"/>
      <x:c r="E41" s="157"/>
      <x:c r="F41" s="157"/>
      <x:c r="G41" s="157"/>
      <x:c r="H41" s="118"/>
      <x:c r="I41" s="118"/>
      <x:c r="J41" s="118"/>
      <x:c r="K41" s="118"/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  <x:c r="I42" s="118"/>
      <x:c r="J42" s="118"/>
      <x:c r="K42" s="118"/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  <x:c r="I43" s="118"/>
      <x:c r="J43" s="118"/>
      <x:c r="K43" s="118"/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  <x:c r="I44" s="118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  <x:c r="I45" s="118"/>
      <x:c r="J45" s="118"/>
      <x:c r="K45" s="118"/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  <x:c r="I46" s="118"/>
      <x:c r="J46" s="118"/>
      <x:c r="K46" s="118"/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  <x:c r="I47" s="118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  <x:c r="I48" s="118"/>
      <x:c r="J48" s="118"/>
      <x:c r="K48" s="118"/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  <x:c r="I50" s="118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8"/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  <x:c r="I52" s="118"/>
      <x:c r="J52" s="118"/>
      <x:c r="K52" s="118"/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/>
      <x:c r="B55" s="118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/>
      <x:c r="B58" s="118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18"/>
      <x:c r="B59" s="118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/>
      <x:c r="B60" s="118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/>
      <x:c r="B61" s="118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/>
      <x:c r="B62" s="118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</x:sheetData>
  <x:mergeCells>
    <x:mergeCell ref="A1:G1"/>
    <x:mergeCell ref="A39:G4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9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47" hidden="0" customWidth="1"/>
  </x:cols>
  <x:sheetData>
    <x:row r="1" ht="30" customHeight="1">
      <x:c r="A1" s="3" t="str">
        <x:v>Grandstand Limited — Market-Method Stresses</x:v>
      </x:c>
      <x:c r="B1" s="3"/>
      <x:c r="C1" s="3"/>
      <x:c r="D1" s="3"/>
      <x:c r="E1" s="3"/>
      <x:c r="F1" s="3"/>
      <x:c r="G1" s="3"/>
      <x:c r="H1" s="118"/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>
      <x:c r="A2" s="118"/>
      <x:c r="B2" s="118"/>
      <x:c r="C2" s="118"/>
      <x:c r="D2" s="118"/>
      <x:c r="E2" s="118"/>
      <x:c r="F2" s="118"/>
      <x:c r="G2" s="118"/>
      <x:c r="H2" s="118"/>
      <x:c r="I2" s="118"/>
      <x:c r="J2" s="118"/>
      <x:c r="K2" s="118"/>
      <x:c r="L2" s="118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>
      <x:c r="A3" s="12" t="str">
        <x:v>Method</x:v>
      </x:c>
      <x:c r="B3" s="13" t="str">
        <x:v>Target metric</x:v>
      </x:c>
      <x:c r="C3" s="13" t="str">
        <x:v>Low multiple</x:v>
      </x:c>
      <x:c r="D3" s="13" t="str">
        <x:v>Mid multiple</x:v>
      </x:c>
      <x:c r="E3" s="13" t="str">
        <x:v>High multiple</x:v>
      </x:c>
      <x:c r="F3" s="13" t="str">
        <x:v>Low / Mid / High value per share</x:v>
      </x:c>
      <x:c r="G3" s="14" t="str">
        <x:v>Evidence posture</x:v>
      </x:c>
      <x:c r="H3" s="118"/>
      <x:c r="I3" s="118"/>
      <x:c r="J3" s="118"/>
      <x:c r="K3" s="118"/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>
      <x:c r="A4" s="118" t="str">
        <x:v>EV / Revenue</x:v>
      </x:c>
      <x:c r="B4" s="152" t="n">
        <x:f>'Forecast'!C4</x:f>
        <x:v>167.5</x:v>
      </x:c>
      <x:c r="C4" s="156" t="n">
        <x:f>'Assumptions'!B26</x:f>
        <x:v>1</x:v>
      </x:c>
      <x:c r="D4" s="156" t="n">
        <x:f>'Assumptions'!B27</x:f>
        <x:v>1.5</x:v>
      </x:c>
      <x:c r="E4" s="156" t="n">
        <x:f>'Assumptions'!B28</x:f>
        <x:v>2</x:v>
      </x:c>
      <x:c r="F4" s="118" t="str">
        <x:f>TEXT((B4*C4+'Assumptions'!B8-'Assumptions'!B9-'Assumptions'!B10-'Assumptions'!B11)/'Assumptions'!B7,"$0.00")&amp;" / "&amp;TEXT((B4*D4+'Assumptions'!B8-'Assumptions'!B9-'Assumptions'!B10-'Assumptions'!B11)/'Assumptions'!B7,"$0.00")&amp;" / "&amp;TEXT((B4*E4+'Assumptions'!B8-'Assumptions'!B9-'Assumptions'!B10-'Assumptions'!B11)/'Assumptions'!B7,"$0.00")</x:f>
        <x:v>$0.43 / $2.41 / $4.38</x:v>
      </x:c>
      <x:c r="G4" s="118" t="str">
        <x:v>Analyst range; no normalized peer median</x:v>
      </x:c>
      <x:c r="H4" s="118"/>
      <x:c r="I4" s="118"/>
      <x:c r="J4" s="118"/>
      <x:c r="K4" s="118"/>
      <x:c r="L4" s="11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>
      <x:c r="A5" s="118" t="str">
        <x:v>EV / normalized EBITDA</x:v>
      </x:c>
      <x:c r="B5" s="152" t="n">
        <x:f>'Forecast'!C7</x:f>
        <x:v>46.06250000000001</x:v>
      </x:c>
      <x:c r="C5" s="156" t="n">
        <x:f>'Assumptions'!B29</x:f>
        <x:v>4</x:v>
      </x:c>
      <x:c r="D5" s="156" t="n">
        <x:f>'Assumptions'!B30</x:f>
        <x:v>5</x:v>
      </x:c>
      <x:c r="E5" s="156" t="n">
        <x:f>'Assumptions'!B31</x:f>
        <x:v>6</x:v>
      </x:c>
      <x:c r="F5" s="118" t="str">
        <x:f>TEXT((B5*C5+'Assumptions'!B8-'Assumptions'!B9-'Assumptions'!B10-'Assumptions'!B11)/'Assumptions'!B7,"$0.00")&amp;" / "&amp;TEXT((B5*D5+'Assumptions'!B8-'Assumptions'!B9-'Assumptions'!B10-'Assumptions'!B11)/'Assumptions'!B7,"$0.00")&amp;" / "&amp;TEXT((B5*E5+'Assumptions'!B8-'Assumptions'!B9-'Assumptions'!B10-'Assumptions'!B11)/'Assumptions'!B7,"$0.00")</x:f>
        <x:v>$0.83 / $1.91 / $3.00</x:v>
      </x:c>
      <x:c r="G5" s="118" t="str">
        <x:v>Analyst range; no normalized peer median</x:v>
      </x:c>
      <x:c r="H5" s="118"/>
      <x:c r="I5" s="118"/>
      <x:c r="J5" s="118"/>
      <x:c r="K5" s="118"/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>
      <x:c r="A6" s="118"/>
      <x:c r="B6" s="118"/>
      <x:c r="C6" s="118"/>
      <x:c r="D6" s="118"/>
      <x:c r="E6" s="118"/>
      <x:c r="F6" s="118"/>
      <x:c r="G6" s="118"/>
      <x:c r="H6" s="118"/>
      <x:c r="I6" s="118"/>
      <x:c r="J6" s="118"/>
      <x:c r="K6" s="118"/>
      <x:c r="L6" s="118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>
      <x:c r="A7" s="118"/>
      <x:c r="B7" s="118"/>
      <x:c r="C7" s="118"/>
      <x:c r="D7" s="118"/>
      <x:c r="E7" s="118"/>
      <x:c r="F7" s="118"/>
      <x:c r="G7" s="118"/>
      <x:c r="H7" s="118"/>
      <x:c r="I7" s="118"/>
      <x:c r="J7" s="118"/>
      <x:c r="K7" s="118"/>
      <x:c r="L7" s="118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 ht="21" customHeight="1">
      <x:c r="A8" s="47" t="str">
        <x:v>Formula-driven valuation bridges</x:v>
      </x:c>
      <x:c r="B8" s="47"/>
      <x:c r="C8" s="47"/>
      <x:c r="D8" s="47"/>
      <x:c r="E8" s="47"/>
      <x:c r="F8" s="47"/>
      <x:c r="G8" s="118"/>
      <x:c r="H8" s="118"/>
      <x:c r="I8" s="118"/>
      <x:c r="J8" s="118"/>
      <x:c r="K8" s="118"/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>
      <x:c r="A9" s="12" t="str">
        <x:v>Method</x:v>
      </x:c>
      <x:c r="B9" s="13" t="str">
        <x:v>Low</x:v>
      </x:c>
      <x:c r="C9" s="13" t="str">
        <x:v>Mid</x:v>
      </x:c>
      <x:c r="D9" s="13" t="str">
        <x:v>High</x:v>
      </x:c>
      <x:c r="E9" s="13" t="str">
        <x:v>Metric source</x:v>
      </x:c>
      <x:c r="F9" s="14" t="str">
        <x:v>Status</x:v>
      </x:c>
      <x:c r="G9" s="118"/>
      <x:c r="H9" s="118"/>
      <x:c r="I9" s="118"/>
      <x:c r="J9" s="118"/>
      <x:c r="K9" s="118"/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>
      <x:c r="A10" s="118" t="str">
        <x:v>EV / Revenue</x:v>
      </x:c>
      <x:c r="B10" s="148" t="n">
        <x:f>($B$4*C$4+'Assumptions'!B8-'Assumptions'!B9-'Assumptions'!B10-'Assumptions'!B11)/'Assumptions'!B7</x:f>
        <x:v>0.4318523976493673</x:v>
      </x:c>
      <x:c r="C10" s="148" t="n">
        <x:f>($B$4*D$4+'Assumptions'!B8-'Assumptions'!B9-'Assumptions'!B10-'Assumptions'!B11)/'Assumptions'!B7</x:f>
        <x:v>2.4058529599861473</x:v>
      </x:c>
      <x:c r="D10" s="148" t="n">
        <x:f>($B$4*E$4+'Assumptions'!B8-'Assumptions'!B9-'Assumptions'!B10-'Assumptions'!B11)/'Assumptions'!B7</x:f>
        <x:v>4.379853522322929</x:v>
      </x:c>
      <x:c r="E10" s="118" t="str">
        <x:v>FY2026E revenue</x:v>
      </x:c>
      <x:c r="F10" s="118" t="str">
        <x:v>Corroborative stress</x:v>
      </x:c>
      <x:c r="G10" s="118"/>
      <x:c r="H10" s="118"/>
      <x:c r="I10" s="118"/>
      <x:c r="J10" s="118"/>
      <x:c r="K10" s="118"/>
      <x:c r="L10" s="118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>
      <x:c r="A11" s="118" t="str">
        <x:v>EV / normalized EBITDA</x:v>
      </x:c>
      <x:c r="B11" s="148" t="n">
        <x:f>($B$5*C$5+'Assumptions'!B8-'Assumptions'!B9-'Assumptions'!B10-'Assumptions'!B11)/'Assumptions'!B7</x:f>
        <x:v>0.8266525101167241</x:v>
      </x:c>
      <x:c r="C11" s="148" t="n">
        <x:f>($B$5*D$5+'Assumptions'!B8-'Assumptions'!B9-'Assumptions'!B10-'Assumptions'!B11)/'Assumptions'!B7</x:f>
        <x:v>1.912352819401954</x:v>
      </x:c>
      <x:c r="D11" s="148" t="n">
        <x:f>($B$5*E$5+'Assumptions'!B8-'Assumptions'!B9-'Assumptions'!B10-'Assumptions'!B11)/'Assumptions'!B7</x:f>
        <x:v>2.998053128687183</x:v>
      </x:c>
      <x:c r="E11" s="118" t="str">
        <x:v>FY2026E normalized EBITDA</x:v>
      </x:c>
      <x:c r="F11" s="118" t="str">
        <x:v>Corroborative stress</x:v>
      </x:c>
      <x:c r="G11" s="118"/>
      <x:c r="H11" s="118"/>
      <x:c r="I11" s="118"/>
      <x:c r="J11" s="118"/>
      <x:c r="K11" s="118"/>
      <x:c r="L11" s="118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>
      <x:c r="A12" s="118"/>
      <x:c r="B12" s="118"/>
      <x:c r="C12" s="118"/>
      <x:c r="D12" s="118"/>
      <x:c r="E12" s="118"/>
      <x:c r="F12" s="118"/>
      <x:c r="G12" s="118"/>
      <x:c r="H12" s="118"/>
      <x:c r="I12" s="118"/>
      <x:c r="J12" s="118"/>
      <x:c r="K12" s="118"/>
      <x:c r="L12" s="118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>
      <x:c r="A13" s="118"/>
      <x:c r="B13" s="118"/>
      <x:c r="C13" s="118"/>
      <x:c r="D13" s="118"/>
      <x:c r="E13" s="118"/>
      <x:c r="F13" s="118"/>
      <x:c r="G13" s="118"/>
      <x:c r="H13" s="118"/>
      <x:c r="I13" s="118"/>
      <x:c r="J13" s="118"/>
      <x:c r="K13" s="118"/>
      <x:c r="L13" s="118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 ht="21" customHeight="1">
      <x:c r="A14" s="47" t="str">
        <x:v>Current-market implied multiples</x:v>
      </x:c>
      <x:c r="B14" s="47"/>
      <x:c r="C14" s="47"/>
      <x:c r="D14" s="47"/>
      <x:c r="E14" s="118"/>
      <x:c r="F14" s="118"/>
      <x:c r="G14" s="118"/>
      <x:c r="H14" s="118"/>
      <x:c r="I14" s="118"/>
      <x:c r="J14" s="118"/>
      <x:c r="K14" s="118"/>
      <x:c r="L14" s="118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>
      <x:c r="A15" s="118" t="str">
        <x:v>Implied enterprise value</x:v>
      </x:c>
      <x:c r="B15" s="152" t="n">
        <x:f>'Assumptions'!B5*'Assumptions'!B7-'Assumptions'!B8+'Assumptions'!B9+'Assumptions'!B10+'Assumptions'!B11</x:f>
        <x:v>231.90973934999997</x:v>
      </x:c>
      <x:c r="C15" s="118" t="str">
        <x:v>$mm</x:v>
      </x:c>
      <x:c r="D15" s="118" t="str">
        <x:v>Frozen price bridge</x:v>
      </x:c>
      <x:c r="E15" s="118"/>
      <x:c r="F15" s="118"/>
      <x:c r="G15" s="118"/>
      <x:c r="H15" s="118"/>
      <x:c r="I15" s="118"/>
      <x:c r="J15" s="118"/>
      <x:c r="K15" s="118"/>
      <x:c r="L15" s="118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>
      <x:c r="A16" s="118" t="str">
        <x:v>Implied EV / FY2026E revenue</x:v>
      </x:c>
      <x:c r="B16" s="156" t="n">
        <x:f>B15/'Forecast'!C4</x:f>
        <x:v>1.3845357573134327</x:v>
      </x:c>
      <x:c r="C16" s="118" t="str">
        <x:v>x</x:v>
      </x:c>
      <x:c r="D16" s="118" t="str">
        <x:v>Diagnostic</x:v>
      </x:c>
      <x:c r="E16" s="118"/>
      <x:c r="F16" s="118"/>
      <x:c r="G16" s="118"/>
      <x:c r="H16" s="118"/>
      <x:c r="I16" s="118"/>
      <x:c r="J16" s="118"/>
      <x:c r="K16" s="118"/>
      <x:c r="L16" s="118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>
      <x:c r="A17" s="118" t="str">
        <x:v>Implied EV / FY2026E normalized EBITDA</x:v>
      </x:c>
      <x:c r="B17" s="156" t="n">
        <x:f>B15/'Forecast'!C7</x:f>
        <x:v>5.034675481139754</x:v>
      </x:c>
      <x:c r="C17" s="118" t="str">
        <x:v>x</x:v>
      </x:c>
      <x:c r="D17" s="118" t="str">
        <x:v>Diagnostic</x:v>
      </x:c>
      <x:c r="E17" s="118"/>
      <x:c r="F17" s="118"/>
      <x:c r="G17" s="118"/>
      <x:c r="H17" s="118"/>
      <x:c r="I17" s="118"/>
      <x:c r="J17" s="118"/>
      <x:c r="K17" s="118"/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>
      <x:c r="A18" s="118"/>
      <x:c r="B18" s="118"/>
      <x:c r="C18" s="118"/>
      <x:c r="D18" s="118"/>
      <x:c r="E18" s="118"/>
      <x:c r="F18" s="118"/>
      <x:c r="G18" s="118"/>
      <x:c r="H18" s="118"/>
      <x:c r="I18" s="118"/>
      <x:c r="J18" s="118"/>
      <x:c r="K18" s="118"/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>
      <x:c r="A19" s="118"/>
      <x:c r="B19" s="118"/>
      <x:c r="C19" s="118"/>
      <x:c r="D19" s="118"/>
      <x:c r="E19" s="118"/>
      <x:c r="F19" s="118"/>
      <x:c r="G19" s="118"/>
      <x:c r="H19" s="118"/>
      <x:c r="I19" s="118"/>
      <x:c r="J19" s="118"/>
      <x:c r="K19" s="118"/>
      <x:c r="L19" s="118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>
      <x:c r="A20" s="157" t="str">
        <x:v>These outputs are market-method stresses, not public-comps medians. Licensed market data, normalized peer denominators and inclusion/exclusion evidence were unavailable. SOTP and precedent transactions remain inapplicable until separable business-line economics or a normalized transaction set can be sourced.</x:v>
      </x:c>
      <x:c r="B20" s="157"/>
      <x:c r="C20" s="157"/>
      <x:c r="D20" s="157"/>
      <x:c r="E20" s="157"/>
      <x:c r="F20" s="157"/>
      <x:c r="G20" s="157"/>
      <x:c r="H20" s="118"/>
      <x:c r="I20" s="118"/>
      <x:c r="J20" s="118"/>
      <x:c r="K20" s="118"/>
      <x:c r="L20" s="118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>
      <x:c r="A21" s="157"/>
      <x:c r="B21" s="157"/>
      <x:c r="C21" s="157"/>
      <x:c r="D21" s="157"/>
      <x:c r="E21" s="157"/>
      <x:c r="F21" s="157"/>
      <x:c r="G21" s="157"/>
      <x:c r="H21" s="118"/>
      <x:c r="I21" s="118"/>
      <x:c r="J21" s="118"/>
      <x:c r="K21" s="118"/>
      <x:c r="L21" s="118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>
      <x:c r="A22" s="157"/>
      <x:c r="B22" s="157"/>
      <x:c r="C22" s="157"/>
      <x:c r="D22" s="157"/>
      <x:c r="E22" s="157"/>
      <x:c r="F22" s="157"/>
      <x:c r="G22" s="157"/>
      <x:c r="H22" s="118"/>
      <x:c r="I22" s="118"/>
      <x:c r="J22" s="118"/>
      <x:c r="K22" s="118"/>
      <x:c r="L22" s="118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>
      <x:c r="A23" s="118"/>
      <x:c r="B23" s="118"/>
      <x:c r="C23" s="118"/>
      <x:c r="D23" s="118"/>
      <x:c r="E23" s="118"/>
      <x:c r="F23" s="118"/>
      <x:c r="G23" s="118"/>
      <x:c r="H23" s="118"/>
      <x:c r="I23" s="118"/>
      <x:c r="J23" s="118"/>
      <x:c r="K23" s="118"/>
      <x:c r="L23" s="118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>
      <x:c r="A24" s="118"/>
      <x:c r="B24" s="118"/>
      <x:c r="C24" s="118"/>
      <x:c r="D24" s="118"/>
      <x:c r="E24" s="118"/>
      <x:c r="F24" s="118"/>
      <x:c r="G24" s="118"/>
      <x:c r="H24" s="118"/>
      <x:c r="I24" s="118"/>
      <x:c r="J24" s="118"/>
      <x:c r="K24" s="118"/>
      <x:c r="L24" s="118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>
      <x:c r="A25" s="118"/>
      <x:c r="B25" s="118"/>
      <x:c r="C25" s="118"/>
      <x:c r="D25" s="118"/>
      <x:c r="E25" s="118"/>
      <x:c r="F25" s="118"/>
      <x:c r="G25" s="118"/>
      <x:c r="H25" s="118"/>
      <x:c r="I25" s="118"/>
      <x:c r="J25" s="118"/>
      <x:c r="K25" s="118"/>
      <x:c r="L25" s="118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>
      <x:c r="A26" s="118"/>
      <x:c r="B26" s="118"/>
      <x:c r="C26" s="118"/>
      <x:c r="D26" s="118"/>
      <x:c r="E26" s="118"/>
      <x:c r="F26" s="118"/>
      <x:c r="G26" s="118"/>
      <x:c r="H26" s="118"/>
      <x:c r="I26" s="118"/>
      <x:c r="J26" s="118"/>
      <x:c r="K26" s="118"/>
      <x:c r="L26" s="118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>
      <x:c r="A27" s="118"/>
      <x:c r="B27" s="118"/>
      <x:c r="C27" s="118"/>
      <x:c r="D27" s="118"/>
      <x:c r="E27" s="118"/>
      <x:c r="F27" s="118"/>
      <x:c r="G27" s="118"/>
      <x:c r="H27" s="118"/>
      <x:c r="I27" s="118"/>
      <x:c r="J27" s="118"/>
      <x:c r="K27" s="118"/>
      <x:c r="L27" s="118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>
      <x:c r="A28" s="118"/>
      <x:c r="B28" s="118"/>
      <x:c r="C28" s="118"/>
      <x:c r="D28" s="118"/>
      <x:c r="E28" s="118"/>
      <x:c r="F28" s="118"/>
      <x:c r="G28" s="118"/>
      <x:c r="H28" s="118"/>
      <x:c r="I28" s="118"/>
      <x:c r="J28" s="118"/>
      <x:c r="K28" s="118"/>
      <x:c r="L28" s="118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>
      <x:c r="A29" s="118"/>
      <x:c r="B29" s="118"/>
      <x:c r="C29" s="118"/>
      <x:c r="D29" s="118"/>
      <x:c r="E29" s="118"/>
      <x:c r="F29" s="118"/>
      <x:c r="G29" s="118"/>
      <x:c r="H29" s="118"/>
      <x:c r="I29" s="118"/>
      <x:c r="J29" s="118"/>
      <x:c r="K29" s="118"/>
      <x:c r="L29" s="118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>
      <x:c r="A30" s="118"/>
      <x:c r="B30" s="118"/>
      <x:c r="C30" s="118"/>
      <x:c r="D30" s="118"/>
      <x:c r="E30" s="118"/>
      <x:c r="F30" s="118"/>
      <x:c r="G30" s="118"/>
      <x:c r="H30" s="118"/>
      <x:c r="I30" s="118"/>
      <x:c r="J30" s="118"/>
      <x:c r="K30" s="118"/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>
      <x:c r="A31" s="118"/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8"/>
      <x:c r="L31" s="118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>
      <x:c r="A32" s="118"/>
      <x:c r="B32" s="118"/>
      <x:c r="C32" s="118"/>
      <x:c r="D32" s="118"/>
      <x:c r="E32" s="118"/>
      <x:c r="F32" s="118"/>
      <x:c r="G32" s="118"/>
      <x:c r="H32" s="118"/>
      <x:c r="I32" s="118"/>
      <x:c r="J32" s="118"/>
      <x:c r="K32" s="118"/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>
      <x:c r="A33" s="118"/>
      <x:c r="B33" s="118"/>
      <x:c r="C33" s="118"/>
      <x:c r="D33" s="118"/>
      <x:c r="E33" s="118"/>
      <x:c r="F33" s="118"/>
      <x:c r="G33" s="118"/>
      <x:c r="H33" s="118"/>
      <x:c r="I33" s="118"/>
      <x:c r="J33" s="118"/>
      <x:c r="K33" s="118"/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  <x:c r="I34" s="118"/>
      <x:c r="J34" s="118"/>
      <x:c r="K34" s="118"/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  <x:c r="I35" s="118"/>
      <x:c r="J35" s="118"/>
      <x:c r="K35" s="118"/>
      <x:c r="L35" s="118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  <x:c r="I36" s="118"/>
      <x:c r="J36" s="118"/>
      <x:c r="K36" s="118"/>
      <x:c r="L36" s="118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  <x:c r="I37" s="118"/>
      <x:c r="J37" s="118"/>
      <x:c r="K37" s="118"/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  <x:c r="I38" s="118"/>
      <x:c r="J38" s="118"/>
      <x:c r="K38" s="118"/>
      <x:c r="L38" s="118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  <x:c r="I39" s="118"/>
      <x:c r="J39" s="118"/>
      <x:c r="K39" s="118"/>
      <x:c r="L39" s="118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  <x:c r="I40" s="118"/>
      <x:c r="J40" s="118"/>
      <x:c r="K40" s="118"/>
      <x:c r="L40" s="118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8"/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  <x:c r="I42" s="118"/>
      <x:c r="J42" s="118"/>
      <x:c r="K42" s="118"/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  <x:c r="I43" s="118"/>
      <x:c r="J43" s="118"/>
      <x:c r="K43" s="118"/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  <x:c r="I44" s="118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  <x:c r="I45" s="118"/>
      <x:c r="J45" s="118"/>
      <x:c r="K45" s="118"/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  <x:c r="I46" s="118"/>
      <x:c r="J46" s="118"/>
      <x:c r="K46" s="118"/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  <x:c r="I47" s="118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  <x:c r="I48" s="118"/>
      <x:c r="J48" s="118"/>
      <x:c r="K48" s="118"/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  <x:c r="I50" s="118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8"/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  <x:c r="I52" s="118"/>
      <x:c r="J52" s="118"/>
      <x:c r="K52" s="118"/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/>
      <x:c r="B55" s="118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/>
      <x:c r="B58" s="118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18"/>
      <x:c r="B59" s="118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/>
      <x:c r="B60" s="118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/>
      <x:c r="B61" s="118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/>
      <x:c r="B62" s="118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</x:sheetData>
  <x:mergeCells>
    <x:mergeCell ref="A1:G1"/>
    <x:mergeCell ref="A20:G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37" hidden="0" customWidth="1"/>
    <x:col min="7" max="7" width="24" hidden="0" customWidth="1"/>
    <x:col min="8" max="8" width="48" hidden="0" customWidth="1"/>
    <x:col min="10" max="10" width="21" hidden="0" customWidth="1"/>
    <x:col min="11" max="11" width="15" hidden="0" customWidth="1"/>
  </x:cols>
  <x:sheetData>
    <x:row r="1" ht="30" customHeight="1">
      <x:c r="A1" s="3" t="str">
        <x:v>Grandstand Limited — Multi-Method Valuation Reconciliation</x:v>
      </x:c>
      <x:c r="B1" s="3"/>
      <x:c r="C1" s="3"/>
      <x:c r="D1" s="3"/>
      <x:c r="E1" s="3"/>
      <x:c r="F1" s="3"/>
      <x:c r="G1" s="3"/>
      <x:c r="H1" s="3"/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>
      <x:c r="A2" s="118"/>
      <x:c r="B2" s="118"/>
      <x:c r="C2" s="118"/>
      <x:c r="D2" s="118"/>
      <x:c r="E2" s="118"/>
      <x:c r="F2" s="118"/>
      <x:c r="G2" s="118"/>
      <x:c r="H2" s="118"/>
      <x:c r="I2" s="118"/>
      <x:c r="J2" s="118" t="str">
        <x:v>Method</x:v>
      </x:c>
      <x:c r="K2" s="118" t="str">
        <x:v>Midpoint</x:v>
      </x:c>
      <x:c r="L2" s="118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>
      <x:c r="A3" s="12" t="str">
        <x:v>Method</x:v>
      </x:c>
      <x:c r="B3" s="13" t="str">
        <x:v>Role</x:v>
      </x:c>
      <x:c r="C3" s="13" t="str">
        <x:v>Low</x:v>
      </x:c>
      <x:c r="D3" s="13" t="str">
        <x:v>Mid</x:v>
      </x:c>
      <x:c r="E3" s="13" t="str">
        <x:v>High</x:v>
      </x:c>
      <x:c r="F3" s="13" t="str">
        <x:v>Evidence quality</x:v>
      </x:c>
      <x:c r="G3" s="13" t="str">
        <x:v>Use in conclusion</x:v>
      </x:c>
      <x:c r="H3" s="14" t="str">
        <x:v>Rationale</x:v>
      </x:c>
      <x:c r="I3" s="118"/>
      <x:c r="J3" s="118" t="str">
        <x:v>Perpetuity DCF</x:v>
      </x:c>
      <x:c r="K3" s="148" t="n">
        <x:f>D4</x:f>
        <x:v>6.698801095343368</x:v>
      </x:c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 ht="34" customHeight="1">
      <x:c r="A4" s="168" t="str">
        <x:v>Perpetuity-growth FCFF DCF</x:v>
      </x:c>
      <x:c r="B4" s="168" t="str">
        <x:v>Primary</x:v>
      </x:c>
      <x:c r="C4" s="169" t="n">
        <x:f>'Sensitivities'!F4</x:f>
        <x:v>4.294751848953047</x:v>
      </x:c>
      <x:c r="D4" s="169" t="n">
        <x:f>'DCF'!H18</x:f>
        <x:v>6.698801095343368</x:v>
      </x:c>
      <x:c r="E4" s="169" t="n">
        <x:f>'Sensitivities'!F6</x:f>
        <x:v>10.23464332856023</x:v>
      </x:c>
      <x:c r="F4" s="168" t="str">
        <x:v>Source-backed forecast; analyst WACC / terminal assumptions</x:v>
      </x:c>
      <x:c r="G4" s="168" t="str">
        <x:v>Primary range</x:v>
      </x:c>
      <x:c r="H4" s="168" t="str">
        <x:v>Best fit for consolidated forecastable operations</x:v>
      </x:c>
      <x:c r="I4" s="118"/>
      <x:c r="J4" s="118" t="str">
        <x:v>Exit DCF</x:v>
      </x:c>
      <x:c r="K4" s="148" t="n">
        <x:f>D5</x:f>
        <x:v>6.0750362114258465</x:v>
      </x:c>
      <x:c r="L4" s="11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 ht="34" customHeight="1">
      <x:c r="A5" s="168" t="str">
        <x:v>Exit-multiple DCF</x:v>
      </x:c>
      <x:c r="B5" s="168" t="str">
        <x:v>Corroborative</x:v>
      </x:c>
      <x:c r="C5" s="169" t="n">
        <x:f>'DCF'!D23</x:f>
        <x:v>5.146302100527932</x:v>
      </x:c>
      <x:c r="D5" s="169" t="n">
        <x:f>'DCF'!D24</x:f>
        <x:v>6.0750362114258465</x:v>
      </x:c>
      <x:c r="E5" s="169" t="n">
        <x:f>'DCF'!D25</x:f>
        <x:v>7.003770322323762</x:v>
      </x:c>
      <x:c r="F5" s="168" t="str">
        <x:v>Analyst exit-multiple range</x:v>
      </x:c>
      <x:c r="G5" s="168" t="str">
        <x:v>Cross-check only</x:v>
      </x:c>
      <x:c r="H5" s="168" t="str">
        <x:v>Same explicit FCFF; market-based terminal value</x:v>
      </x:c>
      <x:c r="I5" s="118"/>
      <x:c r="J5" s="118" t="str">
        <x:v>APV</x:v>
      </x:c>
      <x:c r="K5" s="148" t="n">
        <x:f>D6</x:f>
        <x:v>5.842675891527396</x:v>
      </x:c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 ht="34" customHeight="1">
      <x:c r="A6" s="168" t="str">
        <x:v>Adjusted present value</x:v>
      </x:c>
      <x:c r="B6" s="168" t="str">
        <x:v>Corroborative</x:v>
      </x:c>
      <x:c r="C6" s="169" t="n">
        <x:f>'APV'!C34</x:f>
        <x:v>4.765795638694996</x:v>
      </x:c>
      <x:c r="D6" s="169" t="n">
        <x:f>'APV'!C35</x:f>
        <x:v>5.842675891527396</x:v>
      </x:c>
      <x:c r="E6" s="169" t="n">
        <x:f>'APV'!C36</x:f>
        <x:v>7.243458227705869</x:v>
      </x:c>
      <x:c r="F6" s="168" t="str">
        <x:v>Illustrative debt schedule</x:v>
      </x:c>
      <x:c r="G6" s="168" t="str">
        <x:v>Cross-check only</x:v>
      </x:c>
      <x:c r="H6" s="168" t="str">
        <x:v>Separates operating value and financing tax shields</x:v>
      </x:c>
      <x:c r="I6" s="118"/>
      <x:c r="J6" s="118" t="str">
        <x:v>EV / Revenue</x:v>
      </x:c>
      <x:c r="K6" s="148" t="n">
        <x:f>D7</x:f>
        <x:v>2.4058529599861473</x:v>
      </x:c>
      <x:c r="L6" s="118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 ht="34" customHeight="1">
      <x:c r="A7" s="168" t="str">
        <x:v>EV / Revenue</x:v>
      </x:c>
      <x:c r="B7" s="168" t="str">
        <x:v>Corroborative stress</x:v>
      </x:c>
      <x:c r="C7" s="169" t="n">
        <x:f>'Market Methods'!B10</x:f>
        <x:v>0.4318523976493673</x:v>
      </x:c>
      <x:c r="D7" s="169" t="n">
        <x:f>'Market Methods'!C10</x:f>
        <x:v>2.4058529599861473</x:v>
      </x:c>
      <x:c r="E7" s="169" t="n">
        <x:f>'Market Methods'!D10</x:f>
        <x:v>4.379853522322929</x:v>
      </x:c>
      <x:c r="F7" s="168" t="str">
        <x:v>Analyst multiple range; no normalized peer median</x:v>
      </x:c>
      <x:c r="G7" s="168" t="str">
        <x:v>Stress only</x:v>
      </x:c>
      <x:c r="H7" s="168" t="str">
        <x:v>Useful for scale / business-mix framing</x:v>
      </x:c>
      <x:c r="I7" s="118"/>
      <x:c r="J7" s="118" t="str">
        <x:v>EV / EBITDA</x:v>
      </x:c>
      <x:c r="K7" s="148" t="n">
        <x:f>D8</x:f>
        <x:v>1.912352819401954</x:v>
      </x:c>
      <x:c r="L7" s="118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 ht="34" customHeight="1">
      <x:c r="A8" s="168" t="str">
        <x:v>EV / normalized EBITDA</x:v>
      </x:c>
      <x:c r="B8" s="168" t="str">
        <x:v>Corroborative stress</x:v>
      </x:c>
      <x:c r="C8" s="169" t="n">
        <x:f>'Market Methods'!B11</x:f>
        <x:v>0.8266525101167241</x:v>
      </x:c>
      <x:c r="D8" s="169" t="n">
        <x:f>'Market Methods'!C11</x:f>
        <x:v>1.912352819401954</x:v>
      </x:c>
      <x:c r="E8" s="169" t="n">
        <x:f>'Market Methods'!D11</x:f>
        <x:v>2.998053128687183</x:v>
      </x:c>
      <x:c r="F8" s="168" t="str">
        <x:v>Analyst multiple range; no normalized peer median</x:v>
      </x:c>
      <x:c r="G8" s="168" t="str">
        <x:v>Stress only</x:v>
      </x:c>
      <x:c r="H8" s="168" t="str">
        <x:v>Useful for normalized profitability framing</x:v>
      </x:c>
      <x:c r="I8" s="118"/>
      <x:c r="J8" s="118" t="str">
        <x:v>Current price</x:v>
      </x:c>
      <x:c r="K8" s="148" t="n">
        <x:f>'Assumptions'!B5</x:f>
        <x:v>1.95</x:v>
      </x:c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>
      <x:c r="A9" s="118"/>
      <x:c r="B9" s="118"/>
      <x:c r="C9" s="118"/>
      <x:c r="D9" s="118"/>
      <x:c r="E9" s="118"/>
      <x:c r="F9" s="118"/>
      <x:c r="G9" s="118"/>
      <x:c r="H9" s="118"/>
      <x:c r="I9" s="118"/>
      <x:c r="J9" s="118"/>
      <x:c r="K9" s="118"/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>
      <x:c r="A10" s="118"/>
      <x:c r="B10" s="118"/>
      <x:c r="C10" s="118"/>
      <x:c r="D10" s="118"/>
      <x:c r="E10" s="118"/>
      <x:c r="F10" s="118"/>
      <x:c r="G10" s="118"/>
      <x:c r="H10" s="118"/>
      <x:c r="I10" s="118"/>
      <x:c r="J10" s="118"/>
      <x:c r="K10" s="118"/>
      <x:c r="L10" s="118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 ht="21" customHeight="1">
      <x:c r="A11" s="47" t="str">
        <x:v>Method applicability and exclusions</x:v>
      </x:c>
      <x:c r="B11" s="47"/>
      <x:c r="C11" s="47"/>
      <x:c r="D11" s="47"/>
      <x:c r="E11" s="47"/>
      <x:c r="F11" s="47"/>
      <x:c r="G11" s="47"/>
      <x:c r="H11" s="47"/>
      <x:c r="I11" s="118"/>
      <x:c r="J11" s="118"/>
      <x:c r="K11" s="118"/>
      <x:c r="L11" s="118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>
      <x:c r="A12" s="12" t="str">
        <x:v>Method</x:v>
      </x:c>
      <x:c r="B12" s="13" t="str">
        <x:v>Status</x:v>
      </x:c>
      <x:c r="C12" s="13" t="str">
        <x:v>Reason</x:v>
      </x:c>
      <x:c r="D12" s="13" t="str">
        <x:v>Evidence needed</x:v>
      </x:c>
      <x:c r="E12" s="13" t="str"/>
      <x:c r="F12" s="13" t="str"/>
      <x:c r="G12" s="13" t="str"/>
      <x:c r="H12" s="14" t="str"/>
      <x:c r="I12" s="118"/>
      <x:c r="J12" s="118"/>
      <x:c r="K12" s="118"/>
      <x:c r="L12" s="118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 ht="54" customHeight="1">
      <x:c r="A13" s="168" t="str">
        <x:v>SOTP</x:v>
      </x:c>
      <x:c r="B13" s="168" t="str">
        <x:v>Inapplicable</x:v>
      </x:c>
      <x:c r="C13" s="168" t="str">
        <x:v>One reportable segment; no separable unit economics</x:v>
      </x:c>
      <x:c r="D13" s="168" t="str">
        <x:v>Business-line revenue, margins, capex/NWC, corporate-cost allocation and unit benchmarks</x:v>
      </x:c>
      <x:c r="E13" s="168" t="str"/>
      <x:c r="F13" s="168" t="str"/>
      <x:c r="G13" s="168" t="str"/>
      <x:c r="H13" s="168" t="str"/>
      <x:c r="I13" s="118"/>
      <x:c r="J13" s="118"/>
      <x:c r="K13" s="118"/>
      <x:c r="L13" s="118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 ht="54" customHeight="1">
      <x:c r="A14" s="168" t="str">
        <x:v>Precedent transactions</x:v>
      </x:c>
      <x:c r="B14" s="168" t="str">
        <x:v>Inapplicable</x:v>
      </x:c>
      <x:c r="C14" s="168" t="str">
        <x:v>No normalized transaction dataset</x:v>
      </x:c>
      <x:c r="D14" s="168" t="str">
        <x:v>Dated transactions, perimeter, consideration, earnouts and target metrics</x:v>
      </x:c>
      <x:c r="E14" s="168" t="str"/>
      <x:c r="F14" s="168" t="str"/>
      <x:c r="G14" s="168" t="str"/>
      <x:c r="H14" s="168" t="str"/>
      <x:c r="I14" s="118"/>
      <x:c r="J14" s="118"/>
      <x:c r="K14" s="118"/>
      <x:c r="L14" s="118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 ht="54" customHeight="1">
      <x:c r="A15" s="168" t="str">
        <x:v>Dividend / residual income / asset NAV</x:v>
      </x:c>
      <x:c r="B15" s="168" t="str">
        <x:v>Inapplicable</x:v>
      </x:c>
      <x:c r="C15" s="168" t="str">
        <x:v>Distributions, book capital and asset values are not the core economic drivers</x:v>
      </x:c>
      <x:c r="D15" s="168" t="str">
        <x:v>Not pursued</x:v>
      </x:c>
      <x:c r="E15" s="168" t="str"/>
      <x:c r="F15" s="168" t="str"/>
      <x:c r="G15" s="168" t="str"/>
      <x:c r="H15" s="168" t="str"/>
      <x:c r="I15" s="118"/>
      <x:c r="J15" s="118"/>
      <x:c r="K15" s="118"/>
      <x:c r="L15" s="118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>
      <x:c r="A16" s="118"/>
      <x:c r="B16" s="118"/>
      <x:c r="C16" s="118"/>
      <x:c r="D16" s="118"/>
      <x:c r="E16" s="118"/>
      <x:c r="F16" s="118"/>
      <x:c r="G16" s="118"/>
      <x:c r="H16" s="118"/>
      <x:c r="I16" s="118"/>
      <x:c r="J16" s="118"/>
      <x:c r="K16" s="118"/>
      <x:c r="L16" s="118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>
      <x:c r="A17" s="118"/>
      <x:c r="B17" s="118"/>
      <x:c r="C17" s="118"/>
      <x:c r="D17" s="118"/>
      <x:c r="E17" s="118"/>
      <x:c r="F17" s="118"/>
      <x:c r="G17" s="118"/>
      <x:c r="H17" s="118"/>
      <x:c r="I17" s="118"/>
      <x:c r="J17" s="118"/>
      <x:c r="K17" s="118"/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 ht="21" customHeight="1">
      <x:c r="A18" s="47" t="str">
        <x:v>Conclusion discipline</x:v>
      </x:c>
      <x:c r="B18" s="47"/>
      <x:c r="C18" s="47"/>
      <x:c r="D18" s="47"/>
      <x:c r="E18" s="47"/>
      <x:c r="F18" s="47"/>
      <x:c r="G18" s="47"/>
      <x:c r="H18" s="47"/>
      <x:c r="I18" s="118"/>
      <x:c r="J18" s="118"/>
      <x:c r="K18" s="118"/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>
      <x:c r="A19" s="157" t="str">
        <x:v>No mechanical average is calculated. The perpetuity-growth DCF remains the primary valuation range. Exit DCF and APV test terminal-value and financing assumptions; EV/revenue and EV/EBITDA remain analyst stresses until normalized peer evidence is available. A large gap to the market is an underwriting question, not a recommendation.</x:v>
      </x:c>
      <x:c r="B19" s="157"/>
      <x:c r="C19" s="157"/>
      <x:c r="D19" s="157"/>
      <x:c r="E19" s="157"/>
      <x:c r="F19" s="157"/>
      <x:c r="G19" s="157"/>
      <x:c r="H19" s="157"/>
      <x:c r="I19" s="118"/>
      <x:c r="J19" s="118"/>
      <x:c r="K19" s="118"/>
      <x:c r="L19" s="118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>
      <x:c r="A20" s="157"/>
      <x:c r="B20" s="157"/>
      <x:c r="C20" s="157"/>
      <x:c r="D20" s="157"/>
      <x:c r="E20" s="157"/>
      <x:c r="F20" s="157"/>
      <x:c r="G20" s="157"/>
      <x:c r="H20" s="157"/>
      <x:c r="I20" s="118"/>
      <x:c r="J20" s="118"/>
      <x:c r="K20" s="118"/>
      <x:c r="L20" s="118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>
      <x:c r="A21" s="157"/>
      <x:c r="B21" s="157"/>
      <x:c r="C21" s="157"/>
      <x:c r="D21" s="157"/>
      <x:c r="E21" s="157"/>
      <x:c r="F21" s="157"/>
      <x:c r="G21" s="157"/>
      <x:c r="H21" s="157"/>
      <x:c r="I21" s="118"/>
      <x:c r="J21" s="118"/>
      <x:c r="K21" s="118"/>
      <x:c r="L21" s="118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>
      <x:c r="A22" s="157"/>
      <x:c r="B22" s="157"/>
      <x:c r="C22" s="157"/>
      <x:c r="D22" s="157"/>
      <x:c r="E22" s="157"/>
      <x:c r="F22" s="157"/>
      <x:c r="G22" s="157"/>
      <x:c r="H22" s="157"/>
      <x:c r="I22" s="118"/>
      <x:c r="J22" s="118"/>
      <x:c r="K22" s="118"/>
      <x:c r="L22" s="118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>
      <x:c r="A23" s="118"/>
      <x:c r="B23" s="118"/>
      <x:c r="C23" s="118"/>
      <x:c r="D23" s="118"/>
      <x:c r="E23" s="118"/>
      <x:c r="F23" s="118"/>
      <x:c r="G23" s="118"/>
      <x:c r="H23" s="118"/>
      <x:c r="I23" s="118"/>
      <x:c r="J23" s="118"/>
      <x:c r="K23" s="118"/>
      <x:c r="L23" s="118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>
      <x:c r="A24" s="118"/>
      <x:c r="B24" s="118"/>
      <x:c r="C24" s="118"/>
      <x:c r="D24" s="118"/>
      <x:c r="E24" s="118"/>
      <x:c r="F24" s="118"/>
      <x:c r="G24" s="118"/>
      <x:c r="H24" s="118"/>
      <x:c r="I24" s="118"/>
      <x:c r="J24" s="118"/>
      <x:c r="K24" s="118"/>
      <x:c r="L24" s="118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>
      <x:c r="A25" s="118"/>
      <x:c r="B25" s="118"/>
      <x:c r="C25" s="118"/>
      <x:c r="D25" s="118"/>
      <x:c r="E25" s="118"/>
      <x:c r="F25" s="118"/>
      <x:c r="G25" s="118"/>
      <x:c r="H25" s="118"/>
      <x:c r="I25" s="118"/>
      <x:c r="J25" s="118"/>
      <x:c r="K25" s="118"/>
      <x:c r="L25" s="118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>
      <x:c r="A26" s="118"/>
      <x:c r="B26" s="118"/>
      <x:c r="C26" s="118"/>
      <x:c r="D26" s="118"/>
      <x:c r="E26" s="118"/>
      <x:c r="F26" s="118"/>
      <x:c r="G26" s="118"/>
      <x:c r="H26" s="118"/>
      <x:c r="I26" s="118"/>
      <x:c r="J26" s="118"/>
      <x:c r="K26" s="118"/>
      <x:c r="L26" s="118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>
      <x:c r="A27" s="118"/>
      <x:c r="B27" s="118"/>
      <x:c r="C27" s="118"/>
      <x:c r="D27" s="118"/>
      <x:c r="E27" s="118"/>
      <x:c r="F27" s="118"/>
      <x:c r="G27" s="118"/>
      <x:c r="H27" s="118"/>
      <x:c r="I27" s="118"/>
      <x:c r="J27" s="118"/>
      <x:c r="K27" s="118"/>
      <x:c r="L27" s="118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>
      <x:c r="A28" s="118"/>
      <x:c r="B28" s="118"/>
      <x:c r="C28" s="118"/>
      <x:c r="D28" s="118"/>
      <x:c r="E28" s="118"/>
      <x:c r="F28" s="118"/>
      <x:c r="G28" s="118"/>
      <x:c r="H28" s="118"/>
      <x:c r="I28" s="118"/>
      <x:c r="J28" s="118"/>
      <x:c r="K28" s="118"/>
      <x:c r="L28" s="118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>
      <x:c r="A29" s="118"/>
      <x:c r="B29" s="118"/>
      <x:c r="C29" s="118"/>
      <x:c r="D29" s="118"/>
      <x:c r="E29" s="118"/>
      <x:c r="F29" s="118"/>
      <x:c r="G29" s="118"/>
      <x:c r="H29" s="118"/>
      <x:c r="I29" s="118"/>
      <x:c r="J29" s="118"/>
      <x:c r="K29" s="118"/>
      <x:c r="L29" s="118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>
      <x:c r="A30" s="118"/>
      <x:c r="B30" s="118"/>
      <x:c r="C30" s="118"/>
      <x:c r="D30" s="118"/>
      <x:c r="E30" s="118"/>
      <x:c r="F30" s="118"/>
      <x:c r="G30" s="118"/>
      <x:c r="H30" s="118"/>
      <x:c r="I30" s="118"/>
      <x:c r="J30" s="118"/>
      <x:c r="K30" s="118"/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>
      <x:c r="A31" s="118"/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8"/>
      <x:c r="L31" s="118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>
      <x:c r="A32" s="118"/>
      <x:c r="B32" s="118"/>
      <x:c r="C32" s="118"/>
      <x:c r="D32" s="118"/>
      <x:c r="E32" s="118"/>
      <x:c r="F32" s="118"/>
      <x:c r="G32" s="118"/>
      <x:c r="H32" s="118"/>
      <x:c r="I32" s="118"/>
      <x:c r="J32" s="118"/>
      <x:c r="K32" s="118"/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>
      <x:c r="A33" s="118"/>
      <x:c r="B33" s="118"/>
      <x:c r="C33" s="118"/>
      <x:c r="D33" s="118"/>
      <x:c r="E33" s="118"/>
      <x:c r="F33" s="118"/>
      <x:c r="G33" s="118"/>
      <x:c r="H33" s="118"/>
      <x:c r="I33" s="118"/>
      <x:c r="J33" s="118"/>
      <x:c r="K33" s="118"/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  <x:c r="I34" s="118"/>
      <x:c r="J34" s="118"/>
      <x:c r="K34" s="118"/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  <x:c r="I35" s="118"/>
      <x:c r="J35" s="118"/>
      <x:c r="K35" s="118"/>
      <x:c r="L35" s="118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  <x:c r="I36" s="118"/>
      <x:c r="J36" s="118"/>
      <x:c r="K36" s="118"/>
      <x:c r="L36" s="118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  <x:c r="I37" s="118"/>
      <x:c r="J37" s="118"/>
      <x:c r="K37" s="118"/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  <x:c r="I38" s="118"/>
      <x:c r="J38" s="118"/>
      <x:c r="K38" s="118"/>
      <x:c r="L38" s="118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  <x:c r="I39" s="118"/>
      <x:c r="J39" s="118"/>
      <x:c r="K39" s="118"/>
      <x:c r="L39" s="118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  <x:c r="I40" s="118"/>
      <x:c r="J40" s="118"/>
      <x:c r="K40" s="118"/>
      <x:c r="L40" s="118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8"/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  <x:c r="I42" s="118"/>
      <x:c r="J42" s="118"/>
      <x:c r="K42" s="118"/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  <x:c r="I43" s="118"/>
      <x:c r="J43" s="118"/>
      <x:c r="K43" s="118"/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  <x:c r="I44" s="118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  <x:c r="I45" s="118"/>
      <x:c r="J45" s="118"/>
      <x:c r="K45" s="118"/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  <x:c r="I46" s="118"/>
      <x:c r="J46" s="118"/>
      <x:c r="K46" s="118"/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  <x:c r="I47" s="118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  <x:c r="I48" s="118"/>
      <x:c r="J48" s="118"/>
      <x:c r="K48" s="118"/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  <x:c r="I50" s="118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8"/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  <x:c r="I52" s="118"/>
      <x:c r="J52" s="118"/>
      <x:c r="K52" s="118"/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/>
      <x:c r="B55" s="118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/>
      <x:c r="B58" s="118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18"/>
      <x:c r="B59" s="118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/>
      <x:c r="B60" s="118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/>
      <x:c r="B61" s="118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/>
      <x:c r="B62" s="118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</x:sheetData>
  <x:mergeCells>
    <x:mergeCell ref="A1:H1"/>
    <x:mergeCell ref="D12:H12"/>
    <x:mergeCell ref="D13:H13"/>
    <x:mergeCell ref="D14:H14"/>
    <x:mergeCell ref="D15:H15"/>
    <x:mergeCell ref="A19:H22"/>
  </x:mergeCells>
  <x:pageMargins left="0.7" right="0.7" top="0.75" bottom="0.75" header="0.3" footer="0.3"/>
  <x:drawing xmlns:r="http://schemas.openxmlformats.org/officeDocument/2006/relationships" r:id="R59465f6b669a4f54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8" hidden="0" customWidth="1"/>
    <x:col min="4" max="4" width="18" hidden="0" customWidth="1"/>
    <x:col min="5" max="5" width="14" hidden="0" customWidth="1"/>
    <x:col min="6" max="6" width="18" hidden="0" customWidth="1"/>
    <x:col min="7" max="7" width="16" hidden="0" customWidth="1"/>
    <x:col min="8" max="8" width="26" hidden="0" customWidth="1"/>
  </x:cols>
  <x:sheetData>
    <x:row r="1" ht="30" customHeight="1">
      <x:c r="A1" s="3" t="str">
        <x:v>Grandstand Limited — Formula-Driven Scenario and DCF Sensitivities</x:v>
      </x:c>
      <x:c r="B1" s="3"/>
      <x:c r="C1" s="3"/>
      <x:c r="D1" s="3"/>
      <x:c r="E1" s="3"/>
      <x:c r="F1" s="3"/>
      <x:c r="G1" s="3"/>
      <x:c r="H1" s="3"/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>
      <x:c r="A2" s="118"/>
      <x:c r="B2" s="118"/>
      <x:c r="C2" s="118"/>
      <x:c r="D2" s="118"/>
      <x:c r="E2" s="118"/>
      <x:c r="F2" s="118"/>
      <x:c r="G2" s="118"/>
      <x:c r="H2" s="118"/>
      <x:c r="I2" s="118"/>
      <x:c r="J2" s="118"/>
      <x:c r="K2" s="118"/>
      <x:c r="L2" s="118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>
      <x:c r="A3" s="12" t="str">
        <x:v>Operating case</x:v>
      </x:c>
      <x:c r="B3" s="13" t="str">
        <x:v>2026 revenue</x:v>
      </x:c>
      <x:c r="C3" s="13" t="str">
        <x:v>2026 EBITDA margin</x:v>
      </x:c>
      <x:c r="D3" s="13" t="str">
        <x:v>2031 EBITDA margin</x:v>
      </x:c>
      <x:c r="E3" s="13" t="str">
        <x:v>WACC</x:v>
      </x:c>
      <x:c r="F3" s="14" t="str">
        <x:v>Value / share</x:v>
      </x:c>
      <x:c r="G3" s="118"/>
      <x:c r="H3" s="118"/>
      <x:c r="I3" s="118"/>
      <x:c r="J3" s="118"/>
      <x:c r="K3" s="118"/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>
      <x:c r="A4" s="118" t="str">
        <x:v>Bear</x:v>
      </x:c>
      <x:c r="B4" s="160" t="n">
        <x:v>165</x:v>
      </x:c>
      <x:c r="C4" s="155" t="n">
        <x:v>0.26</x:v>
      </x:c>
      <x:c r="D4" s="155" t="n">
        <x:v>0.29</x:v>
      </x:c>
      <x:c r="E4" s="155" t="n">
        <x:v>0.145</x:v>
      </x:c>
      <x:c r="F4" s="148" t="n">
        <x:f>(SUM(B33:G33)+G34*G32+'Assumptions'!B8-'Assumptions'!B9-'Assumptions'!B10-'Assumptions'!B11)/'Assumptions'!B7</x:f>
        <x:v>4.294751848953047</x:v>
      </x:c>
      <x:c r="G4" s="118"/>
      <x:c r="H4" s="118"/>
      <x:c r="I4" s="118"/>
      <x:c r="J4" s="118"/>
      <x:c r="K4" s="118"/>
      <x:c r="L4" s="11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>
      <x:c r="A5" s="118" t="str">
        <x:v>Base</x:v>
      </x:c>
      <x:c r="B5" s="152" t="n">
        <x:v>167.5</x:v>
      </x:c>
      <x:c r="C5" s="153" t="n">
        <x:v>0.275</x:v>
      </x:c>
      <x:c r="D5" s="153" t="n">
        <x:v>0.325</x:v>
      </x:c>
      <x:c r="E5" s="153" t="n">
        <x:f>'Assumptions'!B20</x:f>
        <x:v>0.12958999999999998</x:v>
      </x:c>
      <x:c r="F5" s="148" t="n">
        <x:f>(SUM(B47:G47)+G48*G46+'Assumptions'!B8-'Assumptions'!B9-'Assumptions'!B10-'Assumptions'!B11)/'Assumptions'!B7</x:f>
        <x:v>6.698801095343368</x:v>
      </x:c>
      <x:c r="G5" s="118"/>
      <x:c r="H5" s="118"/>
      <x:c r="I5" s="118"/>
      <x:c r="J5" s="118"/>
      <x:c r="K5" s="118"/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>
      <x:c r="A6" s="118" t="str">
        <x:v>Bull</x:v>
      </x:c>
      <x:c r="B6" s="160" t="n">
        <x:v>170</x:v>
      </x:c>
      <x:c r="C6" s="155" t="n">
        <x:v>0.29</x:v>
      </x:c>
      <x:c r="D6" s="155" t="n">
        <x:v>0.37</x:v>
      </x:c>
      <x:c r="E6" s="155" t="n">
        <x:v>0.115</x:v>
      </x:c>
      <x:c r="F6" s="148" t="n">
        <x:f>(SUM(B61:G61)+G62*G60+'Assumptions'!B8-'Assumptions'!B9-'Assumptions'!B10-'Assumptions'!B11)/'Assumptions'!B7</x:f>
        <x:v>10.23464332856023</x:v>
      </x:c>
      <x:c r="G6" s="118"/>
      <x:c r="H6" s="118"/>
      <x:c r="I6" s="118"/>
      <x:c r="J6" s="118"/>
      <x:c r="K6" s="118"/>
      <x:c r="L6" s="118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>
      <x:c r="A7" s="118"/>
      <x:c r="B7" s="118"/>
      <x:c r="C7" s="118"/>
      <x:c r="D7" s="118"/>
      <x:c r="E7" s="118"/>
      <x:c r="F7" s="118"/>
      <x:c r="G7" s="118"/>
      <x:c r="H7" s="118"/>
      <x:c r="I7" s="118"/>
      <x:c r="J7" s="118"/>
      <x:c r="K7" s="118"/>
      <x:c r="L7" s="118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>
      <x:c r="A8" s="118"/>
      <x:c r="B8" s="118"/>
      <x:c r="C8" s="118"/>
      <x:c r="D8" s="118"/>
      <x:c r="E8" s="118"/>
      <x:c r="F8" s="118"/>
      <x:c r="G8" s="118"/>
      <x:c r="H8" s="118"/>
      <x:c r="I8" s="118"/>
      <x:c r="J8" s="118"/>
      <x:c r="K8" s="118"/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 ht="21" customHeight="1">
      <x:c r="A9" s="47" t="str">
        <x:v>Base-case value per share sensitivity: WACC (rows) / terminal growth (columns)</x:v>
      </x:c>
      <x:c r="B9" s="47"/>
      <x:c r="C9" s="47"/>
      <x:c r="D9" s="47"/>
      <x:c r="E9" s="118"/>
      <x:c r="F9" s="157" t="str">
        <x:v>Bear, base and bull values now recalculate from their displayed 2026 revenue, 2026/2031 margin and WACC inputs. They are not multipliers on the base output.</x:v>
      </x:c>
      <x:c r="G9" s="157"/>
      <x:c r="H9" s="157"/>
      <x:c r="I9" s="118"/>
      <x:c r="J9" s="118"/>
      <x:c r="K9" s="118"/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>
      <x:c r="A10" s="12" t="str">
        <x:v>WACC \ g</x:v>
      </x:c>
      <x:c r="B10" s="48" t="n">
        <x:v>0.02</x:v>
      </x:c>
      <x:c r="C10" s="48" t="n">
        <x:v>0.025</x:v>
      </x:c>
      <x:c r="D10" s="49" t="n">
        <x:v>0.03</x:v>
      </x:c>
      <x:c r="E10" s="118"/>
      <x:c r="F10" s="157"/>
      <x:c r="G10" s="157"/>
      <x:c r="H10" s="157"/>
      <x:c r="I10" s="118"/>
      <x:c r="J10" s="118"/>
      <x:c r="K10" s="118"/>
      <x:c r="L10" s="118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>
      <x:c r="A11" s="153" t="n">
        <x:v>0.11</x:v>
      </x:c>
      <x:c r="B11" s="148" t="n">
        <x:f>(SUMPRODUCT('DCF'!B4:G4,1/(1+$A11)^'DCF'!B5:G5)+'Forecast'!H17*(1+B$10)/($A11-B$10)/(1+$A11)^'DCF'!G5+'Assumptions'!B8-'Assumptions'!B9-'Assumptions'!B10-'Assumptions'!B11)/'Assumptions'!B7</x:f>
        <x:v>8.60821768651833</x:v>
      </x:c>
      <x:c r="C11" s="148" t="n">
        <x:f>(SUMPRODUCT('DCF'!B4:G4,1/(1+$A11)^'DCF'!B5:G5)+'Forecast'!H17*(1+C$10)/($A11-C$10)/(1+$A11)^'DCF'!G5+'Assumptions'!B8-'Assumptions'!B9-'Assumptions'!B10-'Assumptions'!B11)/'Assumptions'!B7</x:f>
        <x:v>9.11323860792965</x:v>
      </x:c>
      <x:c r="D11" s="148" t="n">
        <x:f>(SUMPRODUCT('DCF'!B4:G4,1/(1+$A11)^'DCF'!B5:G5)+'Forecast'!H17*(1+D$10)/($A11-D$10)/(1+$A11)^'DCF'!G5+'Assumptions'!B8-'Assumptions'!B9-'Assumptions'!B10-'Assumptions'!B11)/'Assumptions'!B7</x:f>
        <x:v>9.68138714451739</x:v>
      </x:c>
      <x:c r="E11" s="118"/>
      <x:c r="F11" s="157"/>
      <x:c r="G11" s="157"/>
      <x:c r="H11" s="157"/>
      <x:c r="I11" s="118"/>
      <x:c r="J11" s="118"/>
      <x:c r="K11" s="118"/>
      <x:c r="L11" s="118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>
      <x:c r="A12" s="153" t="n">
        <x:v>0.12</x:v>
      </x:c>
      <x:c r="B12" s="148" t="n">
        <x:f>(SUMPRODUCT('DCF'!B4:G4,1/(1+$A12)^'DCF'!B5:G5)+'Forecast'!H17*(1+B$10)/($A12-B$10)/(1+$A12)^'DCF'!G5+'Assumptions'!B8-'Assumptions'!B9-'Assumptions'!B10-'Assumptions'!B11)/'Assumptions'!B7</x:f>
        <x:v>7.364775573404109</x:v>
      </x:c>
      <x:c r="C12" s="148" t="n">
        <x:f>(SUMPRODUCT('DCF'!B4:G4,1/(1+$A12)^'DCF'!B5:G5)+'Forecast'!H17*(1+C$10)/($A12-C$10)/(1+$A12)^'DCF'!G5+'Assumptions'!B8-'Assumptions'!B9-'Assumptions'!B10-'Assumptions'!B11)/'Assumptions'!B7</x:f>
        <x:v>7.755364118376134</x:v>
      </x:c>
      <x:c r="D12" s="148" t="n">
        <x:f>(SUMPRODUCT('DCF'!B4:G4,1/(1+$A12)^'DCF'!B5:G5)+'Forecast'!H17*(1+D$10)/($A12-D$10)/(1+$A12)^'DCF'!G5+'Assumptions'!B8-'Assumptions'!B9-'Assumptions'!B10-'Assumptions'!B11)/'Assumptions'!B7</x:f>
        <x:v>8.189351390567277</x:v>
      </x:c>
      <x:c r="E12" s="118"/>
      <x:c r="F12" s="157"/>
      <x:c r="G12" s="157"/>
      <x:c r="H12" s="157"/>
      <x:c r="I12" s="118"/>
      <x:c r="J12" s="118"/>
      <x:c r="K12" s="118"/>
      <x:c r="L12" s="118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>
      <x:c r="A13" s="153" t="n">
        <x:f>'Assumptions'!B20</x:f>
        <x:v>0.12958999999999998</x:v>
      </x:c>
      <x:c r="B13" s="148" t="n">
        <x:f>(SUMPRODUCT('DCF'!B4:G4,1/(1+$A13)^'DCF'!B5:G5)+'Forecast'!H17*(1+B$10)/($A13-B$10)/(1+$A13)^'DCF'!G5+'Assumptions'!B8-'Assumptions'!B9-'Assumptions'!B10-'Assumptions'!B11)/'Assumptions'!B7</x:f>
        <x:v>6.3872571294216325</x:v>
      </x:c>
      <x:c r="C13" s="148" t="n">
        <x:f>(SUMPRODUCT('DCF'!B4:G4,1/(1+$A13)^'DCF'!B5:G5)+'Forecast'!H17*(1+C$10)/($A13-C$10)/(1+$A13)^'DCF'!G5+'Assumptions'!B8-'Assumptions'!B9-'Assumptions'!B10-'Assumptions'!B11)/'Assumptions'!B7</x:f>
        <x:v>6.698801095343368</x:v>
      </x:c>
      <x:c r="D13" s="148" t="n">
        <x:f>(SUMPRODUCT('DCF'!B4:G4,1/(1+$A13)^'DCF'!B5:G5)+'Forecast'!H17*(1+D$10)/($A13-D$10)/(1+$A13)^'DCF'!G5+'Assumptions'!B8-'Assumptions'!B9-'Assumptions'!B10-'Assumptions'!B11)/'Assumptions'!B7</x:f>
        <x:v>7.041627716744748</x:v>
      </x:c>
      <x:c r="E13" s="118"/>
      <x:c r="F13" s="157"/>
      <x:c r="G13" s="157"/>
      <x:c r="H13" s="157"/>
      <x:c r="I13" s="118"/>
      <x:c r="J13" s="118"/>
      <x:c r="K13" s="118"/>
      <x:c r="L13" s="118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>
      <x:c r="A14" s="153" t="n">
        <x:v>0.14</x:v>
      </x:c>
      <x:c r="B14" s="148" t="n">
        <x:f>(SUMPRODUCT('DCF'!B4:G4,1/(1+$A14)^'DCF'!B5:G5)+'Forecast'!H17*(1+B$10)/($A14-B$10)/(1+$A14)^'DCF'!G5+'Assumptions'!B8-'Assumptions'!B9-'Assumptions'!B10-'Assumptions'!B11)/'Assumptions'!B7</x:f>
        <x:v>5.504721000396482</x:v>
      </x:c>
      <x:c r="C14" s="148" t="n">
        <x:f>(SUMPRODUCT('DCF'!B4:G4,1/(1+$A14)^'DCF'!B5:G5)+'Forecast'!H17*(1+C$10)/($A14-C$10)/(1+$A14)^'DCF'!G5+'Assumptions'!B8-'Assumptions'!B9-'Assumptions'!B10-'Assumptions'!B11)/'Assumptions'!B7</x:f>
        <x:v>5.753019040881679</x:v>
      </x:c>
      <x:c r="D14" s="148" t="n">
        <x:f>(SUMPRODUCT('DCF'!B4:G4,1/(1+$A14)^'DCF'!B5:G5)+'Forecast'!H17*(1+D$10)/($A14-D$10)/(1+$A14)^'DCF'!G5+'Assumptions'!B8-'Assumptions'!B9-'Assumptions'!B10-'Assumptions'!B11)/'Assumptions'!B7</x:f>
        <x:v>6.023889630501896</x:v>
      </x:c>
      <x:c r="E14" s="118"/>
      <x:c r="F14" s="157"/>
      <x:c r="G14" s="157"/>
      <x:c r="H14" s="157"/>
      <x:c r="I14" s="118"/>
      <x:c r="J14" s="118"/>
      <x:c r="K14" s="118"/>
      <x:c r="L14" s="118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>
      <x:c r="A15" s="153" t="n">
        <x:v>0.15</x:v>
      </x:c>
      <x:c r="B15" s="148" t="n">
        <x:f>(SUMPRODUCT('DCF'!B4:G4,1/(1+$A15)^'DCF'!B5:G5)+'Forecast'!H17*(1+B$10)/($A15-B$10)/(1+$A15)^'DCF'!G5+'Assumptions'!B8-'Assumptions'!B9-'Assumptions'!B10-'Assumptions'!B11)/'Assumptions'!B7</x:f>
        <x:v>4.79152225491173</x:v>
      </x:c>
      <x:c r="C15" s="148" t="n">
        <x:f>(SUMPRODUCT('DCF'!B4:G4,1/(1+$A15)^'DCF'!B5:G5)+'Forecast'!H17*(1+C$10)/($A15-C$10)/(1+$A15)^'DCF'!G5+'Assumptions'!B8-'Assumptions'!B9-'Assumptions'!B10-'Assumptions'!B11)/'Assumptions'!B7</x:f>
        <x:v>4.994258109799743</x:v>
      </x:c>
      <x:c r="D15" s="148" t="n">
        <x:f>(SUMPRODUCT('DCF'!B4:G4,1/(1+$A15)^'DCF'!B5:G5)+'Forecast'!H17*(1+D$10)/($A15-D$10)/(1+$A15)^'DCF'!G5+'Assumptions'!B8-'Assumptions'!B9-'Assumptions'!B10-'Assumptions'!B11)/'Assumptions'!B7</x:f>
        <x:v>5.213888619261757</x:v>
      </x:c>
      <x:c r="E15" s="118"/>
      <x:c r="F15" s="157"/>
      <x:c r="G15" s="157"/>
      <x:c r="H15" s="157"/>
      <x:c r="I15" s="118"/>
      <x:c r="J15" s="118"/>
      <x:c r="K15" s="118"/>
      <x:c r="L15" s="118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>
      <x:c r="A16" s="118"/>
      <x:c r="B16" s="118"/>
      <x:c r="C16" s="118"/>
      <x:c r="D16" s="118"/>
      <x:c r="E16" s="118"/>
      <x:c r="F16" s="118"/>
      <x:c r="G16" s="118"/>
      <x:c r="H16" s="118"/>
      <x:c r="I16" s="118"/>
      <x:c r="J16" s="118"/>
      <x:c r="K16" s="118"/>
      <x:c r="L16" s="118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>
      <x:c r="A17" s="118"/>
      <x:c r="B17" s="118"/>
      <x:c r="C17" s="118"/>
      <x:c r="D17" s="118"/>
      <x:c r="E17" s="118"/>
      <x:c r="F17" s="118"/>
      <x:c r="G17" s="118"/>
      <x:c r="H17" s="118"/>
      <x:c r="I17" s="118"/>
      <x:c r="J17" s="118"/>
      <x:c r="K17" s="118"/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>
      <x:c r="A18" s="118"/>
      <x:c r="B18" s="118"/>
      <x:c r="C18" s="118"/>
      <x:c r="D18" s="118"/>
      <x:c r="E18" s="118"/>
      <x:c r="F18" s="118"/>
      <x:c r="G18" s="118"/>
      <x:c r="H18" s="118"/>
      <x:c r="I18" s="118"/>
      <x:c r="J18" s="118"/>
      <x:c r="K18" s="118"/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>
      <x:c r="A19" s="118"/>
      <x:c r="B19" s="118"/>
      <x:c r="C19" s="118"/>
      <x:c r="D19" s="118"/>
      <x:c r="E19" s="118"/>
      <x:c r="F19" s="118"/>
      <x:c r="G19" s="118"/>
      <x:c r="H19" s="118"/>
      <x:c r="I19" s="118"/>
      <x:c r="J19" s="118"/>
      <x:c r="K19" s="118"/>
      <x:c r="L19" s="118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>
      <x:c r="A20" s="118"/>
      <x:c r="B20" s="118"/>
      <x:c r="C20" s="118"/>
      <x:c r="D20" s="118"/>
      <x:c r="E20" s="118"/>
      <x:c r="F20" s="118"/>
      <x:c r="G20" s="118"/>
      <x:c r="H20" s="118"/>
      <x:c r="I20" s="118"/>
      <x:c r="J20" s="118"/>
      <x:c r="K20" s="118"/>
      <x:c r="L20" s="118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 ht="21" customHeight="1">
      <x:c r="A21" s="47" t="str">
        <x:v>Scenario helper — Bear</x:v>
      </x:c>
      <x:c r="B21" s="47"/>
      <x:c r="C21" s="47"/>
      <x:c r="D21" s="47"/>
      <x:c r="E21" s="47"/>
      <x:c r="F21" s="47"/>
      <x:c r="G21" s="47"/>
      <x:c r="H21" s="118"/>
      <x:c r="I21" s="118"/>
      <x:c r="J21" s="118"/>
      <x:c r="K21" s="118"/>
      <x:c r="L21" s="118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>
      <x:c r="A22" s="12" t="str">
        <x:v>USD millions</x:v>
      </x:c>
      <x:c r="B22" s="13" t="str">
        <x:v>FY2026E</x:v>
      </x:c>
      <x:c r="C22" s="13" t="str">
        <x:v>FY2027E</x:v>
      </x:c>
      <x:c r="D22" s="13" t="str">
        <x:v>FY2028E</x:v>
      </x:c>
      <x:c r="E22" s="13" t="str">
        <x:v>FY2029E</x:v>
      </x:c>
      <x:c r="F22" s="13" t="str">
        <x:v>FY2030E</x:v>
      </x:c>
      <x:c r="G22" s="14" t="str">
        <x:v>FY2031E</x:v>
      </x:c>
      <x:c r="H22" s="118"/>
      <x:c r="I22" s="118"/>
      <x:c r="J22" s="118"/>
      <x:c r="K22" s="118"/>
      <x:c r="L22" s="118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>
      <x:c r="A23" s="118" t="str">
        <x:v>Revenue</x:v>
      </x:c>
      <x:c r="B23" s="152" t="n">
        <x:f>$B$4</x:f>
        <x:v>165</x:v>
      </x:c>
      <x:c r="C23" s="152" t="n">
        <x:f>B23*(1+'Forecast'!D5)</x:f>
        <x:v>181.50000000000003</x:v>
      </x:c>
      <x:c r="D23" s="152" t="n">
        <x:f>C23*(1+'Forecast'!E5)</x:f>
        <x:v>196.02000000000004</x:v>
      </x:c>
      <x:c r="E23" s="152" t="n">
        <x:f>D23*(1+'Forecast'!F5)</x:f>
        <x:v>209.74140000000006</x:v>
      </x:c>
      <x:c r="F23" s="152" t="n">
        <x:f>E23*(1+'Forecast'!G5)</x:f>
        <x:v>222.32588400000006</x:v>
      </x:c>
      <x:c r="G23" s="152" t="n">
        <x:f>F23*(1+'Forecast'!H5)</x:f>
        <x:v>233.44217820000006</x:v>
      </x:c>
      <x:c r="H23" s="118"/>
      <x:c r="I23" s="118"/>
      <x:c r="J23" s="118"/>
      <x:c r="K23" s="118"/>
      <x:c r="L23" s="118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>
      <x:c r="A24" s="118" t="str">
        <x:v>EBITDA margin</x:v>
      </x:c>
      <x:c r="B24" s="153" t="n">
        <x:f>'Forecast'!C6+($C$4-'Forecast'!C6)</x:f>
        <x:v>0.26</x:v>
      </x:c>
      <x:c r="C24" s="153" t="n">
        <x:f>'Forecast'!D6+($C$4-'Forecast'!C6)*4/5+($D$4-'Forecast'!H6)*1/5</x:f>
        <x:v>0.27099999999999996</x:v>
      </x:c>
      <x:c r="D24" s="153" t="n">
        <x:f>'Forecast'!E6+($C$4-'Forecast'!C6)*3/5+($D$4-'Forecast'!H6)*2/5</x:f>
        <x:v>0.27699999999999997</x:v>
      </x:c>
      <x:c r="E24" s="153" t="n">
        <x:f>'Forecast'!F6+($C$4-'Forecast'!C6)*2/5+($D$4-'Forecast'!H6)*3/5</x:f>
        <x:v>0.283</x:v>
      </x:c>
      <x:c r="F24" s="153" t="n">
        <x:f>'Forecast'!G6+($C$4-'Forecast'!C6)*1/5+($D$4-'Forecast'!H6)*4/5</x:f>
        <x:v>0.289</x:v>
      </x:c>
      <x:c r="G24" s="153" t="n">
        <x:f>'Forecast'!H6+($D$4-'Forecast'!H6)</x:f>
        <x:v>0.29</x:v>
      </x:c>
      <x:c r="H24" s="118"/>
      <x:c r="I24" s="118"/>
      <x:c r="J24" s="118"/>
      <x:c r="K24" s="118"/>
      <x:c r="L24" s="118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>
      <x:c r="A25" s="118" t="str">
        <x:v>EBITDA</x:v>
      </x:c>
      <x:c r="B25" s="152" t="n">
        <x:f>B23*B24</x:f>
        <x:v>42.9</x:v>
      </x:c>
      <x:c r="C25" s="152" t="n">
        <x:f>C23*C24</x:f>
        <x:v>49.1865</x:v>
      </x:c>
      <x:c r="D25" s="152" t="n">
        <x:f>D23*D24</x:f>
        <x:v>54.297540000000005</x:v>
      </x:c>
      <x:c r="E25" s="152" t="n">
        <x:f>E23*E24</x:f>
        <x:v>59.35681620000001</x:v>
      </x:c>
      <x:c r="F25" s="152" t="n">
        <x:f>F23*F24</x:f>
        <x:v>64.252180476</x:v>
      </x:c>
      <x:c r="G25" s="152" t="n">
        <x:f>G23*G24</x:f>
        <x:v>67.69823167800001</x:v>
      </x:c>
      <x:c r="H25" s="118"/>
      <x:c r="I25" s="118"/>
      <x:c r="J25" s="118"/>
      <x:c r="K25" s="118"/>
      <x:c r="L25" s="118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>
      <x:c r="A26" s="118" t="str">
        <x:v>D&amp;A</x:v>
      </x:c>
      <x:c r="B26" s="152" t="n">
        <x:f>B23*'Forecast'!C8</x:f>
        <x:v>14.025</x:v>
      </x:c>
      <x:c r="C26" s="152" t="n">
        <x:f>C23*'Forecast'!D8</x:f>
        <x:v>14.883000000000003</x:v>
      </x:c>
      <x:c r="D26" s="152" t="n">
        <x:f>D23*'Forecast'!E8</x:f>
        <x:v>15.289560000000003</x:v>
      </x:c>
      <x:c r="E26" s="152" t="n">
        <x:f>E23*'Forecast'!F8</x:f>
        <x:v>15.730605000000004</x:v>
      </x:c>
      <x:c r="F26" s="152" t="n">
        <x:f>F23*'Forecast'!G8</x:f>
        <x:v>16.007463648</x:v>
      </x:c>
      <x:c r="G26" s="152" t="n">
        <x:f>G23*'Forecast'!H8</x:f>
        <x:v>16.340952474000005</x:v>
      </x:c>
      <x:c r="H26" s="118"/>
      <x:c r="I26" s="118"/>
      <x:c r="J26" s="118"/>
      <x:c r="K26" s="118"/>
      <x:c r="L26" s="118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>
      <x:c r="A27" s="118" t="str">
        <x:v>EBIT</x:v>
      </x:c>
      <x:c r="B27" s="152" t="n">
        <x:f>B25-B26</x:f>
        <x:v>28.875</x:v>
      </x:c>
      <x:c r="C27" s="152" t="n">
        <x:f>C25-C26</x:f>
        <x:v>34.3035</x:v>
      </x:c>
      <x:c r="D27" s="152" t="n">
        <x:f>D25-D26</x:f>
        <x:v>39.00798</x:v>
      </x:c>
      <x:c r="E27" s="152" t="n">
        <x:f>E25-E26</x:f>
        <x:v>43.62621120000001</x:v>
      </x:c>
      <x:c r="F27" s="152" t="n">
        <x:f>F25-F26</x:f>
        <x:v>48.24471682800001</x:v>
      </x:c>
      <x:c r="G27" s="152" t="n">
        <x:f>G25-G26</x:f>
        <x:v>51.35727920400001</x:v>
      </x:c>
      <x:c r="H27" s="118"/>
      <x:c r="I27" s="118"/>
      <x:c r="J27" s="118"/>
      <x:c r="K27" s="118"/>
      <x:c r="L27" s="118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>
      <x:c r="A28" s="118" t="str">
        <x:v>NOPAT</x:v>
      </x:c>
      <x:c r="B28" s="152" t="n">
        <x:f>B27*(1-'Assumptions'!B22)</x:f>
        <x:v>21.65625</x:v>
      </x:c>
      <x:c r="C28" s="152" t="n">
        <x:f>C27*(1-'Assumptions'!B22)</x:f>
        <x:v>25.727625</x:v>
      </x:c>
      <x:c r="D28" s="152" t="n">
        <x:f>D27*(1-'Assumptions'!B22)</x:f>
        <x:v>29.255985000000003</x:v>
      </x:c>
      <x:c r="E28" s="152" t="n">
        <x:f>E27*(1-'Assumptions'!B22)</x:f>
        <x:v>32.71965840000001</x:v>
      </x:c>
      <x:c r="F28" s="152" t="n">
        <x:f>F27*(1-'Assumptions'!B22)</x:f>
        <x:v>36.183537621000006</x:v>
      </x:c>
      <x:c r="G28" s="152" t="n">
        <x:f>G27*(1-'Assumptions'!B22)</x:f>
        <x:v>38.517959403000006</x:v>
      </x:c>
      <x:c r="H28" s="118"/>
      <x:c r="I28" s="118"/>
      <x:c r="J28" s="118"/>
      <x:c r="K28" s="118"/>
      <x:c r="L28" s="118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>
      <x:c r="A29" s="118" t="str">
        <x:v>Capex</x:v>
      </x:c>
      <x:c r="B29" s="152" t="n">
        <x:f>-B23*'Forecast'!C14</x:f>
        <x:v>-6.6000000000000005</x:v>
      </x:c>
      <x:c r="C29" s="152" t="n">
        <x:f>-C23*'Forecast'!D14</x:f>
        <x:v>-6.7155000000000005</x:v>
      </x:c>
      <x:c r="D29" s="152" t="n">
        <x:f>-D23*'Forecast'!E14</x:f>
        <x:v>-6.860700000000002</x:v>
      </x:c>
      <x:c r="E29" s="152" t="n">
        <x:f>-E23*'Forecast'!F14</x:f>
        <x:v>-6.921466200000002</x:v>
      </x:c>
      <x:c r="F29" s="152" t="n">
        <x:f>-F23*'Forecast'!G14</x:f>
        <x:v>-7.114428288000002</x:v>
      </x:c>
      <x:c r="G29" s="152" t="n">
        <x:f>-G23*'Forecast'!H14</x:f>
        <x:v>-7.003265346000002</x:v>
      </x:c>
      <x:c r="H29" s="118"/>
      <x:c r="I29" s="118"/>
      <x:c r="J29" s="118"/>
      <x:c r="K29" s="118"/>
      <x:c r="L29" s="118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>
      <x:c r="A30" s="118" t="str">
        <x:v>Change in NWC</x:v>
      </x:c>
      <x:c r="B30" s="152" t="n">
        <x:f>'Forecast'!C16*B23/'Forecast'!C4</x:f>
        <x:v>1.65</x:v>
      </x:c>
      <x:c r="C30" s="152" t="n">
        <x:f>'Forecast'!D16*C23/'Forecast'!D4</x:f>
        <x:v>1.8145074626865674</x:v>
      </x:c>
      <x:c r="D30" s="152" t="n">
        <x:f>'Forecast'!E16*D23/'Forecast'!E4</x:f>
        <x:v>1.9602985074626866</x:v>
      </x:c>
      <x:c r="E30" s="152" t="n">
        <x:f>'Forecast'!F16*E23/'Forecast'!F4</x:f>
        <x:v>2.097223880597015</x:v>
      </x:c>
      <x:c r="F30" s="152" t="n">
        <x:f>'Forecast'!G16*F23/'Forecast'!G4</x:f>
        <x:v>2.223313432835821</x:v>
      </x:c>
      <x:c r="G30" s="152" t="n">
        <x:f>'Forecast'!H16*G23/'Forecast'!H4</x:f>
        <x:v>2.3346268656716416</x:v>
      </x:c>
      <x:c r="H30" s="118"/>
      <x:c r="I30" s="118"/>
      <x:c r="J30" s="118"/>
      <x:c r="K30" s="118"/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>
      <x:c r="A31" s="158" t="str">
        <x:v>FCFF</x:v>
      </x:c>
      <x:c r="B31" s="159" t="n">
        <x:f>B28+B26+B29-B30</x:f>
        <x:v>27.43125</x:v>
      </x:c>
      <x:c r="C31" s="159" t="n">
        <x:f>C28+C26+C29-C30</x:f>
        <x:v>32.08061753731343</x:v>
      </x:c>
      <x:c r="D31" s="159" t="n">
        <x:f>D28+D26+D29-D30</x:f>
        <x:v>35.724546492537314</x:v>
      </x:c>
      <x:c r="E31" s="159" t="n">
        <x:f>E28+E26+E29-E30</x:f>
        <x:v>39.43157331940299</x:v>
      </x:c>
      <x:c r="F31" s="159" t="n">
        <x:f>F28+F26+F29-F30</x:f>
        <x:v>42.85325954816419</x:v>
      </x:c>
      <x:c r="G31" s="159" t="n">
        <x:f>G28+G26+G29-G30</x:f>
        <x:v>45.52101966532837</x:v>
      </x:c>
      <x:c r="H31" s="118"/>
      <x:c r="I31" s="118"/>
      <x:c r="J31" s="118"/>
      <x:c r="K31" s="118"/>
      <x:c r="L31" s="118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>
      <x:c r="A32" s="118" t="str">
        <x:v>Discount factor</x:v>
      </x:c>
      <x:c r="B32" s="153" t="n">
        <x:f>1/(1+$E$4)^0.5</x:f>
        <x:v>0.9345386270319955</x:v>
      </x:c>
      <x:c r="C32" s="153" t="n">
        <x:f>1/(1+$E$4)^1.5</x:f>
        <x:v>0.8161909406392973</x:v>
      </x:c>
      <x:c r="D32" s="153" t="n">
        <x:f>1/(1+$E$4)^2.5</x:f>
        <x:v>0.712830515842181</x:v>
      </x:c>
      <x:c r="E32" s="153" t="n">
        <x:f>1/(1+$E$4)^3.5</x:f>
        <x:v>0.6225594024822542</x:v>
      </x:c>
      <x:c r="F32" s="153" t="n">
        <x:f>1/(1+$E$4)^4.5</x:f>
        <x:v>0.5437200021679076</x:v>
      </x:c>
      <x:c r="G32" s="153" t="n">
        <x:f>1/(1+$E$4)^5.5</x:f>
        <x:v>0.4748646307143298</x:v>
      </x:c>
      <x:c r="H32" s="118"/>
      <x:c r="I32" s="118"/>
      <x:c r="J32" s="118"/>
      <x:c r="K32" s="118"/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>
      <x:c r="A33" s="118" t="str">
        <x:v>PV of FCFF</x:v>
      </x:c>
      <x:c r="B33" s="152" t="n">
        <x:f>B31*B32</x:f>
        <x:v>25.635562712771424</x:v>
      </x:c>
      <x:c r="C33" s="152" t="n">
        <x:f>C31*C32</x:f>
        <x:v>26.183909404069386</x:v>
      </x:c>
      <x:c r="D33" s="152" t="n">
        <x:f>D31*D32</x:f>
        <x:v>25.465546904503352</x:v>
      </x:c>
      <x:c r="E33" s="152" t="n">
        <x:f>E31*E32</x:f>
        <x:v>24.548496724662723</x:v>
      </x:c>
      <x:c r="F33" s="152" t="n">
        <x:f>F31*F32</x:f>
        <x:v>23.30017437442974</x:v>
      </x:c>
      <x:c r="G33" s="152" t="n">
        <x:f>G31*G32</x:f>
        <x:v>21.616322193115902</x:v>
      </x:c>
      <x:c r="H33" s="118"/>
      <x:c r="I33" s="118"/>
      <x:c r="J33" s="118"/>
      <x:c r="K33" s="118"/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>
      <x:c r="A34" s="118" t="str">
        <x:v>Terminal value</x:v>
      </x:c>
      <x:c r="B34" s="152"/>
      <x:c r="C34" s="152"/>
      <x:c r="D34" s="152"/>
      <x:c r="E34" s="152"/>
      <x:c r="F34" s="152"/>
      <x:c r="G34" s="152" t="n">
        <x:f>G31*(1+'Assumptions'!B21)/($E$4-'Assumptions'!B21)</x:f>
        <x:v>388.8253763080131</x:v>
      </x:c>
      <x:c r="H34" s="118"/>
      <x:c r="I34" s="118"/>
      <x:c r="J34" s="118"/>
      <x:c r="K34" s="118"/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 ht="21" customHeight="1">
      <x:c r="A35" s="47" t="str">
        <x:v>Scenario helper — Base</x:v>
      </x:c>
      <x:c r="B35" s="47"/>
      <x:c r="C35" s="47"/>
      <x:c r="D35" s="47"/>
      <x:c r="E35" s="47"/>
      <x:c r="F35" s="47"/>
      <x:c r="G35" s="47"/>
      <x:c r="H35" s="118"/>
      <x:c r="I35" s="118"/>
      <x:c r="J35" s="118"/>
      <x:c r="K35" s="118"/>
      <x:c r="L35" s="118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>
      <x:c r="A36" s="12" t="str">
        <x:v>USD millions</x:v>
      </x:c>
      <x:c r="B36" s="13" t="str">
        <x:v>FY2026E</x:v>
      </x:c>
      <x:c r="C36" s="13" t="str">
        <x:v>FY2027E</x:v>
      </x:c>
      <x:c r="D36" s="13" t="str">
        <x:v>FY2028E</x:v>
      </x:c>
      <x:c r="E36" s="13" t="str">
        <x:v>FY2029E</x:v>
      </x:c>
      <x:c r="F36" s="13" t="str">
        <x:v>FY2030E</x:v>
      </x:c>
      <x:c r="G36" s="14" t="str">
        <x:v>FY2031E</x:v>
      </x:c>
      <x:c r="H36" s="118"/>
      <x:c r="I36" s="118"/>
      <x:c r="J36" s="118"/>
      <x:c r="K36" s="118"/>
      <x:c r="L36" s="118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>
      <x:c r="A37" s="118" t="str">
        <x:v>Revenue</x:v>
      </x:c>
      <x:c r="B37" s="152" t="n">
        <x:f>$B$5</x:f>
        <x:v>167.5</x:v>
      </x:c>
      <x:c r="C37" s="152" t="n">
        <x:f>B37*(1+'Forecast'!D5)</x:f>
        <x:v>184.25000000000003</x:v>
      </x:c>
      <x:c r="D37" s="152" t="n">
        <x:f>C37*(1+'Forecast'!E5)</x:f>
        <x:v>198.99000000000004</x:v>
      </x:c>
      <x:c r="E37" s="152" t="n">
        <x:f>D37*(1+'Forecast'!F5)</x:f>
        <x:v>212.91930000000005</x:v>
      </x:c>
      <x:c r="F37" s="152" t="n">
        <x:f>E37*(1+'Forecast'!G5)</x:f>
        <x:v>225.69445800000005</x:v>
      </x:c>
      <x:c r="G37" s="152" t="n">
        <x:f>F37*(1+'Forecast'!H5)</x:f>
        <x:v>236.97918090000007</x:v>
      </x:c>
      <x:c r="H37" s="118"/>
      <x:c r="I37" s="118"/>
      <x:c r="J37" s="118"/>
      <x:c r="K37" s="118"/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>
      <x:c r="A38" s="118" t="str">
        <x:v>EBITDA margin</x:v>
      </x:c>
      <x:c r="B38" s="153" t="n">
        <x:f>'Forecast'!C6+($C$5-'Forecast'!C6)</x:f>
        <x:v>0.275</x:v>
      </x:c>
      <x:c r="C38" s="153" t="n">
        <x:f>'Forecast'!D6+($C$5-'Forecast'!C6)*4/5+($D$5-'Forecast'!H6)*1/5</x:f>
        <x:v>0.29</x:v>
      </x:c>
      <x:c r="D38" s="153" t="n">
        <x:f>'Forecast'!E6+($C$5-'Forecast'!C6)*3/5+($D$5-'Forecast'!H6)*2/5</x:f>
        <x:v>0.3</x:v>
      </x:c>
      <x:c r="E38" s="153" t="n">
        <x:f>'Forecast'!F6+($C$5-'Forecast'!C6)*2/5+($D$5-'Forecast'!H6)*3/5</x:f>
        <x:v>0.31</x:v>
      </x:c>
      <x:c r="F38" s="153" t="n">
        <x:f>'Forecast'!G6+($C$5-'Forecast'!C6)*1/5+($D$5-'Forecast'!H6)*4/5</x:f>
        <x:v>0.32</x:v>
      </x:c>
      <x:c r="G38" s="153" t="n">
        <x:f>'Forecast'!H6+($D$5-'Forecast'!H6)</x:f>
        <x:v>0.325</x:v>
      </x:c>
      <x:c r="H38" s="118"/>
      <x:c r="I38" s="118"/>
      <x:c r="J38" s="118"/>
      <x:c r="K38" s="118"/>
      <x:c r="L38" s="118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>
      <x:c r="A39" s="118" t="str">
        <x:v>EBITDA</x:v>
      </x:c>
      <x:c r="B39" s="152" t="n">
        <x:f>B37*B38</x:f>
        <x:v>46.06250000000001</x:v>
      </x:c>
      <x:c r="C39" s="152" t="n">
        <x:f>C37*C38</x:f>
        <x:v>53.432500000000005</x:v>
      </x:c>
      <x:c r="D39" s="152" t="n">
        <x:f>D37*D38</x:f>
        <x:v>59.69700000000001</x:v>
      </x:c>
      <x:c r="E39" s="152" t="n">
        <x:f>E37*E38</x:f>
        <x:v>66.00498300000001</x:v>
      </x:c>
      <x:c r="F39" s="152" t="n">
        <x:f>F37*F38</x:f>
        <x:v>72.22222656000002</x:v>
      </x:c>
      <x:c r="G39" s="152" t="n">
        <x:f>G37*G38</x:f>
        <x:v>77.01823379250003</x:v>
      </x:c>
      <x:c r="H39" s="118"/>
      <x:c r="I39" s="118"/>
      <x:c r="J39" s="118"/>
      <x:c r="K39" s="118"/>
      <x:c r="L39" s="118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>
      <x:c r="A40" s="118" t="str">
        <x:v>D&amp;A</x:v>
      </x:c>
      <x:c r="B40" s="152" t="n">
        <x:f>B37*'Forecast'!C8</x:f>
        <x:v>14.2375</x:v>
      </x:c>
      <x:c r="C40" s="152" t="n">
        <x:f>C37*'Forecast'!D8</x:f>
        <x:v>15.108500000000003</x:v>
      </x:c>
      <x:c r="D40" s="152" t="n">
        <x:f>D37*'Forecast'!E8</x:f>
        <x:v>15.521220000000003</x:v>
      </x:c>
      <x:c r="E40" s="152" t="n">
        <x:f>E37*'Forecast'!F8</x:f>
        <x:v>15.968947500000002</x:v>
      </x:c>
      <x:c r="F40" s="152" t="n">
        <x:f>F37*'Forecast'!G8</x:f>
        <x:v>16.250000976000003</x:v>
      </x:c>
      <x:c r="G40" s="152" t="n">
        <x:f>G37*'Forecast'!H8</x:f>
        <x:v>16.588542663000005</x:v>
      </x:c>
      <x:c r="H40" s="118"/>
      <x:c r="I40" s="118"/>
      <x:c r="J40" s="118"/>
      <x:c r="K40" s="118"/>
      <x:c r="L40" s="118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>
      <x:c r="A41" s="118" t="str">
        <x:v>EBIT</x:v>
      </x:c>
      <x:c r="B41" s="152" t="n">
        <x:f>B39-B40</x:f>
        <x:v>31.825000000000006</x:v>
      </x:c>
      <x:c r="C41" s="152" t="n">
        <x:f>C39-C40</x:f>
        <x:v>38.324</x:v>
      </x:c>
      <x:c r="D41" s="152" t="n">
        <x:f>D39-D40</x:f>
        <x:v>44.17578</x:v>
      </x:c>
      <x:c r="E41" s="152" t="n">
        <x:f>E39-E40</x:f>
        <x:v>50.03603550000001</x:v>
      </x:c>
      <x:c r="F41" s="152" t="n">
        <x:f>F39-F40</x:f>
        <x:v>55.97222558400002</x:v>
      </x:c>
      <x:c r="G41" s="152" t="n">
        <x:f>G39-G40</x:f>
        <x:v>60.42969112950002</x:v>
      </x:c>
      <x:c r="H41" s="118"/>
      <x:c r="I41" s="118"/>
      <x:c r="J41" s="118"/>
      <x:c r="K41" s="118"/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>
      <x:c r="A42" s="118" t="str">
        <x:v>NOPAT</x:v>
      </x:c>
      <x:c r="B42" s="152" t="n">
        <x:f>B41*(1-'Assumptions'!B22)</x:f>
        <x:v>23.868750000000006</x:v>
      </x:c>
      <x:c r="C42" s="152" t="n">
        <x:f>C41*(1-'Assumptions'!B22)</x:f>
        <x:v>28.743</x:v>
      </x:c>
      <x:c r="D42" s="152" t="n">
        <x:f>D41*(1-'Assumptions'!B22)</x:f>
        <x:v>33.131835</x:v>
      </x:c>
      <x:c r="E42" s="152" t="n">
        <x:f>E41*(1-'Assumptions'!B22)</x:f>
        <x:v>37.527026625000005</x:v>
      </x:c>
      <x:c r="F42" s="152" t="n">
        <x:f>F41*(1-'Assumptions'!B22)</x:f>
        <x:v>41.979169188000014</x:v>
      </x:c>
      <x:c r="G42" s="152" t="n">
        <x:f>G41*(1-'Assumptions'!B22)</x:f>
        <x:v>45.32226834712502</x:v>
      </x:c>
      <x:c r="H42" s="118"/>
      <x:c r="I42" s="118"/>
      <x:c r="J42" s="118"/>
      <x:c r="K42" s="118"/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>
      <x:c r="A43" s="118" t="str">
        <x:v>Capex</x:v>
      </x:c>
      <x:c r="B43" s="152" t="n">
        <x:f>-B37*'Forecast'!C14</x:f>
        <x:v>-6.7</x:v>
      </x:c>
      <x:c r="C43" s="152" t="n">
        <x:f>-C37*'Forecast'!D14</x:f>
        <x:v>-6.8172500000000005</x:v>
      </x:c>
      <x:c r="D43" s="152" t="n">
        <x:f>-D37*'Forecast'!E14</x:f>
        <x:v>-6.964650000000002</x:v>
      </x:c>
      <x:c r="E43" s="152" t="n">
        <x:f>-E37*'Forecast'!F14</x:f>
        <x:v>-7.026336900000002</x:v>
      </x:c>
      <x:c r="F43" s="152" t="n">
        <x:f>-F37*'Forecast'!G14</x:f>
        <x:v>-7.222222656000002</x:v>
      </x:c>
      <x:c r="G43" s="152" t="n">
        <x:f>-G37*'Forecast'!H14</x:f>
        <x:v>-7.109375427000002</x:v>
      </x:c>
      <x:c r="H43" s="118"/>
      <x:c r="I43" s="118"/>
      <x:c r="J43" s="118"/>
      <x:c r="K43" s="118"/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>
      <x:c r="A44" s="118" t="str">
        <x:v>Change in NWC</x:v>
      </x:c>
      <x:c r="B44" s="152" t="n">
        <x:f>'Forecast'!C16*B37/'Forecast'!C4</x:f>
        <x:v>1.675</x:v>
      </x:c>
      <x:c r="C44" s="152" t="n">
        <x:f>'Forecast'!D16*C37/'Forecast'!D4</x:f>
        <x:v>1.842</x:v>
      </x:c>
      <x:c r="D44" s="152" t="n">
        <x:f>'Forecast'!E16*D37/'Forecast'!E4</x:f>
        <x:v>1.9900000000000002</x:v>
      </x:c>
      <x:c r="E44" s="152" t="n">
        <x:f>'Forecast'!F16*E37/'Forecast'!F4</x:f>
        <x:v>2.129</x:v>
      </x:c>
      <x:c r="F44" s="152" t="n">
        <x:f>'Forecast'!G16*F37/'Forecast'!G4</x:f>
        <x:v>2.257</x:v>
      </x:c>
      <x:c r="G44" s="152" t="n">
        <x:f>'Forecast'!H16*G37/'Forecast'!H4</x:f>
        <x:v>2.37</x:v>
      </x:c>
      <x:c r="H44" s="118"/>
      <x:c r="I44" s="118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>
      <x:c r="A45" s="158" t="str">
        <x:v>FCFF</x:v>
      </x:c>
      <x:c r="B45" s="159" t="n">
        <x:f>B42+B40+B43-B44</x:f>
        <x:v>29.731250000000003</x:v>
      </x:c>
      <x:c r="C45" s="159" t="n">
        <x:f>C42+C40+C43-C44</x:f>
        <x:v>35.19225</x:v>
      </x:c>
      <x:c r="D45" s="159" t="n">
        <x:f>D42+D40+D43-D44</x:f>
        <x:v>39.69840500000001</x:v>
      </x:c>
      <x:c r="E45" s="159" t="n">
        <x:f>E42+E40+E43-E44</x:f>
        <x:v>44.340637225</x:v>
      </x:c>
      <x:c r="F45" s="159" t="n">
        <x:f>F42+F40+F43-F44</x:f>
        <x:v>48.74994750800002</x:v>
      </x:c>
      <x:c r="G45" s="159" t="n">
        <x:f>G42+G40+G43-G44</x:f>
        <x:v>52.43143558312502</x:v>
      </x:c>
      <x:c r="H45" s="118"/>
      <x:c r="I45" s="118"/>
      <x:c r="J45" s="118"/>
      <x:c r="K45" s="118"/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>
      <x:c r="A46" s="118" t="str">
        <x:v>Discount factor</x:v>
      </x:c>
      <x:c r="B46" s="153" t="n">
        <x:f>1/(1+$E$5)^0.5</x:f>
        <x:v>0.9408915765892427</x:v>
      </x:c>
      <x:c r="C46" s="153" t="n">
        <x:f>1/(1+$E$5)^1.5</x:f>
        <x:v>0.8329496335743437</x:v>
      </x:c>
      <x:c r="D46" s="153" t="n">
        <x:f>1/(1+$E$5)^2.5</x:f>
        <x:v>0.7373911185247248</x:v>
      </x:c>
      <x:c r="E46" s="153" t="n">
        <x:f>1/(1+$E$5)^3.5</x:f>
        <x:v>0.6527953669249239</x:v>
      </x:c>
      <x:c r="F46" s="153" t="n">
        <x:f>1/(1+$E$5)^4.5</x:f>
        <x:v>0.5779046972130808</x:v>
      </x:c>
      <x:c r="G46" s="153" t="n">
        <x:f>1/(1+$E$5)^5.5</x:f>
        <x:v>0.5116057128808513</x:v>
      </x:c>
      <x:c r="H46" s="118"/>
      <x:c r="I46" s="118"/>
      <x:c r="J46" s="118"/>
      <x:c r="K46" s="118"/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>
      <x:c r="A47" s="118" t="str">
        <x:v>PV of FCFF</x:v>
      </x:c>
      <x:c r="B47" s="152" t="n">
        <x:f>B45*B46</x:f>
        <x:v>27.973882686468926</x:v>
      </x:c>
      <x:c r="C47" s="152" t="n">
        <x:f>C45*C46</x:f>
        <x:v>29.313371742156697</x:v>
      </x:c>
      <x:c r="D47" s="152" t="n">
        <x:f>D45*D46</x:f>
        <x:v>29.273251266597534</x:v>
      </x:c>
      <x:c r="E47" s="152" t="n">
        <x:f>E45*E46</x:f>
        <x:v>28.945362546978817</x:v>
      </x:c>
      <x:c r="F47" s="152" t="n">
        <x:f>F45*F46</x:f>
        <x:v>28.172823653764333</x:v>
      </x:c>
      <x:c r="G47" s="152" t="n">
        <x:f>G45*G46</x:f>
        <x:v>26.824221978871112</x:v>
      </x:c>
      <x:c r="H47" s="118"/>
      <x:c r="I47" s="118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>
      <x:c r="A48" s="118" t="str">
        <x:v>Terminal value</x:v>
      </x:c>
      <x:c r="B48" s="152"/>
      <x:c r="C48" s="152"/>
      <x:c r="D48" s="152"/>
      <x:c r="E48" s="152"/>
      <x:c r="F48" s="152"/>
      <x:c r="G48" s="152" t="n">
        <x:f>G45*(1+'Assumptions'!B21)/($E$5-'Assumptions'!B21)</x:f>
        <x:v>513.8370921952686</x:v>
      </x:c>
      <x:c r="H48" s="118"/>
      <x:c r="I48" s="118"/>
      <x:c r="J48" s="118"/>
      <x:c r="K48" s="118"/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 ht="21" customHeight="1">
      <x:c r="A49" s="47" t="str">
        <x:v>Scenario helper — Bull</x:v>
      </x:c>
      <x:c r="B49" s="47"/>
      <x:c r="C49" s="47"/>
      <x:c r="D49" s="47"/>
      <x:c r="E49" s="47"/>
      <x:c r="F49" s="47"/>
      <x:c r="G49" s="47"/>
      <x:c r="H49" s="118"/>
      <x:c r="I49" s="118"/>
      <x:c r="J49" s="118"/>
      <x:c r="K49" s="118"/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>
      <x:c r="A50" s="12" t="str">
        <x:v>USD millions</x:v>
      </x:c>
      <x:c r="B50" s="13" t="str">
        <x:v>FY2026E</x:v>
      </x:c>
      <x:c r="C50" s="13" t="str">
        <x:v>FY2027E</x:v>
      </x:c>
      <x:c r="D50" s="13" t="str">
        <x:v>FY2028E</x:v>
      </x:c>
      <x:c r="E50" s="13" t="str">
        <x:v>FY2029E</x:v>
      </x:c>
      <x:c r="F50" s="13" t="str">
        <x:v>FY2030E</x:v>
      </x:c>
      <x:c r="G50" s="14" t="str">
        <x:v>FY2031E</x:v>
      </x:c>
      <x:c r="H50" s="118"/>
      <x:c r="I50" s="118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>
      <x:c r="A51" s="118" t="str">
        <x:v>Revenue</x:v>
      </x:c>
      <x:c r="B51" s="152" t="n">
        <x:f>$B$6</x:f>
        <x:v>170</x:v>
      </x:c>
      <x:c r="C51" s="152" t="n">
        <x:f>B51*(1+'Forecast'!D5)</x:f>
        <x:v>187.00000000000003</x:v>
      </x:c>
      <x:c r="D51" s="152" t="n">
        <x:f>C51*(1+'Forecast'!E5)</x:f>
        <x:v>201.96000000000004</x:v>
      </x:c>
      <x:c r="E51" s="152" t="n">
        <x:f>D51*(1+'Forecast'!F5)</x:f>
        <x:v>216.09720000000004</x:v>
      </x:c>
      <x:c r="F51" s="152" t="n">
        <x:f>E51*(1+'Forecast'!G5)</x:f>
        <x:v>229.06303200000005</x:v>
      </x:c>
      <x:c r="G51" s="152" t="n">
        <x:f>F51*(1+'Forecast'!H5)</x:f>
        <x:v>240.51618360000006</x:v>
      </x:c>
      <x:c r="H51" s="118"/>
      <x:c r="I51" s="118"/>
      <x:c r="J51" s="118"/>
      <x:c r="K51" s="118"/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>
      <x:c r="A52" s="118" t="str">
        <x:v>EBITDA margin</x:v>
      </x:c>
      <x:c r="B52" s="153" t="n">
        <x:f>'Forecast'!C6+($C$6-'Forecast'!C6)</x:f>
        <x:v>0.29</x:v>
      </x:c>
      <x:c r="C52" s="153" t="n">
        <x:f>'Forecast'!D6+($C$6-'Forecast'!C6)*4/5+($D$6-'Forecast'!H6)*1/5</x:f>
        <x:v>0.31099999999999994</x:v>
      </x:c>
      <x:c r="D52" s="153" t="n">
        <x:f>'Forecast'!E6+($C$6-'Forecast'!C6)*3/5+($D$6-'Forecast'!H6)*2/5</x:f>
        <x:v>0.32699999999999996</x:v>
      </x:c>
      <x:c r="E52" s="153" t="n">
        <x:f>'Forecast'!F6+($C$6-'Forecast'!C6)*2/5+($D$6-'Forecast'!H6)*3/5</x:f>
        <x:v>0.34299999999999997</x:v>
      </x:c>
      <x:c r="F52" s="153" t="n">
        <x:f>'Forecast'!G6+($C$6-'Forecast'!C6)*1/5+($D$6-'Forecast'!H6)*4/5</x:f>
        <x:v>0.359</x:v>
      </x:c>
      <x:c r="G52" s="153" t="n">
        <x:f>'Forecast'!H6+($D$6-'Forecast'!H6)</x:f>
        <x:v>0.37</x:v>
      </x:c>
      <x:c r="H52" s="118"/>
      <x:c r="I52" s="118"/>
      <x:c r="J52" s="118"/>
      <x:c r="K52" s="118"/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 t="str">
        <x:v>EBITDA</x:v>
      </x:c>
      <x:c r="B53" s="152" t="n">
        <x:f>B51*B52</x:f>
        <x:v>49.3</x:v>
      </x:c>
      <x:c r="C53" s="152" t="n">
        <x:f>C51*C52</x:f>
        <x:v>58.157</x:v>
      </x:c>
      <x:c r="D53" s="152" t="n">
        <x:f>D51*D52</x:f>
        <x:v>66.04092</x:v>
      </x:c>
      <x:c r="E53" s="152" t="n">
        <x:f>E51*E52</x:f>
        <x:v>74.12133960000001</x:v>
      </x:c>
      <x:c r="F53" s="152" t="n">
        <x:f>F51*F52</x:f>
        <x:v>82.23362848800001</x:v>
      </x:c>
      <x:c r="G53" s="152" t="n">
        <x:f>G51*G52</x:f>
        <x:v>88.99098793200002</x:v>
      </x:c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 t="str">
        <x:v>D&amp;A</x:v>
      </x:c>
      <x:c r="B54" s="152" t="n">
        <x:f>B51*'Forecast'!C8</x:f>
        <x:v>14.450000000000001</x:v>
      </x:c>
      <x:c r="C54" s="152" t="n">
        <x:f>C51*'Forecast'!D8</x:f>
        <x:v>15.334000000000003</x:v>
      </x:c>
      <x:c r="D54" s="152" t="n">
        <x:f>D51*'Forecast'!E8</x:f>
        <x:v>15.752880000000003</x:v>
      </x:c>
      <x:c r="E54" s="152" t="n">
        <x:f>E51*'Forecast'!F8</x:f>
        <x:v>16.207290000000004</x:v>
      </x:c>
      <x:c r="F54" s="152" t="n">
        <x:f>F51*'Forecast'!G8</x:f>
        <x:v>16.492538304000004</x:v>
      </x:c>
      <x:c r="G54" s="152" t="n">
        <x:f>G51*'Forecast'!H8</x:f>
        <x:v>16.836132852000006</x:v>
      </x:c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 t="str">
        <x:v>EBIT</x:v>
      </x:c>
      <x:c r="B55" s="152" t="n">
        <x:f>B53-B54</x:f>
        <x:v>34.849999999999994</x:v>
      </x:c>
      <x:c r="C55" s="152" t="n">
        <x:f>C53-C54</x:f>
        <x:v>42.82299999999999</x:v>
      </x:c>
      <x:c r="D55" s="152" t="n">
        <x:f>D53-D54</x:f>
        <x:v>50.288039999999995</x:v>
      </x:c>
      <x:c r="E55" s="152" t="n">
        <x:f>E53-E54</x:f>
        <x:v>57.91404960000001</x:v>
      </x:c>
      <x:c r="F55" s="152" t="n">
        <x:f>F53-F54</x:f>
        <x:v>65.741090184</x:v>
      </x:c>
      <x:c r="G55" s="152" t="n">
        <x:f>G53-G54</x:f>
        <x:v>72.15485508000002</x:v>
      </x:c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 t="str">
        <x:v>NOPAT</x:v>
      </x:c>
      <x:c r="B56" s="152" t="n">
        <x:f>B55*(1-'Assumptions'!B22)</x:f>
        <x:v>26.137499999999996</x:v>
      </x:c>
      <x:c r="C56" s="152" t="n">
        <x:f>C55*(1-'Assumptions'!B22)</x:f>
        <x:v>32.11725</x:v>
      </x:c>
      <x:c r="D56" s="152" t="n">
        <x:f>D55*(1-'Assumptions'!B22)</x:f>
        <x:v>37.716029999999996</x:v>
      </x:c>
      <x:c r="E56" s="152" t="n">
        <x:f>E55*(1-'Assumptions'!B22)</x:f>
        <x:v>43.43553720000001</x:v>
      </x:c>
      <x:c r="F56" s="152" t="n">
        <x:f>F55*(1-'Assumptions'!B22)</x:f>
        <x:v>49.305817638</x:v>
      </x:c>
      <x:c r="G56" s="152" t="n">
        <x:f>G55*(1-'Assumptions'!B22)</x:f>
        <x:v>54.11614131000002</x:v>
      </x:c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 t="str">
        <x:v>Capex</x:v>
      </x:c>
      <x:c r="B57" s="152" t="n">
        <x:f>-B51*'Forecast'!C14</x:f>
        <x:v>-6.8</x:v>
      </x:c>
      <x:c r="C57" s="152" t="n">
        <x:f>-C51*'Forecast'!D14</x:f>
        <x:v>-6.9190000000000005</x:v>
      </x:c>
      <x:c r="D57" s="152" t="n">
        <x:f>-D51*'Forecast'!E14</x:f>
        <x:v>-7.068600000000002</x:v>
      </x:c>
      <x:c r="E57" s="152" t="n">
        <x:f>-E51*'Forecast'!F14</x:f>
        <x:v>-7.1312076000000015</x:v>
      </x:c>
      <x:c r="F57" s="152" t="n">
        <x:f>-F51*'Forecast'!G14</x:f>
        <x:v>-7.330017024000002</x:v>
      </x:c>
      <x:c r="G57" s="152" t="n">
        <x:f>-G51*'Forecast'!H14</x:f>
        <x:v>-7.215485508000001</x:v>
      </x:c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 t="str">
        <x:v>Change in NWC</x:v>
      </x:c>
      <x:c r="B58" s="152" t="n">
        <x:f>'Forecast'!C16*B51/'Forecast'!C4</x:f>
        <x:v>1.7</x:v>
      </x:c>
      <x:c r="C58" s="152" t="n">
        <x:f>'Forecast'!D16*C51/'Forecast'!D4</x:f>
        <x:v>1.8694925373134328</x:v>
      </x:c>
      <x:c r="D58" s="152" t="n">
        <x:f>'Forecast'!E16*D51/'Forecast'!E4</x:f>
        <x:v>2.019701492537313</x:v>
      </x:c>
      <x:c r="E58" s="152" t="n">
        <x:f>'Forecast'!F16*E51/'Forecast'!F4</x:f>
        <x:v>2.160776119402985</x:v>
      </x:c>
      <x:c r="F58" s="152" t="n">
        <x:f>'Forecast'!G16*F51/'Forecast'!G4</x:f>
        <x:v>2.290686567164179</x:v>
      </x:c>
      <x:c r="G58" s="152" t="n">
        <x:f>'Forecast'!H16*G51/'Forecast'!H4</x:f>
        <x:v>2.4053731343283578</x:v>
      </x:c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58" t="str">
        <x:v>FCFF</x:v>
      </x:c>
      <x:c r="B59" s="159" t="n">
        <x:f>B56+B54+B57-B58</x:f>
        <x:v>32.0875</x:v>
      </x:c>
      <x:c r="C59" s="159" t="n">
        <x:f>C56+C54+C57-C58</x:f>
        <x:v>38.66275746268657</x:v>
      </x:c>
      <x:c r="D59" s="159" t="n">
        <x:f>D56+D54+D57-D58</x:f>
        <x:v>44.38060850746268</x:v>
      </x:c>
      <x:c r="E59" s="159" t="n">
        <x:f>E56+E54+E57-E58</x:f>
        <x:v>50.35084348059703</x:v>
      </x:c>
      <x:c r="F59" s="159" t="n">
        <x:f>F56+F54+F57-F58</x:f>
        <x:v>56.17765235083582</x:v>
      </x:c>
      <x:c r="G59" s="159" t="n">
        <x:f>G56+G54+G57-G58</x:f>
        <x:v>61.331415519671665</x:v>
      </x:c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 t="str">
        <x:v>Discount factor</x:v>
      </x:c>
      <x:c r="B60" s="153" t="n">
        <x:f>1/(1+$E$6)^0.5</x:f>
        <x:v>0.9470274476207569</x:v>
      </x:c>
      <x:c r="C60" s="153" t="n">
        <x:f>1/(1+$E$6)^1.5</x:f>
        <x:v>0.84935197096032</x:v>
      </x:c>
      <x:c r="D60" s="153" t="n">
        <x:f>1/(1+$E$6)^2.5</x:f>
        <x:v>0.7617506466011839</x:v>
      </x:c>
      <x:c r="E60" s="153" t="n">
        <x:f>1/(1+$E$6)^3.5</x:f>
        <x:v>0.6831844364136178</x:v>
      </x:c>
      <x:c r="F60" s="153" t="n">
        <x:f>1/(1+$E$6)^4.5</x:f>
        <x:v>0.6127214676355317</x:v>
      </x:c>
      <x:c r="G60" s="153" t="n">
        <x:f>1/(1+$E$6)^5.5</x:f>
        <x:v>0.5495259799421809</x:v>
      </x:c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 t="str">
        <x:v>PV of FCFF</x:v>
      </x:c>
      <x:c r="B61" s="152" t="n">
        <x:f>B59*B60</x:f>
        <x:v>30.387743225531036</x:v>
      </x:c>
      <x:c r="C61" s="152" t="n">
        <x:f>C59*C60</x:f>
        <x:v>32.83828925369366</x:v>
      </x:c>
      <x:c r="D61" s="152" t="n">
        <x:f>D59*D60</x:f>
        <x:v>33.8069572271137</x:v>
      </x:c>
      <x:c r="E61" s="152" t="n">
        <x:f>E59*E60</x:f>
        <x:v>34.398912626241966</x:v>
      </x:c>
      <x:c r="F61" s="152" t="n">
        <x:f>F59*F60</x:f>
        <x:v>34.4212535967228</x:v>
      </x:c>
      <x:c r="G61" s="152" t="n">
        <x:f>G59*G60</x:f>
        <x:v>33.703206214688656</x:v>
      </x:c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 t="str">
        <x:v>Terminal value</x:v>
      </x:c>
      <x:c r="B62" s="152"/>
      <x:c r="C62" s="152"/>
      <x:c r="D62" s="152"/>
      <x:c r="E62" s="152"/>
      <x:c r="F62" s="152"/>
      <x:c r="G62" s="152" t="n">
        <x:f>G59*(1+'Assumptions'!B21)/($E$6-'Assumptions'!B21)</x:f>
        <x:v>698.4966767518162</x:v>
      </x:c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</x:sheetData>
  <x:mergeCells>
    <x:mergeCell ref="A1:H1"/>
    <x:mergeCell ref="F9:H1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18" hidden="0" customWidth="1"/>
    <x:col min="4" max="4" width="16" hidden="0" customWidth="1"/>
    <x:col min="5" max="5" width="14" hidden="0" customWidth="1"/>
    <x:col min="6" max="6" width="45" hidden="0" customWidth="1"/>
  </x:cols>
  <x:sheetData>
    <x:row r="1" ht="30" customHeight="1">
      <x:c r="A1" s="3" t="str">
        <x:v>Grandstand Limited — Model Checks and Issue Log</x:v>
      </x:c>
      <x:c r="B1" s="3"/>
      <x:c r="C1" s="3"/>
      <x:c r="D1" s="3"/>
      <x:c r="E1" s="3"/>
      <x:c r="F1" s="3"/>
      <x:c r="G1" s="118"/>
      <x:c r="H1" s="118"/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</x:row>
    <x:row r="2">
      <x:c r="A2" s="118"/>
      <x:c r="B2" s="118"/>
      <x:c r="C2" s="118"/>
      <x:c r="D2" s="118"/>
      <x:c r="E2" s="118"/>
      <x:c r="F2" s="118"/>
      <x:c r="G2" s="118"/>
      <x:c r="H2" s="118"/>
      <x:c r="I2" s="118"/>
      <x:c r="J2" s="118"/>
      <x:c r="K2" s="118"/>
      <x:c r="L2" s="118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</x:row>
    <x:row r="3">
      <x:c r="A3" s="12" t="str">
        <x:v>Check</x:v>
      </x:c>
      <x:c r="B3" s="13" t="str">
        <x:v>Expected</x:v>
      </x:c>
      <x:c r="C3" s="13" t="str">
        <x:v>Actual</x:v>
      </x:c>
      <x:c r="D3" s="13" t="str">
        <x:v>Tolerance</x:v>
      </x:c>
      <x:c r="E3" s="13" t="str">
        <x:v>Status</x:v>
      </x:c>
      <x:c r="F3" s="14" t="str">
        <x:v>Comment</x:v>
      </x:c>
      <x:c r="G3" s="118"/>
      <x:c r="H3" s="118"/>
      <x:c r="I3" s="118"/>
      <x:c r="J3" s="118"/>
      <x:c r="K3" s="118"/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</x:row>
    <x:row r="4">
      <x:c r="A4" s="118" t="str">
        <x:v>FY2025 revenue source tie</x:v>
      </x:c>
      <x:c r="B4" s="118" t="n">
        <x:v>165.447</x:v>
      </x:c>
      <x:c r="C4" s="152" t="n">
        <x:f>'Historicals'!D4</x:f>
        <x:v>165.447</x:v>
      </x:c>
      <x:c r="D4" s="152" t="n">
        <x:v>0.001</x:v>
      </x:c>
      <x:c r="E4" s="118" t="str">
        <x:f>IF(ABS(C4-B4)&lt;=D4,"PASS","FAIL")</x:f>
        <x:v>PASS</x:v>
      </x:c>
      <x:c r="F4" s="118" t="str">
        <x:v>20-F</x:v>
      </x:c>
      <x:c r="G4" s="118"/>
      <x:c r="H4" s="118"/>
      <x:c r="I4" s="118"/>
      <x:c r="J4" s="118"/>
      <x:c r="K4" s="118"/>
      <x:c r="L4" s="11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</x:row>
    <x:row r="5">
      <x:c r="A5" s="118" t="str">
        <x:v>FY2025 CFO source tie</x:v>
      </x:c>
      <x:c r="B5" s="118" t="n">
        <x:v>19.104</x:v>
      </x:c>
      <x:c r="C5" s="152" t="n">
        <x:f>'Historicals'!D14</x:f>
        <x:v>19.104</x:v>
      </x:c>
      <x:c r="D5" s="152" t="n">
        <x:v>0.001</x:v>
      </x:c>
      <x:c r="E5" s="118" t="str">
        <x:f>IF(ABS(C5-B5)&lt;=D5,"PASS","FAIL")</x:f>
        <x:v>PASS</x:v>
      </x:c>
      <x:c r="F5" s="118" t="str">
        <x:v>20-F</x:v>
      </x:c>
      <x:c r="G5" s="118"/>
      <x:c r="H5" s="118"/>
      <x:c r="I5" s="118"/>
      <x:c r="J5" s="118"/>
      <x:c r="K5" s="118"/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</x:row>
    <x:row r="6">
      <x:c r="A6" s="118" t="str">
        <x:v>FY2026 guidance midpoint</x:v>
      </x:c>
      <x:c r="B6" s="118" t="n">
        <x:v>167.5</x:v>
      </x:c>
      <x:c r="C6" s="152" t="n">
        <x:f>'Forecast'!C4</x:f>
        <x:v>167.5</x:v>
      </x:c>
      <x:c r="D6" s="152" t="n">
        <x:v>0.001</x:v>
      </x:c>
      <x:c r="E6" s="118" t="str">
        <x:f>IF(ABS(C6-B6)&lt;=D6,"PASS","FAIL")</x:f>
        <x:v>PASS</x:v>
      </x:c>
      <x:c r="F6" s="118" t="str">
        <x:v>Q1 release</x:v>
      </x:c>
      <x:c r="G6" s="118"/>
      <x:c r="H6" s="118"/>
      <x:c r="I6" s="118"/>
      <x:c r="J6" s="118"/>
      <x:c r="K6" s="118"/>
      <x:c r="L6" s="118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</x:row>
    <x:row r="7">
      <x:c r="A7" s="118" t="str">
        <x:v>Base FCFF construction</x:v>
      </x:c>
      <x:c r="B7" s="118" t="str">
        <x:v>NOPAT + D&amp;A − capex − NWC</x:v>
      </x:c>
      <x:c r="C7" s="152" t="n">
        <x:f>'Forecast'!C17-('Forecast'!C13+'Forecast'!C9+'Forecast'!C15-'Forecast'!C16)</x:f>
        <x:v>0</x:v>
      </x:c>
      <x:c r="D7" s="152" t="n">
        <x:v>0.001</x:v>
      </x:c>
      <x:c r="E7" s="118" t="str">
        <x:f>IF(ABS(C7)&lt;=D7,"PASS","FAIL")</x:f>
        <x:v>PASS</x:v>
      </x:c>
      <x:c r="F7" s="118" t="str">
        <x:v>Forecast</x:v>
      </x:c>
      <x:c r="G7" s="118"/>
      <x:c r="H7" s="118"/>
      <x:c r="I7" s="118"/>
      <x:c r="J7" s="118"/>
      <x:c r="K7" s="118"/>
      <x:c r="L7" s="118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</x:row>
    <x:row r="8">
      <x:c r="A8" s="118" t="str">
        <x:v>DCF EV-to-equity bridge</x:v>
      </x:c>
      <x:c r="B8" s="118" t="str">
        <x:v>EV + cash − debt-like claims</x:v>
      </x:c>
      <x:c r="C8" s="152" t="n">
        <x:f>'DCF'!H16-SUM('DCF'!H11:H15)</x:f>
        <x:v>0</x:v>
      </x:c>
      <x:c r="D8" s="152" t="n">
        <x:v>0.001</x:v>
      </x:c>
      <x:c r="E8" s="118" t="str">
        <x:f>IF(ABS(C8)&lt;=D8,"PASS","FAIL")</x:f>
        <x:v>PASS</x:v>
      </x:c>
      <x:c r="F8" s="118" t="str">
        <x:v>DCF</x:v>
      </x:c>
      <x:c r="G8" s="118"/>
      <x:c r="H8" s="118"/>
      <x:c r="I8" s="118"/>
      <x:c r="J8" s="118"/>
      <x:c r="K8" s="118"/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</x:row>
    <x:row r="9">
      <x:c r="A9" s="118" t="str">
        <x:v>DCF base sensitivity intersection</x:v>
      </x:c>
      <x:c r="B9" s="118" t="str">
        <x:v>Equals primary DCF</x:v>
      </x:c>
      <x:c r="C9" s="152" t="n">
        <x:f>'Sensitivities'!C13-'DCF'!H18</x:f>
        <x:v>0</x:v>
      </x:c>
      <x:c r="D9" s="152" t="n">
        <x:v>0.01</x:v>
      </x:c>
      <x:c r="E9" s="118" t="str">
        <x:f>IF(ABS(C9)&lt;=D9,"PASS","FAIL")</x:f>
        <x:v>PASS</x:v>
      </x:c>
      <x:c r="F9" s="118" t="str">
        <x:v>13.0% / 2.5%</x:v>
      </x:c>
      <x:c r="G9" s="118"/>
      <x:c r="H9" s="118"/>
      <x:c r="I9" s="118"/>
      <x:c r="J9" s="118"/>
      <x:c r="K9" s="118"/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</x:row>
    <x:row r="10">
      <x:c r="A10" s="118" t="str">
        <x:v>Scenario ordering</x:v>
      </x:c>
      <x:c r="B10" s="118" t="str">
        <x:v>Bear &lt; Base &lt; Bull</x:v>
      </x:c>
      <x:c r="C10" s="152" t="b">
        <x:f>AND('Sensitivities'!F4&lt;'Sensitivities'!F5,'Sensitivities'!F5&lt;'Sensitivities'!F6)</x:f>
        <x:v>1</x:v>
      </x:c>
      <x:c r="D10" s="152" t="n">
        <x:v>0</x:v>
      </x:c>
      <x:c r="E10" s="118" t="str">
        <x:f>IF(C10,"PASS","FAIL")</x:f>
        <x:v>PASS</x:v>
      </x:c>
      <x:c r="F10" s="118" t="str">
        <x:v>Independent scenario helpers</x:v>
      </x:c>
      <x:c r="G10" s="118"/>
      <x:c r="H10" s="118"/>
      <x:c r="I10" s="118"/>
      <x:c r="J10" s="118"/>
      <x:c r="K10" s="118"/>
      <x:c r="L10" s="118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</x:row>
    <x:row r="11">
      <x:c r="A11" s="118" t="str">
        <x:v>Scenario base reconciliation</x:v>
      </x:c>
      <x:c r="B11" s="118" t="str">
        <x:v>Base scenario equals primary DCF</x:v>
      </x:c>
      <x:c r="C11" s="152" t="n">
        <x:f>'Sensitivities'!F5-'DCF'!H18</x:f>
        <x:v>0</x:v>
      </x:c>
      <x:c r="D11" s="152" t="n">
        <x:v>0.01</x:v>
      </x:c>
      <x:c r="E11" s="118" t="str">
        <x:f>IF(ABS(C11)&lt;=D11,"PASS","FAIL")</x:f>
        <x:v>PASS</x:v>
      </x:c>
      <x:c r="F11" s="118" t="str">
        <x:v>Same displayed assumptions</x:v>
      </x:c>
      <x:c r="G11" s="118"/>
      <x:c r="H11" s="118"/>
      <x:c r="I11" s="118"/>
      <x:c r="J11" s="118"/>
      <x:c r="K11" s="118"/>
      <x:c r="L11" s="118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</x:row>
    <x:row r="12">
      <x:c r="A12" s="118" t="str">
        <x:v>Exit DCF ordering</x:v>
      </x:c>
      <x:c r="B12" s="118" t="str">
        <x:v>Low &lt; Mid &lt; High</x:v>
      </x:c>
      <x:c r="C12" s="152" t="b">
        <x:f>AND('DCF'!D23&lt;'DCF'!D24,'DCF'!D24&lt;'DCF'!D25)</x:f>
        <x:v>1</x:v>
      </x:c>
      <x:c r="D12" s="152" t="n">
        <x:v>0</x:v>
      </x:c>
      <x:c r="E12" s="118" t="str">
        <x:f>IF(C12,"PASS","FAIL")</x:f>
        <x:v>PASS</x:v>
      </x:c>
      <x:c r="F12" s="118" t="str">
        <x:v>5x / 6x / 7x</x:v>
      </x:c>
      <x:c r="G12" s="118"/>
      <x:c r="H12" s="118"/>
      <x:c r="I12" s="118"/>
      <x:c r="J12" s="118"/>
      <x:c r="K12" s="118"/>
      <x:c r="L12" s="118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</x:row>
    <x:row r="13">
      <x:c r="A13" s="118" t="str">
        <x:v>APV debt amortization</x:v>
      </x:c>
      <x:c r="B13" s="118" t="str">
        <x:v>Ending debt = 0</x:v>
      </x:c>
      <x:c r="C13" s="152" t="n">
        <x:f>'APV'!G11</x:f>
        <x:v>0</x:v>
      </x:c>
      <x:c r="D13" s="152" t="n">
        <x:v>0.001</x:v>
      </x:c>
      <x:c r="E13" s="118" t="str">
        <x:f>IF(ABS(C13)&lt;=D13,"PASS","FAIL")</x:f>
        <x:v>PASS</x:v>
      </x:c>
      <x:c r="F13" s="118" t="str">
        <x:v>Rates are percentages of opening debt</x:v>
      </x:c>
      <x:c r="G13" s="118"/>
      <x:c r="H13" s="118"/>
      <x:c r="I13" s="118"/>
      <x:c r="J13" s="118"/>
      <x:c r="K13" s="118"/>
      <x:c r="L13" s="118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</x:row>
    <x:row r="14">
      <x:c r="A14" s="118" t="str">
        <x:v>APV ordering</x:v>
      </x:c>
      <x:c r="B14" s="118" t="str">
        <x:v>High cost &lt; Base &lt; Low cost</x:v>
      </x:c>
      <x:c r="C14" s="152" t="b">
        <x:f>AND('APV'!C34&lt;'APV'!C35,'APV'!C35&lt;'APV'!C36)</x:f>
        <x:v>1</x:v>
      </x:c>
      <x:c r="D14" s="152" t="n">
        <x:v>0</x:v>
      </x:c>
      <x:c r="E14" s="118" t="str">
        <x:f>IF(C14,"PASS","FAIL")</x:f>
        <x:v>PASS</x:v>
      </x:c>
      <x:c r="F14" s="118" t="str">
        <x:v>Cost sensitivity</x:v>
      </x:c>
      <x:c r="G14" s="118"/>
      <x:c r="H14" s="118"/>
      <x:c r="I14" s="118"/>
      <x:c r="J14" s="118"/>
      <x:c r="K14" s="118"/>
      <x:c r="L14" s="118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</x:row>
    <x:row r="15">
      <x:c r="A15" s="118" t="str">
        <x:v>EV / Revenue ordering</x:v>
      </x:c>
      <x:c r="B15" s="118" t="str">
        <x:v>Low &lt; Mid &lt; High</x:v>
      </x:c>
      <x:c r="C15" s="152" t="b">
        <x:f>AND('Market Methods'!B10&lt;'Market Methods'!C10,'Market Methods'!C10&lt;'Market Methods'!D10)</x:f>
        <x:v>1</x:v>
      </x:c>
      <x:c r="D15" s="152" t="n">
        <x:v>0</x:v>
      </x:c>
      <x:c r="E15" s="118" t="str">
        <x:f>IF(C15,"PASS","FAIL")</x:f>
        <x:v>PASS</x:v>
      </x:c>
      <x:c r="F15" s="118" t="str">
        <x:v>Analyst stress</x:v>
      </x:c>
      <x:c r="G15" s="118"/>
      <x:c r="H15" s="118"/>
      <x:c r="I15" s="118"/>
      <x:c r="J15" s="118"/>
      <x:c r="K15" s="118"/>
      <x:c r="L15" s="118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</x:row>
    <x:row r="16">
      <x:c r="A16" s="118" t="str">
        <x:v>EV / EBITDA ordering</x:v>
      </x:c>
      <x:c r="B16" s="118" t="str">
        <x:v>Low &lt; Mid &lt; High</x:v>
      </x:c>
      <x:c r="C16" s="152" t="b">
        <x:f>AND('Market Methods'!B11&lt;'Market Methods'!C11,'Market Methods'!C11&lt;'Market Methods'!D11)</x:f>
        <x:v>1</x:v>
      </x:c>
      <x:c r="D16" s="152" t="n">
        <x:v>0</x:v>
      </x:c>
      <x:c r="E16" s="118" t="str">
        <x:f>IF(C16,"PASS","FAIL")</x:f>
        <x:v>PASS</x:v>
      </x:c>
      <x:c r="F16" s="118" t="str">
        <x:v>Analyst stress</x:v>
      </x:c>
      <x:c r="G16" s="118"/>
      <x:c r="H16" s="118"/>
      <x:c r="I16" s="118"/>
      <x:c r="J16" s="118"/>
      <x:c r="K16" s="118"/>
      <x:c r="L16" s="118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</x:row>
    <x:row r="17">
      <x:c r="A17" s="118" t="str">
        <x:v>Terminal value concentration</x:v>
      </x:c>
      <x:c r="B17" s="118" t="str">
        <x:v>&lt; 80% warning threshold</x:v>
      </x:c>
      <x:c r="C17" s="153" t="n">
        <x:f>'DCF'!H10/'DCF'!H11</x:f>
        <x:v>0.6065785595674025</x:v>
      </x:c>
      <x:c r="D17" s="153" t="n">
        <x:v>0.8</x:v>
      </x:c>
      <x:c r="E17" s="118" t="str">
        <x:f>IF(C17&lt;=D17,"PASS","WARN")</x:f>
        <x:v>PASS</x:v>
      </x:c>
      <x:c r="F17" s="118" t="str">
        <x:v>Caveat, not formula error</x:v>
      </x:c>
      <x:c r="G17" s="118"/>
      <x:c r="H17" s="118"/>
      <x:c r="I17" s="118"/>
      <x:c r="J17" s="118"/>
      <x:c r="K17" s="118"/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</x:row>
    <x:row r="18">
      <x:c r="A18" s="118" t="str">
        <x:v>Master model check</x:v>
      </x:c>
      <x:c r="B18" s="118" t="str">
        <x:v>All substantive checks PASS</x:v>
      </x:c>
      <x:c r="C18" s="152" t="n">
        <x:f>COUNTIF(E4:E16,"&lt;&gt;PASS")</x:f>
        <x:v>0</x:v>
      </x:c>
      <x:c r="D18" s="152" t="n">
        <x:v>0</x:v>
      </x:c>
      <x:c r="E18" s="118" t="str">
        <x:f>IF(C18=0,"PASS","FAIL")</x:f>
        <x:v>PASS</x:v>
      </x:c>
      <x:c r="F18" s="118" t="str">
        <x:v>Warnings remain in issue log</x:v>
      </x:c>
      <x:c r="G18" s="118"/>
      <x:c r="H18" s="118"/>
      <x:c r="I18" s="118"/>
      <x:c r="J18" s="118"/>
      <x:c r="K18" s="118"/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</x:row>
    <x:row r="19">
      <x:c r="A19" s="118"/>
      <x:c r="B19" s="118"/>
      <x:c r="C19" s="118"/>
      <x:c r="D19" s="118"/>
      <x:c r="E19" s="118"/>
      <x:c r="F19" s="118"/>
      <x:c r="G19" s="118"/>
      <x:c r="H19" s="118"/>
      <x:c r="I19" s="118"/>
      <x:c r="J19" s="118"/>
      <x:c r="K19" s="118"/>
      <x:c r="L19" s="118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</x:row>
    <x:row r="20">
      <x:c r="A20" s="118"/>
      <x:c r="B20" s="118"/>
      <x:c r="C20" s="118"/>
      <x:c r="D20" s="118"/>
      <x:c r="E20" s="118"/>
      <x:c r="F20" s="118"/>
      <x:c r="G20" s="118"/>
      <x:c r="H20" s="118"/>
      <x:c r="I20" s="118"/>
      <x:c r="J20" s="118"/>
      <x:c r="K20" s="118"/>
      <x:c r="L20" s="118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</x:row>
    <x:row r="21" ht="21" customHeight="1">
      <x:c r="A21" s="53" t="str">
        <x:v>Open limitations / issue log</x:v>
      </x:c>
      <x:c r="B21" s="53"/>
      <x:c r="C21" s="53"/>
      <x:c r="D21" s="53"/>
      <x:c r="E21" s="53"/>
      <x:c r="F21" s="53"/>
      <x:c r="G21" s="118"/>
      <x:c r="H21" s="118"/>
      <x:c r="I21" s="118"/>
      <x:c r="J21" s="118"/>
      <x:c r="K21" s="118"/>
      <x:c r="L21" s="118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</x:row>
    <x:row r="22">
      <x:c r="A22" s="12" t="str">
        <x:v>Severity</x:v>
      </x:c>
      <x:c r="B22" s="13" t="str">
        <x:v>Issue</x:v>
      </x:c>
      <x:c r="C22" s="13" t="str">
        <x:v>Decision impact</x:v>
      </x:c>
      <x:c r="D22" s="13" t="str">
        <x:v>Owner</x:v>
      </x:c>
      <x:c r="E22" s="13" t="str">
        <x:v>Status</x:v>
      </x:c>
      <x:c r="F22" s="14" t="str">
        <x:v>Resolution path</x:v>
      </x:c>
      <x:c r="G22" s="118"/>
      <x:c r="H22" s="118"/>
      <x:c r="I22" s="118"/>
      <x:c r="J22" s="118"/>
      <x:c r="K22" s="118"/>
      <x:c r="L22" s="118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</x:row>
    <x:row r="23" ht="38" customHeight="1">
      <x:c r="A23" s="168" t="str">
        <x:v>High</x:v>
      </x:c>
      <x:c r="B23" s="168" t="str">
        <x:v>No licensed consensus, normalized peer or beta feed</x:v>
      </x:c>
      <x:c r="C23" s="168" t="str">
        <x:v>Market stresses and WACC remain analyst-directed</x:v>
      </x:c>
      <x:c r="D23" s="168" t="str">
        <x:v>Analyst</x:v>
      </x:c>
      <x:c r="E23" s="168" t="str">
        <x:v>Open</x:v>
      </x:c>
      <x:c r="F23" s="168" t="str">
        <x:v>Refresh with licensed market data</x:v>
      </x:c>
      <x:c r="G23" s="118"/>
      <x:c r="H23" s="118"/>
      <x:c r="I23" s="118"/>
      <x:c r="J23" s="118"/>
      <x:c r="K23" s="118"/>
      <x:c r="L23" s="118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</x:row>
    <x:row r="24" ht="38" customHeight="1">
      <x:c r="A24" s="168" t="str">
        <x:v>High</x:v>
      </x:c>
      <x:c r="B24" s="168" t="str">
        <x:v>Q2 2026 results not yet reported</x:v>
      </x:c>
      <x:c r="C24" s="168" t="str">
        <x:v>Guidance and cash bridge can change</x:v>
      </x:c>
      <x:c r="D24" s="168" t="str">
        <x:v>Company / analyst</x:v>
      </x:c>
      <x:c r="E24" s="168" t="str">
        <x:v>Open</x:v>
      </x:c>
      <x:c r="F24" s="168" t="str">
        <x:v>Refresh after next earnings</x:v>
      </x:c>
      <x:c r="G24" s="118"/>
      <x:c r="H24" s="118"/>
      <x:c r="I24" s="118"/>
      <x:c r="J24" s="118"/>
      <x:c r="K24" s="118"/>
      <x:c r="L24" s="118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</x:row>
    <x:row r="25" ht="38" customHeight="1">
      <x:c r="A25" s="168" t="str">
        <x:v>High</x:v>
      </x:c>
      <x:c r="B25" s="168" t="str">
        <x:v>APV debt schedule is illustrative</x:v>
      </x:c>
      <x:c r="C25" s="168" t="str">
        <x:v>Financing tax-shield value is not contractual</x:v>
      </x:c>
      <x:c r="D25" s="168" t="str">
        <x:v>Analyst</x:v>
      </x:c>
      <x:c r="E25" s="168" t="str">
        <x:v>Open</x:v>
      </x:c>
      <x:c r="F25" s="168" t="str">
        <x:v>Add debt maturity / amortization schedule</x:v>
      </x:c>
      <x:c r="G25" s="118"/>
      <x:c r="H25" s="118"/>
      <x:c r="I25" s="118"/>
      <x:c r="J25" s="118"/>
      <x:c r="K25" s="118"/>
      <x:c r="L25" s="118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</x:row>
    <x:row r="26" ht="38" customHeight="1">
      <x:c r="A26" s="168" t="str">
        <x:v>Medium</x:v>
      </x:c>
      <x:c r="B26" s="168" t="str">
        <x:v>Post-Q1 cash and deferred-consideration changes incomplete</x:v>
      </x:c>
      <x:c r="C26" s="168" t="str">
        <x:v>Equity bridge may be stale</x:v>
      </x:c>
      <x:c r="D26" s="168" t="str">
        <x:v>Analyst</x:v>
      </x:c>
      <x:c r="E26" s="168" t="str">
        <x:v>Open</x:v>
      </x:c>
      <x:c r="F26" s="168" t="str">
        <x:v>Update Q2 balance sheet and settlements</x:v>
      </x:c>
      <x:c r="G26" s="118"/>
      <x:c r="H26" s="118"/>
      <x:c r="I26" s="118"/>
      <x:c r="J26" s="118"/>
      <x:c r="K26" s="118"/>
      <x:c r="L26" s="118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</x:row>
    <x:row r="27">
      <x:c r="A27" s="118"/>
      <x:c r="B27" s="118"/>
      <x:c r="C27" s="118"/>
      <x:c r="D27" s="118"/>
      <x:c r="E27" s="118"/>
      <x:c r="F27" s="118"/>
      <x:c r="G27" s="118"/>
      <x:c r="H27" s="118"/>
      <x:c r="I27" s="118"/>
      <x:c r="J27" s="118"/>
      <x:c r="K27" s="118"/>
      <x:c r="L27" s="118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</x:row>
    <x:row r="28">
      <x:c r="A28" s="118"/>
      <x:c r="B28" s="118"/>
      <x:c r="C28" s="118"/>
      <x:c r="D28" s="118"/>
      <x:c r="E28" s="118"/>
      <x:c r="F28" s="118"/>
      <x:c r="G28" s="118"/>
      <x:c r="H28" s="118"/>
      <x:c r="I28" s="118"/>
      <x:c r="J28" s="118"/>
      <x:c r="K28" s="118"/>
      <x:c r="L28" s="118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</x:row>
    <x:row r="29">
      <x:c r="A29" s="118"/>
      <x:c r="B29" s="118"/>
      <x:c r="C29" s="118"/>
      <x:c r="D29" s="118"/>
      <x:c r="E29" s="118"/>
      <x:c r="F29" s="118"/>
      <x:c r="G29" s="118"/>
      <x:c r="H29" s="118"/>
      <x:c r="I29" s="118"/>
      <x:c r="J29" s="118"/>
      <x:c r="K29" s="118"/>
      <x:c r="L29" s="118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</x:row>
    <x:row r="30">
      <x:c r="A30" s="118"/>
      <x:c r="B30" s="118"/>
      <x:c r="C30" s="118"/>
      <x:c r="D30" s="118"/>
      <x:c r="E30" s="118"/>
      <x:c r="F30" s="118"/>
      <x:c r="G30" s="118"/>
      <x:c r="H30" s="118"/>
      <x:c r="I30" s="118"/>
      <x:c r="J30" s="118"/>
      <x:c r="K30" s="118"/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</x:row>
    <x:row r="31">
      <x:c r="A31" s="118"/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8"/>
      <x:c r="L31" s="118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</x:row>
    <x:row r="32">
      <x:c r="A32" s="118"/>
      <x:c r="B32" s="118"/>
      <x:c r="C32" s="118"/>
      <x:c r="D32" s="118"/>
      <x:c r="E32" s="118"/>
      <x:c r="F32" s="118"/>
      <x:c r="G32" s="118"/>
      <x:c r="H32" s="118"/>
      <x:c r="I32" s="118"/>
      <x:c r="J32" s="118"/>
      <x:c r="K32" s="118"/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</x:row>
    <x:row r="33">
      <x:c r="A33" s="118"/>
      <x:c r="B33" s="118"/>
      <x:c r="C33" s="118"/>
      <x:c r="D33" s="118"/>
      <x:c r="E33" s="118"/>
      <x:c r="F33" s="118"/>
      <x:c r="G33" s="118"/>
      <x:c r="H33" s="118"/>
      <x:c r="I33" s="118"/>
      <x:c r="J33" s="118"/>
      <x:c r="K33" s="118"/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  <x:c r="I34" s="118"/>
      <x:c r="J34" s="118"/>
      <x:c r="K34" s="118"/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  <x:c r="I35" s="118"/>
      <x:c r="J35" s="118"/>
      <x:c r="K35" s="118"/>
      <x:c r="L35" s="118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  <x:c r="I36" s="118"/>
      <x:c r="J36" s="118"/>
      <x:c r="K36" s="118"/>
      <x:c r="L36" s="118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  <x:c r="I37" s="118"/>
      <x:c r="J37" s="118"/>
      <x:c r="K37" s="118"/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  <x:c r="I38" s="118"/>
      <x:c r="J38" s="118"/>
      <x:c r="K38" s="118"/>
      <x:c r="L38" s="118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  <x:c r="I39" s="118"/>
      <x:c r="J39" s="118"/>
      <x:c r="K39" s="118"/>
      <x:c r="L39" s="118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  <x:c r="I40" s="118"/>
      <x:c r="J40" s="118"/>
      <x:c r="K40" s="118"/>
      <x:c r="L40" s="118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8"/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  <x:c r="I42" s="118"/>
      <x:c r="J42" s="118"/>
      <x:c r="K42" s="118"/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  <x:c r="I43" s="118"/>
      <x:c r="J43" s="118"/>
      <x:c r="K43" s="118"/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  <x:c r="I44" s="118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  <x:c r="I45" s="118"/>
      <x:c r="J45" s="118"/>
      <x:c r="K45" s="118"/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  <x:c r="I46" s="118"/>
      <x:c r="J46" s="118"/>
      <x:c r="K46" s="118"/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  <x:c r="I47" s="118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  <x:c r="I48" s="118"/>
      <x:c r="J48" s="118"/>
      <x:c r="K48" s="118"/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  <x:c r="I50" s="118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8"/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  <x:c r="I52" s="118"/>
      <x:c r="J52" s="118"/>
      <x:c r="K52" s="118"/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</x:row>
    <x:row r="55">
      <x:c r="A55" s="118"/>
      <x:c r="B55" s="118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</x:row>
    <x:row r="57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</x:row>
    <x:row r="58">
      <x:c r="A58" s="118"/>
      <x:c r="B58" s="118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</x:row>
    <x:row r="59">
      <x:c r="A59" s="118"/>
      <x:c r="B59" s="118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</x:row>
    <x:row r="60">
      <x:c r="A60" s="118"/>
      <x:c r="B60" s="118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</x:row>
    <x:row r="61">
      <x:c r="A61" s="118"/>
      <x:c r="B61" s="118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</x:row>
    <x:row r="62">
      <x:c r="A62" s="118"/>
      <x:c r="B62" s="118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</x:row>
    <x:row r="63">
      <x:c r="A63" s="118"/>
      <x:c r="B63" s="118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</x:row>
    <x:row r="64">
      <x:c r="A64" s="118"/>
      <x:c r="B64" s="118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</x:row>
    <x:row r="65">
      <x:c r="A65" s="118"/>
      <x:c r="B65" s="118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</x:row>
    <x:row r="68">
      <x:c r="A68" s="118"/>
      <x:c r="B68" s="118"/>
      <x:c r="C68" s="118"/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</x:row>
    <x:row r="70">
      <x:c r="A70" s="118"/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</x:row>
    <x:row r="71">
      <x:c r="A71" s="118"/>
      <x:c r="B71" s="118"/>
      <x:c r="C71" s="118"/>
      <x:c r="D71" s="118"/>
      <x:c r="E71" s="118"/>
      <x:c r="F71" s="118"/>
      <x:c r="G71" s="118"/>
      <x:c r="H71" s="118"/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</x:row>
    <x:row r="72">
      <x:c r="A72" s="118"/>
      <x:c r="B72" s="118"/>
      <x:c r="C72" s="118"/>
      <x:c r="D72" s="118"/>
      <x:c r="E72" s="118"/>
      <x:c r="F72" s="118"/>
      <x:c r="G72" s="118"/>
      <x:c r="H72" s="118"/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</x:row>
    <x:row r="73">
      <x:c r="A73" s="118"/>
      <x:c r="B73" s="118"/>
      <x:c r="C73" s="118"/>
      <x:c r="D73" s="118"/>
      <x:c r="E73" s="118"/>
      <x:c r="F73" s="118"/>
      <x:c r="G73" s="118"/>
      <x:c r="H73" s="118"/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</x:row>
    <x:row r="74">
      <x:c r="A74" s="118"/>
      <x:c r="B74" s="118"/>
      <x:c r="C74" s="118"/>
      <x:c r="D74" s="118"/>
      <x:c r="E74" s="118"/>
      <x:c r="F74" s="118"/>
      <x:c r="G74" s="118"/>
      <x:c r="H74" s="118"/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</x:row>
    <x:row r="75">
      <x:c r="A75" s="118"/>
      <x:c r="B75" s="118"/>
      <x:c r="C75" s="118"/>
      <x:c r="D75" s="118"/>
      <x:c r="E75" s="118"/>
      <x:c r="F75" s="118"/>
      <x:c r="G75" s="118"/>
      <x:c r="H75" s="118"/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</x:row>
    <x:row r="78">
      <x:c r="A78" s="118"/>
      <x:c r="B78" s="118"/>
      <x:c r="C78" s="118"/>
      <x:c r="D78" s="118"/>
      <x:c r="E78" s="118"/>
      <x:c r="F78" s="118"/>
      <x:c r="G78" s="118"/>
      <x:c r="H78" s="118"/>
      <x:c r="I78" s="118"/>
      <x:c r="J78" s="118"/>
      <x:c r="K78" s="118"/>
      <x:c r="L78" s="118"/>
      <x:c r="M78" s="118"/>
      <x:c r="N78" s="118"/>
      <x:c r="O78" s="118"/>
      <x:c r="P78" s="118"/>
      <x:c r="Q78" s="118"/>
      <x:c r="R78" s="118"/>
      <x:c r="S78" s="118"/>
      <x:c r="T78" s="118"/>
      <x:c r="U78" s="118"/>
      <x:c r="V78" s="118"/>
      <x:c r="W78" s="118"/>
      <x:c r="X78" s="118"/>
      <x:c r="Y78" s="118"/>
      <x:c r="Z78" s="118"/>
    </x:row>
    <x:row r="79">
      <x:c r="A79" s="118"/>
      <x:c r="B79" s="118"/>
      <x:c r="C79" s="118"/>
      <x:c r="D79" s="118"/>
      <x:c r="E79" s="118"/>
      <x:c r="F79" s="118"/>
      <x:c r="G79" s="118"/>
      <x:c r="H79" s="118"/>
      <x:c r="I79" s="118"/>
      <x:c r="J79" s="118"/>
      <x:c r="K79" s="118"/>
      <x:c r="L79" s="118"/>
      <x:c r="M79" s="118"/>
      <x:c r="N79" s="118"/>
      <x:c r="O79" s="118"/>
      <x:c r="P79" s="118"/>
      <x:c r="Q79" s="118"/>
      <x:c r="R79" s="118"/>
      <x:c r="S79" s="118"/>
      <x:c r="T79" s="118"/>
      <x:c r="U79" s="118"/>
      <x:c r="V79" s="118"/>
      <x:c r="W79" s="118"/>
      <x:c r="X79" s="118"/>
      <x:c r="Y79" s="118"/>
      <x:c r="Z79" s="118"/>
    </x:row>
    <x:row r="80">
      <x:c r="A80" s="118"/>
      <x:c r="B80" s="118"/>
      <x:c r="C80" s="118"/>
      <x:c r="D80" s="118"/>
      <x:c r="E80" s="118"/>
      <x:c r="F80" s="118"/>
      <x:c r="G80" s="118"/>
      <x:c r="H80" s="118"/>
      <x:c r="I80" s="118"/>
      <x:c r="J80" s="118"/>
      <x:c r="K80" s="118"/>
      <x:c r="L80" s="118"/>
      <x:c r="M80" s="118"/>
      <x:c r="N80" s="118"/>
      <x:c r="O80" s="118"/>
      <x:c r="P80" s="118"/>
      <x:c r="Q80" s="118"/>
      <x:c r="R80" s="118"/>
      <x:c r="S80" s="118"/>
      <x:c r="T80" s="118"/>
      <x:c r="U80" s="118"/>
      <x:c r="V80" s="118"/>
      <x:c r="W80" s="118"/>
      <x:c r="X80" s="118"/>
      <x:c r="Y80" s="118"/>
      <x:c r="Z80" s="118"/>
    </x:row>
  </x:sheetData>
  <x:mergeCells>
    <x:mergeCell ref="A1:F1"/>
  </x:mergeCells>
  <x:conditionalFormatting sqref="E4:E18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