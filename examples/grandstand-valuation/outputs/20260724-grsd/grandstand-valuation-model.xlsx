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e4741537fec4de6" /></Relationships>
</file>

<file path=xl/workbook.xml><?xml version="1.0" encoding="utf-8"?>
<x:workbook xmlns:x="http://schemas.openxmlformats.org/spreadsheetml/2006/main">
  <x:sheets>
    <x:sheet xmlns:r="http://schemas.openxmlformats.org/officeDocument/2006/relationships" name="Cover" sheetId="1" r:id="R861fb096d9bd4ddd"/>
    <x:sheet xmlns:r="http://schemas.openxmlformats.org/officeDocument/2006/relationships" name="Sources" sheetId="2" r:id="R7b33bc32f4814aeb"/>
    <x:sheet xmlns:r="http://schemas.openxmlformats.org/officeDocument/2006/relationships" name="Assumptions" sheetId="3" r:id="R26543937ff674ce6"/>
    <x:sheet xmlns:r="http://schemas.openxmlformats.org/officeDocument/2006/relationships" name="Historicals" sheetId="4" r:id="R41e5ba7348314d37"/>
    <x:sheet xmlns:r="http://schemas.openxmlformats.org/officeDocument/2006/relationships" name="Forecast" sheetId="5" r:id="R43494c177e3b4707"/>
    <x:sheet xmlns:r="http://schemas.openxmlformats.org/officeDocument/2006/relationships" name="DCF" sheetId="6" r:id="R23950f2f2e8d4ca3"/>
    <x:sheet xmlns:r="http://schemas.openxmlformats.org/officeDocument/2006/relationships" name="Comps" sheetId="7" r:id="R3cc8b94f67334a4f"/>
    <x:sheet xmlns:r="http://schemas.openxmlformats.org/officeDocument/2006/relationships" name="Sensitivities" sheetId="8" r:id="Rc8d2149227a14c95"/>
    <x:sheet xmlns:r="http://schemas.openxmlformats.org/officeDocument/2006/relationships" name="Checks" sheetId="9" r:id="Re272608b659c4e2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dd-mmm-yyyy"/>
    <x:numFmt numFmtId="201" formatCode="#,##0.0;(#,##0.0);–"/>
    <x:numFmt numFmtId="202" formatCode="0.0%;(0.0%);–"/>
    <x:numFmt numFmtId="203" formatCode="0.0x"/>
    <x:numFmt numFmtId="204" formatCode="$0.00;($0.00);–"/>
  </x:numFmts>
  <x:fonts count="23">
    <x:font>
      <x:sz val="11"/>
      <x:name val="Carlito"/>
    </x:font>
    <x:font>
      <x:b/>
      <x:sz val="16"/>
      <x:color rgb="FFFFFFFF"/>
      <x:name val="Arial"/>
    </x:font>
    <x:font>
      <x:b/>
      <x:sz val="11"/>
      <x:color rgb="FF000000"/>
      <x:name val="Arial"/>
    </x:font>
    <x:font>
      <x:sz val="11"/>
      <x:color rgb="FF0000FF"/>
      <x:name val="Carlito"/>
    </x:font>
    <x:font>
      <x:i/>
      <x:sz val="9"/>
      <x:color rgb="FF595959"/>
      <x:name val="Carlito"/>
    </x:font>
    <x:font>
      <x:b/>
      <x:sz val="11"/>
      <x:color rgb="FF000000"/>
      <x:name val="Carlito"/>
    </x:font>
    <x:font>
      <x:b/>
      <x:sz val="11"/>
      <x:color rgb="FFFFFFFF"/>
      <x:name val="Carlito"/>
    </x:font>
    <x:font>
      <x:i/>
      <x:sz val="10"/>
      <x:color rgb="FF17365D"/>
      <x:name val="Carlito"/>
    </x:font>
    <x:font>
      <x:b/>
      <x:sz val="10"/>
      <x:color rgb="FF595959"/>
      <x:name val="Carlito"/>
    </x:font>
    <x:font>
      <x:b/>
      <x:sz val="19"/>
      <x:color rgb="FF17365D"/>
      <x:name val="Carlito"/>
    </x:font>
    <x:font>
      <x:b/>
      <x:sz val="8"/>
      <x:color rgb="FF595959"/>
      <x:name val="Carlito"/>
    </x:font>
    <x:font>
      <x:sz val="10"/>
      <x:color rgb="FF595959"/>
      <x:name val="Carlito"/>
    </x:font>
    <x:font>
      <x:i/>
      <x:sz val="9"/>
      <x:color rgb="FF17365D"/>
      <x:name val="Carlito"/>
    </x:font>
    <x:font>
      <x:sz val="11"/>
      <x:name val="Arial"/>
    </x:font>
    <x:font>
      <x:i/>
      <x:sz val="10"/>
      <x:color rgb="FF17365D"/>
      <x:name val="Arial"/>
    </x:font>
    <x:font>
      <x:b/>
      <x:sz val="10"/>
      <x:color rgb="FF595959"/>
      <x:name val="Arial"/>
    </x:font>
    <x:font>
      <x:b/>
      <x:sz val="19"/>
      <x:color rgb="FF17365D"/>
      <x:name val="Arial"/>
    </x:font>
    <x:font>
      <x:b/>
      <x:sz val="8"/>
      <x:color rgb="FF595959"/>
      <x:name val="Arial"/>
    </x:font>
    <x:font>
      <x:b/>
      <x:sz val="11"/>
      <x:color rgb="FFFFFFFF"/>
      <x:name val="Arial"/>
    </x:font>
    <x:font>
      <x:sz val="10"/>
      <x:color rgb="FF595959"/>
      <x:name val="Arial"/>
    </x:font>
    <x:font>
      <x:i/>
      <x:sz val="9"/>
      <x:color rgb="FF17365D"/>
      <x:name val="Arial"/>
    </x:font>
    <x:font>
      <x:sz val="11"/>
      <x:color rgb="FF0000FF"/>
      <x:name val="Arial"/>
    </x:font>
    <x:font>
      <x:i/>
      <x:sz val="9"/>
      <x:color rgb="FF595959"/>
      <x:name val="Arial"/>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4F6F8"/>
      </x:patternFill>
    </x:fill>
    <x:fill>
      <x:patternFill patternType="solid">
        <x:fgColor rgb="FFFCE4D6"/>
      </x:patternFill>
    </x:fill>
    <x:fill>
      <x:patternFill patternType="solid">
        <x:fgColor rgb="FFEEF5FA"/>
      </x:patternFill>
    </x:fill>
    <x:fill>
      <x:patternFill patternType="solid">
        <x:fgColor rgb="FFD9EAD3"/>
      </x:patternFill>
    </x:fill>
  </x:fills>
  <x:borders count="17">
    <x:border/>
    <x:border>
      <x:right style="thin">
        <x:color rgb="FFC7D7E5"/>
      </x:right>
      <x:bottom style="medium">
        <x:color rgb="FF9FBAD0"/>
      </x:bottom>
    </x:border>
    <x:border>
      <x:left style="thin">
        <x:color rgb="FFC7D7E5"/>
      </x:left>
      <x:right style="thin">
        <x:color rgb="FFC7D7E5"/>
      </x:right>
      <x:bottom style="medium">
        <x:color rgb="FF9FBAD0"/>
      </x:bottom>
    </x:border>
    <x:border>
      <x:left style="thin">
        <x:color rgb="FFC7D7E5"/>
      </x:left>
      <x:bottom style="medium">
        <x:color rgb="FF9FBAD0"/>
      </x:bottom>
    </x:border>
    <x:border>
      <x:left style="thin">
        <x:color rgb="FFD6B656"/>
      </x:left>
      <x:right style="thin">
        <x:color rgb="FFD6B656"/>
      </x:right>
      <x:top style="thin">
        <x:color rgb="FFD6B656"/>
      </x:top>
      <x:bottom style="thin">
        <x:color rgb="FFD6B656"/>
      </x:bottom>
    </x:border>
    <x:border>
      <x:top style="thin">
        <x:color rgb="FF000000"/>
      </x:top>
      <x:bottom style="double">
        <x:color rgb="FF000000"/>
      </x:bottom>
    </x:border>
    <x:border>
      <x:top style="thin">
        <x:color rgb="FF000000"/>
      </x:top>
    </x:border>
    <x:border>
      <x:bottom style="double">
        <x:color rgb="FF000000"/>
      </x:bottom>
    </x:border>
    <x:border>
      <x:bottom style="medium">
        <x:color rgb="FF1F4E78"/>
      </x:bottom>
    </x:border>
    <x:border>
      <x:left style="thin">
        <x:color rgb="FFD9E1E8"/>
      </x:left>
      <x:top style="thin">
        <x:color rgb="FFD9E1E8"/>
      </x:top>
    </x:border>
    <x:border>
      <x:top style="thin">
        <x:color rgb="FFD9E1E8"/>
      </x:top>
    </x:border>
    <x:border>
      <x:right style="thin">
        <x:color rgb="FFD9E1E8"/>
      </x:right>
      <x:top style="thin">
        <x:color rgb="FFD9E1E8"/>
      </x:top>
    </x:border>
    <x:border>
      <x:left style="thin">
        <x:color rgb="FFD9E1E8"/>
      </x:left>
    </x:border>
    <x:border>
      <x:right style="thin">
        <x:color rgb="FFD9E1E8"/>
      </x:right>
    </x:border>
    <x:border>
      <x:left style="thin">
        <x:color rgb="FFD9E1E8"/>
      </x:left>
      <x:bottom style="thin">
        <x:color rgb="FFD9E1E8"/>
      </x:bottom>
    </x:border>
    <x:border>
      <x:bottom style="thin">
        <x:color rgb="FFD9E1E8"/>
      </x:bottom>
    </x:border>
    <x:border>
      <x:right style="thin">
        <x:color rgb="FFD9E1E8"/>
      </x:right>
      <x:bottom style="thin">
        <x:color rgb="FFD9E1E8"/>
      </x:bottom>
    </x:border>
  </x:borders>
  <x:cellStyleXfs count="1">
    <x:xf numFmtId="0" fontId="0" fillId="0" borderId="0"/>
  </x:cellStyleXfs>
  <x:cellXfs count="1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3" fontId="0" fillId="4" borderId="0" xfId="0" applyNumberFormat="1" applyFont="1" applyFill="1" applyBorder="1"/>
    <x:xf numFmtId="202" fontId="0" fillId="4" borderId="0" xfId="0" applyNumberFormat="1" applyFont="1" applyFill="1" applyBorder="1"/>
    <x:xf numFmtId="203" fontId="3" fillId="4" borderId="0" xfId="0" applyNumberFormat="1" applyFont="1" applyFill="1" applyBorder="1"/>
    <x:xf numFmtId="202" fontId="3" fillId="4" borderId="0" xfId="0" applyNumberFormat="1" applyFont="1" applyFill="1" applyBorder="1"/>
    <x:xf numFmtId="203" fontId="3" fillId="4" borderId="4" xfId="0" applyNumberFormat="1" applyFont="1" applyFill="1" applyBorder="1"/>
    <x:xf numFmtId="202" fontId="3" fillId="4" borderId="4"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4"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5" fillId="0" borderId="0" xfId="0" applyNumberFormat="1" applyFont="1" applyFill="1" applyBorder="1"/>
    <x:xf numFmtId="201" fontId="5" fillId="0" borderId="0" xfId="0" applyNumberFormat="1" applyFont="1" applyFill="1" applyBorder="1"/>
    <x:xf numFmtId="0" fontId="5" fillId="0" borderId="5" xfId="0" applyNumberFormat="1" applyFont="1" applyFill="1" applyBorder="1"/>
    <x:xf numFmtId="201" fontId="5" fillId="0" borderId="5" xfId="0" applyNumberFormat="1" applyFont="1" applyFill="1" applyBorder="1"/>
    <x:xf numFmtId="0" fontId="4" fillId="5" borderId="0" xfId="0" applyNumberFormat="1" applyFont="1" applyFill="1" applyBorder="1" applyAlignment="1">
      <x:alignment vertical="top" wrapText="1"/>
    </x:xf>
    <x:xf numFmtId="201" fontId="0" fillId="4" borderId="0" xfId="0" applyNumberFormat="1" applyFont="1" applyFill="1" applyBorder="1"/>
    <x:xf numFmtId="201" fontId="3" fillId="4" borderId="0" xfId="0" applyNumberFormat="1" applyFont="1" applyFill="1" applyBorder="1"/>
    <x:xf numFmtId="201" fontId="3" fillId="4" borderId="4" xfId="0" applyNumberFormat="1" applyFont="1" applyFill="1" applyBorder="1"/>
    <x:xf numFmtId="0" fontId="6" fillId="2" borderId="0" xfId="0" applyNumberFormat="1" applyFont="1" applyFill="1" applyBorder="1"/>
    <x:xf numFmtId="204" fontId="0" fillId="0" borderId="0" xfId="0" applyNumberFormat="1" applyFont="1" applyFill="1" applyBorder="1"/>
    <x:xf numFmtId="204" fontId="5" fillId="0" borderId="0" xfId="0" applyNumberFormat="1" applyFont="1" applyFill="1" applyBorder="1"/>
    <x:xf numFmtId="0" fontId="5" fillId="0" borderId="6" xfId="0" applyNumberFormat="1" applyFont="1" applyFill="1" applyBorder="1"/>
    <x:xf numFmtId="201" fontId="5" fillId="0" borderId="6" xfId="0" applyNumberFormat="1" applyFont="1" applyFill="1" applyBorder="1"/>
    <x:xf numFmtId="0" fontId="5" fillId="0" borderId="7" xfId="0" applyNumberFormat="1" applyFont="1" applyFill="1" applyBorder="1"/>
    <x:xf numFmtId="204" fontId="5" fillId="0" borderId="7" xfId="0" applyNumberFormat="1" applyFont="1" applyFill="1" applyBorder="1"/>
    <x:xf numFmtId="202" fontId="2" fillId="3" borderId="2" xfId="0" applyNumberFormat="1" applyFont="1" applyFill="1" applyBorder="1" applyAlignment="1">
      <x:alignment vertical="center" wrapText="1"/>
    </x:xf>
    <x:xf numFmtId="202" fontId="2" fillId="3" borderId="3"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horizontal="center"/>
    </x:xf>
    <x:xf numFmtId="0" fontId="9" fillId="8" borderId="0" xfId="0" applyNumberFormat="1" applyFont="1" applyFill="1" applyBorder="1"/>
    <x:xf numFmtId="204" fontId="9" fillId="8" borderId="0" xfId="0" applyNumberFormat="1" applyFont="1" applyFill="1" applyBorder="1"/>
    <x:xf numFmtId="204" fontId="9" fillId="8" borderId="0" xfId="0" applyNumberFormat="1" applyFont="1" applyFill="1" applyBorder="1" applyAlignment="1">
      <x:alignment horizontal="center"/>
    </x:xf>
    <x:xf numFmtId="204" fontId="9" fillId="8" borderId="0" xfId="0" applyNumberFormat="1" applyFont="1" applyFill="1" applyBorder="1" applyAlignment="1">
      <x:alignment horizontal="center" vertical="center"/>
    </x:xf>
    <x:xf numFmtId="0" fontId="10" fillId="8" borderId="0" xfId="0" applyNumberFormat="1" applyFont="1" applyFill="1" applyBorder="1"/>
    <x:xf numFmtId="0" fontId="10" fillId="8" borderId="8" xfId="0" applyNumberFormat="1" applyFont="1" applyFill="1" applyBorder="1"/>
    <x:xf numFmtId="0" fontId="10" fillId="8" borderId="8" xfId="0" applyNumberFormat="1" applyFont="1" applyFill="1" applyBorder="1" applyAlignment="1">
      <x:alignment wrapText="1"/>
    </x:xf>
    <x:xf numFmtId="0" fontId="10" fillId="8" borderId="8" xfId="0" applyNumberFormat="1" applyFont="1" applyFill="1" applyBorder="1" applyAlignment="1">
      <x:alignment horizontal="center" wrapText="1"/>
    </x:xf>
    <x:xf numFmtId="0" fontId="8" fillId="8" borderId="9" xfId="0" applyNumberFormat="1" applyFont="1" applyFill="1" applyBorder="1" applyAlignment="1">
      <x:alignment horizontal="center"/>
    </x:xf>
    <x:xf numFmtId="0" fontId="8" fillId="8" borderId="10" xfId="0" applyNumberFormat="1" applyFont="1" applyFill="1" applyBorder="1" applyAlignment="1">
      <x:alignment horizontal="center"/>
    </x:xf>
    <x:xf numFmtId="0" fontId="8" fillId="8" borderId="11" xfId="0" applyNumberFormat="1" applyFont="1" applyFill="1" applyBorder="1" applyAlignment="1">
      <x:alignment horizontal="center"/>
    </x:xf>
    <x:xf numFmtId="204" fontId="9" fillId="8" borderId="12" xfId="0" applyNumberFormat="1" applyFont="1" applyFill="1" applyBorder="1" applyAlignment="1">
      <x:alignment horizontal="center" vertical="center"/>
    </x:xf>
    <x:xf numFmtId="204" fontId="9" fillId="8" borderId="13" xfId="0" applyNumberFormat="1" applyFont="1" applyFill="1" applyBorder="1" applyAlignment="1">
      <x:alignment horizontal="center" vertical="center"/>
    </x:xf>
    <x:xf numFmtId="0" fontId="10" fillId="8" borderId="14" xfId="0" applyNumberFormat="1" applyFont="1" applyFill="1" applyBorder="1" applyAlignment="1">
      <x:alignment horizontal="center" wrapText="1"/>
    </x:xf>
    <x:xf numFmtId="0" fontId="10" fillId="8" borderId="15" xfId="0" applyNumberFormat="1" applyFont="1" applyFill="1" applyBorder="1" applyAlignment="1">
      <x:alignment horizontal="center" wrapText="1"/>
    </x:xf>
    <x:xf numFmtId="0" fontId="10" fillId="8" borderId="16" xfId="0" applyNumberFormat="1" applyFont="1" applyFill="1" applyBorder="1" applyAlignment="1">
      <x:alignment horizontal="center" wrapText="1"/>
    </x:xf>
    <x:xf numFmtId="0" fontId="8" fillId="7" borderId="0" xfId="0" applyNumberFormat="1" applyFont="1" applyFill="1" applyBorder="1"/>
    <x:xf numFmtId="0" fontId="8" fillId="7" borderId="0" xfId="0" applyNumberFormat="1" applyFont="1" applyFill="1" applyBorder="1" applyAlignment="1">
      <x:alignment horizontal="center"/>
    </x:xf>
    <x:xf numFmtId="0" fontId="9" fillId="7" borderId="0" xfId="0" applyNumberFormat="1" applyFont="1" applyFill="1" applyBorder="1"/>
    <x:xf numFmtId="204" fontId="9" fillId="7" borderId="0" xfId="0" applyNumberFormat="1" applyFont="1" applyFill="1" applyBorder="1"/>
    <x:xf numFmtId="204" fontId="9" fillId="7" borderId="0" xfId="0" applyNumberFormat="1" applyFont="1" applyFill="1" applyBorder="1" applyAlignment="1">
      <x:alignment horizontal="center"/>
    </x:xf>
    <x:xf numFmtId="204" fontId="9" fillId="7" borderId="0" xfId="0" applyNumberFormat="1" applyFont="1" applyFill="1" applyBorder="1" applyAlignment="1">
      <x:alignment horizontal="center" vertical="center"/>
    </x:xf>
    <x:xf numFmtId="0" fontId="10" fillId="7" borderId="0" xfId="0" applyNumberFormat="1" applyFont="1" applyFill="1" applyBorder="1"/>
    <x:xf numFmtId="0" fontId="10" fillId="7" borderId="8" xfId="0" applyNumberFormat="1" applyFont="1" applyFill="1" applyBorder="1"/>
    <x:xf numFmtId="0" fontId="10" fillId="7" borderId="8" xfId="0" applyNumberFormat="1" applyFont="1" applyFill="1" applyBorder="1" applyAlignment="1">
      <x:alignment wrapText="1"/>
    </x:xf>
    <x:xf numFmtId="0" fontId="10" fillId="7" borderId="8" xfId="0" applyNumberFormat="1" applyFont="1" applyFill="1" applyBorder="1" applyAlignment="1">
      <x:alignment horizontal="center" wrapText="1"/>
    </x:xf>
    <x:xf numFmtId="0" fontId="8" fillId="7" borderId="9" xfId="0" applyNumberFormat="1" applyFont="1" applyFill="1" applyBorder="1" applyAlignment="1">
      <x:alignment horizontal="center"/>
    </x:xf>
    <x:xf numFmtId="0" fontId="8" fillId="7" borderId="10" xfId="0" applyNumberFormat="1" applyFont="1" applyFill="1" applyBorder="1" applyAlignment="1">
      <x:alignment horizontal="center"/>
    </x:xf>
    <x:xf numFmtId="0" fontId="8" fillId="7" borderId="11" xfId="0" applyNumberFormat="1" applyFont="1" applyFill="1" applyBorder="1" applyAlignment="1">
      <x:alignment horizontal="center"/>
    </x:xf>
    <x:xf numFmtId="204" fontId="9" fillId="7" borderId="12" xfId="0" applyNumberFormat="1" applyFont="1" applyFill="1" applyBorder="1" applyAlignment="1">
      <x:alignment horizontal="center" vertical="center"/>
    </x:xf>
    <x:xf numFmtId="204" fontId="9" fillId="7" borderId="13" xfId="0" applyNumberFormat="1" applyFont="1" applyFill="1" applyBorder="1" applyAlignment="1">
      <x:alignment horizontal="center" vertical="center"/>
    </x:xf>
    <x:xf numFmtId="0" fontId="10" fillId="7" borderId="14" xfId="0" applyNumberFormat="1" applyFont="1" applyFill="1" applyBorder="1" applyAlignment="1">
      <x:alignment horizontal="center" wrapText="1"/>
    </x:xf>
    <x:xf numFmtId="0" fontId="10" fillId="7" borderId="15" xfId="0" applyNumberFormat="1" applyFont="1" applyFill="1" applyBorder="1" applyAlignment="1">
      <x:alignment horizontal="center" wrapText="1"/>
    </x:xf>
    <x:xf numFmtId="0" fontId="10" fillId="7" borderId="16" xfId="0" applyNumberFormat="1" applyFont="1" applyFill="1" applyBorder="1" applyAlignment="1">
      <x:alignment horizontal="center" wrapText="1"/>
    </x:xf>
    <x:xf numFmtId="0" fontId="8" fillId="4" borderId="0" xfId="0" applyNumberFormat="1" applyFont="1" applyFill="1" applyBorder="1"/>
    <x:xf numFmtId="0" fontId="8" fillId="4" borderId="0" xfId="0" applyNumberFormat="1" applyFont="1" applyFill="1" applyBorder="1" applyAlignment="1">
      <x:alignment horizontal="center"/>
    </x:xf>
    <x:xf numFmtId="0" fontId="9" fillId="4" borderId="0" xfId="0" applyNumberFormat="1" applyFont="1" applyFill="1" applyBorder="1"/>
    <x:xf numFmtId="203" fontId="9" fillId="4" borderId="0" xfId="0" applyNumberFormat="1" applyFont="1" applyFill="1" applyBorder="1"/>
    <x:xf numFmtId="203" fontId="9" fillId="4" borderId="0" xfId="0" applyNumberFormat="1" applyFont="1" applyFill="1" applyBorder="1" applyAlignment="1">
      <x:alignment horizontal="center"/>
    </x:xf>
    <x:xf numFmtId="203" fontId="9" fillId="4" borderId="0" xfId="0" applyNumberFormat="1" applyFont="1" applyFill="1" applyBorder="1" applyAlignment="1">
      <x:alignment horizontal="center" vertical="center"/>
    </x:xf>
    <x:xf numFmtId="0" fontId="10" fillId="4" borderId="0" xfId="0" applyNumberFormat="1" applyFont="1" applyFill="1" applyBorder="1"/>
    <x:xf numFmtId="0" fontId="10" fillId="4" borderId="8" xfId="0" applyNumberFormat="1" applyFont="1" applyFill="1" applyBorder="1"/>
    <x:xf numFmtId="0" fontId="10" fillId="4" borderId="8" xfId="0" applyNumberFormat="1" applyFont="1" applyFill="1" applyBorder="1" applyAlignment="1">
      <x:alignment wrapText="1"/>
    </x:xf>
    <x:xf numFmtId="0" fontId="10" fillId="4" borderId="8" xfId="0" applyNumberFormat="1" applyFont="1" applyFill="1" applyBorder="1" applyAlignment="1">
      <x:alignment horizontal="center" wrapText="1"/>
    </x:xf>
    <x:xf numFmtId="0" fontId="8" fillId="4" borderId="9" xfId="0" applyNumberFormat="1" applyFont="1" applyFill="1" applyBorder="1" applyAlignment="1">
      <x:alignment horizontal="center"/>
    </x:xf>
    <x:xf numFmtId="0" fontId="8" fillId="4" borderId="10" xfId="0" applyNumberFormat="1" applyFont="1" applyFill="1" applyBorder="1" applyAlignment="1">
      <x:alignment horizontal="center"/>
    </x:xf>
    <x:xf numFmtId="0" fontId="8" fillId="4" borderId="11" xfId="0" applyNumberFormat="1" applyFont="1" applyFill="1" applyBorder="1" applyAlignment="1">
      <x:alignment horizontal="center"/>
    </x:xf>
    <x:xf numFmtId="203" fontId="9" fillId="4" borderId="12" xfId="0" applyNumberFormat="1" applyFont="1" applyFill="1" applyBorder="1" applyAlignment="1">
      <x:alignment horizontal="center" vertical="center"/>
    </x:xf>
    <x:xf numFmtId="203" fontId="9" fillId="4" borderId="13" xfId="0" applyNumberFormat="1" applyFont="1" applyFill="1" applyBorder="1" applyAlignment="1">
      <x:alignment horizontal="center" vertical="center"/>
    </x:xf>
    <x:xf numFmtId="0" fontId="10" fillId="4" borderId="14" xfId="0" applyNumberFormat="1" applyFont="1" applyFill="1" applyBorder="1" applyAlignment="1">
      <x:alignment horizontal="center" wrapText="1"/>
    </x:xf>
    <x:xf numFmtId="0" fontId="10" fillId="4" borderId="15" xfId="0" applyNumberFormat="1" applyFont="1" applyFill="1" applyBorder="1" applyAlignment="1">
      <x:alignment horizontal="center" wrapText="1"/>
    </x:xf>
    <x:xf numFmtId="0" fontId="10" fillId="4" borderId="16" xfId="0" applyNumberFormat="1" applyFont="1" applyFill="1" applyBorder="1" applyAlignment="1">
      <x:alignment horizontal="center" wrapText="1"/>
    </x:xf>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vertical="top" wrapText="1"/>
    </x:xf>
    <x:xf numFmtId="0" fontId="12" fillId="7" borderId="0" xfId="0" applyNumberFormat="1" applyFont="1" applyFill="1" applyBorder="1"/>
    <x:xf numFmtId="0" fontId="12" fillId="7" borderId="0" xfId="0" applyNumberFormat="1" applyFont="1" applyFill="1" applyBorder="1" applyAlignment="1">
      <x:alignment horizontal="center"/>
    </x:xf>
    <x:xf numFmtId="0" fontId="13" fillId="0" borderId="0" xfId="0" applyNumberFormat="1" applyFont="1" applyFill="1" applyBorder="1"/>
    <x:xf numFmtId="0" fontId="14" fillId="7" borderId="0" xfId="0" applyNumberFormat="1" applyFont="1" applyFill="1" applyBorder="1" applyAlignment="1">
      <x:alignment horizontal="center"/>
    </x:xf>
    <x:xf numFmtId="0" fontId="15" fillId="8" borderId="9" xfId="0" applyNumberFormat="1" applyFont="1" applyFill="1" applyBorder="1" applyAlignment="1">
      <x:alignment horizontal="center"/>
    </x:xf>
    <x:xf numFmtId="0" fontId="15" fillId="8" borderId="10" xfId="0" applyNumberFormat="1" applyFont="1" applyFill="1" applyBorder="1" applyAlignment="1">
      <x:alignment horizontal="center"/>
    </x:xf>
    <x:xf numFmtId="0" fontId="15" fillId="8" borderId="11" xfId="0" applyNumberFormat="1" applyFont="1" applyFill="1" applyBorder="1" applyAlignment="1">
      <x:alignment horizontal="center"/>
    </x:xf>
    <x:xf numFmtId="0" fontId="15" fillId="7" borderId="9" xfId="0" applyNumberFormat="1" applyFont="1" applyFill="1" applyBorder="1" applyAlignment="1">
      <x:alignment horizontal="center"/>
    </x:xf>
    <x:xf numFmtId="0" fontId="15" fillId="7" borderId="10" xfId="0" applyNumberFormat="1" applyFont="1" applyFill="1" applyBorder="1" applyAlignment="1">
      <x:alignment horizontal="center"/>
    </x:xf>
    <x:xf numFmtId="0" fontId="15" fillId="7" borderId="11" xfId="0" applyNumberFormat="1" applyFont="1" applyFill="1" applyBorder="1" applyAlignment="1">
      <x:alignment horizontal="center"/>
    </x:xf>
    <x:xf numFmtId="0" fontId="15" fillId="4" borderId="9" xfId="0" applyNumberFormat="1" applyFont="1" applyFill="1" applyBorder="1" applyAlignment="1">
      <x:alignment horizontal="center"/>
    </x:xf>
    <x:xf numFmtId="0" fontId="15" fillId="4" borderId="10" xfId="0" applyNumberFormat="1" applyFont="1" applyFill="1" applyBorder="1" applyAlignment="1">
      <x:alignment horizontal="center"/>
    </x:xf>
    <x:xf numFmtId="0" fontId="15" fillId="4" borderId="11" xfId="0" applyNumberFormat="1" applyFont="1" applyFill="1" applyBorder="1" applyAlignment="1">
      <x:alignment horizontal="center"/>
    </x:xf>
    <x:xf numFmtId="204" fontId="16" fillId="8" borderId="12" xfId="0" applyNumberFormat="1" applyFont="1" applyFill="1" applyBorder="1" applyAlignment="1">
      <x:alignment horizontal="center" vertical="center"/>
    </x:xf>
    <x:xf numFmtId="204" fontId="16" fillId="8" borderId="0" xfId="0" applyNumberFormat="1" applyFont="1" applyFill="1" applyBorder="1" applyAlignment="1">
      <x:alignment horizontal="center" vertical="center"/>
    </x:xf>
    <x:xf numFmtId="204" fontId="16" fillId="8" borderId="13" xfId="0" applyNumberFormat="1" applyFont="1" applyFill="1" applyBorder="1" applyAlignment="1">
      <x:alignment horizontal="center" vertical="center"/>
    </x:xf>
    <x:xf numFmtId="204" fontId="16" fillId="7" borderId="12" xfId="0" applyNumberFormat="1" applyFont="1" applyFill="1" applyBorder="1" applyAlignment="1">
      <x:alignment horizontal="center" vertical="center"/>
    </x:xf>
    <x:xf numFmtId="204" fontId="16" fillId="7" borderId="0" xfId="0" applyNumberFormat="1" applyFont="1" applyFill="1" applyBorder="1" applyAlignment="1">
      <x:alignment horizontal="center" vertical="center"/>
    </x:xf>
    <x:xf numFmtId="204" fontId="16" fillId="7" borderId="13" xfId="0" applyNumberFormat="1" applyFont="1" applyFill="1" applyBorder="1" applyAlignment="1">
      <x:alignment horizontal="center" vertical="center"/>
    </x:xf>
    <x:xf numFmtId="203" fontId="16" fillId="4" borderId="12" xfId="0" applyNumberFormat="1" applyFont="1" applyFill="1" applyBorder="1" applyAlignment="1">
      <x:alignment horizontal="center" vertical="center"/>
    </x:xf>
    <x:xf numFmtId="203" fontId="16" fillId="4" borderId="0" xfId="0" applyNumberFormat="1" applyFont="1" applyFill="1" applyBorder="1" applyAlignment="1">
      <x:alignment horizontal="center" vertical="center"/>
    </x:xf>
    <x:xf numFmtId="203" fontId="16" fillId="4" borderId="13" xfId="0" applyNumberFormat="1" applyFont="1" applyFill="1" applyBorder="1" applyAlignment="1">
      <x:alignment horizontal="center" vertical="center"/>
    </x:xf>
    <x:xf numFmtId="0" fontId="17" fillId="8" borderId="14" xfId="0" applyNumberFormat="1" applyFont="1" applyFill="1" applyBorder="1" applyAlignment="1">
      <x:alignment horizontal="center" wrapText="1"/>
    </x:xf>
    <x:xf numFmtId="0" fontId="17" fillId="8" borderId="15" xfId="0" applyNumberFormat="1" applyFont="1" applyFill="1" applyBorder="1" applyAlignment="1">
      <x:alignment horizontal="center" wrapText="1"/>
    </x:xf>
    <x:xf numFmtId="0" fontId="17" fillId="8" borderId="16" xfId="0" applyNumberFormat="1" applyFont="1" applyFill="1" applyBorder="1" applyAlignment="1">
      <x:alignment horizontal="center" wrapText="1"/>
    </x:xf>
    <x:xf numFmtId="0" fontId="17" fillId="7" borderId="14" xfId="0" applyNumberFormat="1" applyFont="1" applyFill="1" applyBorder="1" applyAlignment="1">
      <x:alignment horizontal="center" wrapText="1"/>
    </x:xf>
    <x:xf numFmtId="0" fontId="17" fillId="7" borderId="15" xfId="0" applyNumberFormat="1" applyFont="1" applyFill="1" applyBorder="1" applyAlignment="1">
      <x:alignment horizontal="center" wrapText="1"/>
    </x:xf>
    <x:xf numFmtId="0" fontId="17" fillId="7" borderId="16" xfId="0" applyNumberFormat="1" applyFont="1" applyFill="1" applyBorder="1" applyAlignment="1">
      <x:alignment horizontal="center" wrapText="1"/>
    </x:xf>
    <x:xf numFmtId="0" fontId="17" fillId="4" borderId="14" xfId="0" applyNumberFormat="1" applyFont="1" applyFill="1" applyBorder="1" applyAlignment="1">
      <x:alignment horizontal="center" wrapText="1"/>
    </x:xf>
    <x:xf numFmtId="0" fontId="17" fillId="4" borderId="15" xfId="0" applyNumberFormat="1" applyFont="1" applyFill="1" applyBorder="1" applyAlignment="1">
      <x:alignment horizontal="center" wrapText="1"/>
    </x:xf>
    <x:xf numFmtId="0" fontId="17" fillId="4" borderId="16" xfId="0" applyNumberFormat="1" applyFont="1" applyFill="1" applyBorder="1" applyAlignment="1">
      <x:alignment horizontal="center" wrapText="1"/>
    </x:xf>
    <x:xf numFmtId="0" fontId="18" fillId="2" borderId="0" xfId="0" applyNumberFormat="1" applyFont="1" applyFill="1" applyBorder="1"/>
    <x:xf numFmtId="0" fontId="19" fillId="5" borderId="0" xfId="0" applyNumberFormat="1" applyFont="1" applyFill="1" applyBorder="1" applyAlignment="1">
      <x:alignment vertical="top" wrapText="1"/>
    </x:xf>
    <x:xf numFmtId="201" fontId="13" fillId="0" borderId="0" xfId="0" applyNumberFormat="1" applyFont="1" applyFill="1" applyBorder="1"/>
    <x:xf numFmtId="202" fontId="13" fillId="0" borderId="0" xfId="0" applyNumberFormat="1" applyFont="1" applyFill="1" applyBorder="1"/>
    <x:xf numFmtId="204" fontId="13" fillId="0" borderId="0" xfId="0" applyNumberFormat="1" applyFont="1" applyFill="1" applyBorder="1"/>
    <x:xf numFmtId="0" fontId="20" fillId="7" borderId="0" xfId="0" applyNumberFormat="1" applyFont="1" applyFill="1" applyBorder="1" applyAlignment="1">
      <x:alignment horizontal="center"/>
    </x:xf>
    <x:xf numFmtId="0" fontId="13" fillId="0" borderId="0" xfId="0" applyNumberFormat="1" applyFont="1" applyFill="1" applyBorder="1" applyAlignment="1">
      <x:alignment vertical="top" wrapText="1"/>
    </x:xf>
    <x:xf numFmtId="200" fontId="13" fillId="0" borderId="0" xfId="0" applyNumberFormat="1" applyFont="1" applyFill="1" applyBorder="1"/>
    <x:xf numFmtId="203" fontId="21" fillId="4" borderId="4" xfId="0" applyNumberFormat="1" applyFont="1" applyFill="1" applyBorder="1"/>
    <x:xf numFmtId="202" fontId="21" fillId="4" borderId="4" xfId="0" applyNumberFormat="1" applyFont="1" applyFill="1" applyBorder="1"/>
    <x:xf numFmtId="0" fontId="21" fillId="4" borderId="4" xfId="0" applyNumberFormat="1" applyFont="1" applyFill="1" applyBorder="1"/>
    <x:xf numFmtId="0" fontId="22" fillId="5" borderId="0" xfId="0" applyNumberFormat="1" applyFont="1" applyFill="1" applyBorder="1" applyAlignment="1">
      <x:alignment wrapText="1"/>
    </x:xf>
    <x:xf numFmtId="0" fontId="2" fillId="0" borderId="5" xfId="0" applyNumberFormat="1" applyFont="1" applyFill="1" applyBorder="1"/>
    <x:xf numFmtId="201" fontId="2" fillId="0" borderId="5" xfId="0" applyNumberFormat="1" applyFont="1" applyFill="1" applyBorder="1"/>
    <x:xf numFmtId="203" fontId="13" fillId="0" borderId="0" xfId="0" applyNumberFormat="1" applyFont="1" applyFill="1" applyBorder="1"/>
    <x:xf numFmtId="0" fontId="22" fillId="5" borderId="0" xfId="0" applyNumberFormat="1" applyFont="1" applyFill="1" applyBorder="1" applyAlignment="1">
      <x:alignment vertical="top" wrapText="1"/>
    </x:xf>
    <x:xf numFmtId="201" fontId="21" fillId="4" borderId="4" xfId="0" applyNumberFormat="1" applyFont="1" applyFill="1" applyBorder="1"/>
    <x:xf numFmtId="0" fontId="13" fillId="0" borderId="0" xfId="0" applyNumberFormat="1" applyFont="1" applyFill="1" applyBorder="1" applyAlignment="1">
      <x:alignment wrapText="1"/>
    </x:xf>
    <x:xf numFmtId="0" fontId="2" fillId="0" borderId="6" xfId="0" applyNumberFormat="1" applyFont="1" applyFill="1" applyBorder="1"/>
    <x:xf numFmtId="201" fontId="2" fillId="0" borderId="6" xfId="0" applyNumberFormat="1" applyFont="1" applyFill="1" applyBorder="1"/>
    <x:xf numFmtId="0" fontId="2" fillId="0" borderId="0" xfId="0" applyNumberFormat="1" applyFont="1" applyFill="1" applyBorder="1"/>
    <x:xf numFmtId="201" fontId="2" fillId="0" borderId="0" xfId="0" applyNumberFormat="1" applyFont="1" applyFill="1" applyBorder="1"/>
    <x:xf numFmtId="0" fontId="2" fillId="0" borderId="7" xfId="0" applyNumberFormat="1" applyFont="1" applyFill="1" applyBorder="1"/>
    <x:xf numFmtId="204" fontId="2" fillId="0" borderId="7" xfId="0" applyNumberFormat="1" applyFont="1" applyFill="1" applyBorder="1"/>
    <x:xf numFmtId="0" fontId="22" fillId="5" borderId="0" xfId="0" applyNumberFormat="1" applyFont="1" applyFill="1" applyBorder="1"/>
    <x:xf numFmtId="0" fontId="2"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91fde2536f4965" /><Relationship Type="http://schemas.openxmlformats.org/officeDocument/2006/relationships/theme" Target="/xl/theme/theme1.xml" Id="R491d0154f1244b08" /><Relationship Type="http://schemas.openxmlformats.org/officeDocument/2006/relationships/sharedStrings" Target="/xl/sharedStrings.xml" Id="R445ebb6dbdf94a8a" /><Relationship Type="http://schemas.openxmlformats.org/officeDocument/2006/relationships/worksheet" Target="/xl/worksheets/sheet1.xml" Id="R861fb096d9bd4ddd" /><Relationship Type="http://schemas.openxmlformats.org/officeDocument/2006/relationships/worksheet" Target="/xl/worksheets/sheet2.xml" Id="R7b33bc32f4814aeb" /><Relationship Type="http://schemas.openxmlformats.org/officeDocument/2006/relationships/worksheet" Target="/xl/worksheets/sheet3.xml" Id="R26543937ff674ce6" /><Relationship Type="http://schemas.openxmlformats.org/officeDocument/2006/relationships/worksheet" Target="/xl/worksheets/sheet4.xml" Id="R41e5ba7348314d37" /><Relationship Type="http://schemas.openxmlformats.org/officeDocument/2006/relationships/worksheet" Target="/xl/worksheets/sheet5.xml" Id="R43494c177e3b4707" /><Relationship Type="http://schemas.openxmlformats.org/officeDocument/2006/relationships/worksheet" Target="/xl/worksheets/sheet6.xml" Id="R23950f2f2e8d4ca3" /><Relationship Type="http://schemas.openxmlformats.org/officeDocument/2006/relationships/worksheet" Target="/xl/worksheets/sheet7.xml" Id="R3cc8b94f67334a4f" /><Relationship Type="http://schemas.openxmlformats.org/officeDocument/2006/relationships/worksheet" Target="/xl/worksheets/sheet8.xml" Id="Rc8d2149227a14c95" /><Relationship Type="http://schemas.openxmlformats.org/officeDocument/2006/relationships/worksheet" Target="/xl/worksheets/sheet9.xml" Id="Re272608b659c4e22" /><Relationship Type="http://schemas.microsoft.com/office/2017/10/relationships/person" Target="/xl/persons/person.xml" Id="R5f47c7866f8f4af5" /></Relationships>
</file>

<file path=xl/persons/person.xml><?xml version="1.0" encoding="utf-8"?>
<xltc:personList xmlns:xltc="http://schemas.microsoft.com/office/spreadsheetml/2018/threadedcomments">
  <xltc:person displayName="Henry Adams" id="{22A9769A-8086-441B-86C6-1001F784C7EE}"/>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4" hidden="0" customWidth="1"/>
    <x:col min="5" max="5" width="15" hidden="0" customWidth="1"/>
    <x:col min="6" max="6" width="15" hidden="0" customWidth="1"/>
    <x:col min="7" max="7" width="15" hidden="0" customWidth="1"/>
    <x:col min="8" max="8" width="17" hidden="0" customWidth="1"/>
    <x:col min="9" max="9" width="17" hidden="0" customWidth="1"/>
    <x:col min="10" max="10" width="18" hidden="0" customWidth="1"/>
    <x:col min="11" max="11" width="15" hidden="0" customWidth="1"/>
    <x:col min="12" max="12" width="18" hidden="0" customWidth="1"/>
  </x:cols>
  <x:sheetData>
    <x:row r="1" ht="30" customHeight="1">
      <x:c r="A1" s="3" t="str">
        <x:v>Grandstand Limited (NASDAQ: GRSD) — Screen-Grade Equity Valuation</x:v>
      </x:c>
      <x:c r="B1" s="3" t="str">
        <x:v>Grandstand Limited (NASDAQ: GRSD) — Screen-Grade Equity Valuation</x:v>
      </x:c>
      <x:c r="C1" s="3" t="str">
        <x:v>Grandstand Limited (NASDAQ: GRSD) — Screen-Grade Equity Valuation</x:v>
      </x:c>
      <x:c r="D1" s="3" t="str">
        <x:v>Grandstand Limited (NASDAQ: GRSD) — Screen-Grade Equity Valuation</x:v>
      </x:c>
      <x:c r="E1" s="3" t="str">
        <x:v>Grandstand Limited (NASDAQ: GRSD) — Screen-Grade Equity Valuation</x:v>
      </x:c>
      <x:c r="F1" s="3" t="str">
        <x:v>Grandstand Limited (NASDAQ: GRSD) — Screen-Grade Equity Valuation</x:v>
      </x:c>
      <x:c r="G1" s="3" t="str">
        <x:v>Grandstand Limited (NASDAQ: GRSD) — Screen-Grade Equity Valuation</x:v>
      </x:c>
      <x:c r="H1" s="3" t="str">
        <x:v>Grandstand Limited (NASDAQ: GRSD) — Screen-Grade Equity Valuation</x:v>
      </x:c>
      <x:c r="I1" s="3" t="str">
        <x:v>Grandstand Limited (NASDAQ: GRSD) — Screen-Grade Equity Valuation</x:v>
      </x:c>
      <x:c r="J1" s="3" t="str">
        <x:v>Grandstand Limited (NASDAQ: GRSD) — Screen-Grade Equity Valuation</x:v>
      </x:c>
      <x:c r="K1" s="3" t="str">
        <x:v>Grandstand Limited (NASDAQ: GRSD) — Screen-Grade Equity Valuation</x:v>
      </x:c>
      <x:c r="L1" s="3" t="str">
        <x:v>Grandstand Limited (NASDAQ: GRSD) — Screen-Grade Equity Valuation</x:v>
      </x:c>
      <x:c r="M1" s="115"/>
      <x:c r="N1" s="115"/>
      <x:c r="O1" s="115"/>
      <x:c r="P1" s="115"/>
      <x:c r="Q1" s="115"/>
      <x:c r="R1" s="115"/>
      <x:c r="S1" s="115"/>
      <x:c r="T1" s="115"/>
      <x:c r="U1" s="115"/>
      <x:c r="V1" s="115"/>
      <x:c r="W1" s="115"/>
      <x:c r="X1" s="115"/>
      <x:c r="Y1" s="115"/>
      <x:c r="Z1" s="115"/>
    </x:row>
    <x:row r="2">
      <x:c r="A2" s="116" t="str">
        <x:v>Valuation date: 24-Jul-2026 | Output currency: USD | Accounting: IFRS | Primary method: FCFF DCF | Status: screen-grade / locally verified</x:v>
      </x:c>
      <x:c r="B2" s="116"/>
      <x:c r="C2" s="116"/>
      <x:c r="D2" s="116"/>
      <x:c r="E2" s="116"/>
      <x:c r="F2" s="116"/>
      <x:c r="G2" s="116"/>
      <x:c r="H2" s="116"/>
      <x:c r="I2" s="116"/>
      <x:c r="J2" s="116"/>
      <x:c r="K2" s="116"/>
      <x:c r="L2" s="116"/>
      <x:c r="M2" s="115"/>
      <x:c r="N2" s="115"/>
      <x:c r="O2" s="115"/>
      <x:c r="P2" s="115"/>
      <x:c r="Q2" s="115"/>
      <x:c r="R2" s="115"/>
      <x:c r="S2" s="115"/>
      <x:c r="T2" s="115"/>
      <x:c r="U2" s="115"/>
      <x:c r="V2" s="115"/>
      <x:c r="W2" s="115"/>
      <x:c r="X2" s="115"/>
      <x:c r="Y2" s="115"/>
      <x:c r="Z2" s="115"/>
    </x:row>
    <x:row r="3">
      <x:c r="A3" s="115"/>
      <x:c r="B3" s="115"/>
      <x:c r="C3" s="115"/>
      <x:c r="D3" s="115"/>
      <x:c r="E3" s="115"/>
      <x:c r="F3" s="115"/>
      <x:c r="G3" s="115"/>
      <x:c r="H3" s="115"/>
      <x:c r="I3" s="115"/>
      <x:c r="J3" s="115"/>
      <x:c r="K3" s="115"/>
      <x:c r="L3" s="115"/>
      <x:c r="M3" s="115"/>
      <x:c r="N3" s="115"/>
      <x:c r="O3" s="115"/>
      <x:c r="P3" s="115"/>
      <x:c r="Q3" s="115"/>
      <x:c r="R3" s="115"/>
      <x:c r="S3" s="115"/>
      <x:c r="T3" s="115"/>
      <x:c r="U3" s="115"/>
      <x:c r="V3" s="115"/>
      <x:c r="W3" s="115"/>
      <x:c r="X3" s="115"/>
      <x:c r="Y3" s="115"/>
      <x:c r="Z3" s="115"/>
    </x:row>
    <x:row r="4">
      <x:c r="A4" s="117" t="str">
        <x:v>Base DCF value / share</x:v>
      </x:c>
      <x:c r="B4" s="118"/>
      <x:c r="C4" s="119"/>
      <x:c r="D4" s="115"/>
      <x:c r="E4" s="120" t="str">
        <x:v>Frozen market price</x:v>
      </x:c>
      <x:c r="F4" s="121"/>
      <x:c r="G4" s="122"/>
      <x:c r="H4" s="115"/>
      <x:c r="I4" s="123" t="str">
        <x:v>Base value / market price (x)</x:v>
      </x:c>
      <x:c r="J4" s="124"/>
      <x:c r="K4" s="124"/>
      <x:c r="L4" s="125"/>
      <x:c r="M4" s="115"/>
      <x:c r="N4" s="115"/>
      <x:c r="O4" s="115"/>
      <x:c r="P4" s="115"/>
      <x:c r="Q4" s="115"/>
      <x:c r="R4" s="115"/>
      <x:c r="S4" s="115"/>
      <x:c r="T4" s="115"/>
      <x:c r="U4" s="115"/>
      <x:c r="V4" s="115"/>
      <x:c r="W4" s="115"/>
      <x:c r="X4" s="115"/>
      <x:c r="Y4" s="115"/>
      <x:c r="Z4" s="115"/>
    </x:row>
    <x:row r="5">
      <x:c r="A5" s="126" t="n">
        <x:f>ROUND(DCF!H18,2)</x:f>
        <x:v>8.71</x:v>
      </x:c>
      <x:c r="B5" s="127"/>
      <x:c r="C5" s="128"/>
      <x:c r="D5" s="115"/>
      <x:c r="E5" s="129" t="n">
        <x:f>ROUND(Assumptions!B5,2)</x:f>
        <x:v>1.73</x:v>
      </x:c>
      <x:c r="F5" s="130"/>
      <x:c r="G5" s="131"/>
      <x:c r="H5" s="115"/>
      <x:c r="I5" s="132" t="n">
        <x:f>ROUND(DCF!H18/Assumptions!B5,2)</x:f>
        <x:v>5.04</x:v>
      </x:c>
      <x:c r="J5" s="133"/>
      <x:c r="K5" s="133"/>
      <x:c r="L5" s="134"/>
      <x:c r="M5" s="115"/>
      <x:c r="N5" s="115"/>
      <x:c r="O5" s="115"/>
      <x:c r="P5" s="115"/>
      <x:c r="Q5" s="115"/>
      <x:c r="R5" s="115"/>
      <x:c r="S5" s="115"/>
      <x:c r="T5" s="115"/>
      <x:c r="U5" s="115"/>
      <x:c r="V5" s="115"/>
      <x:c r="W5" s="115"/>
      <x:c r="X5" s="115"/>
      <x:c r="Y5" s="115"/>
      <x:c r="Z5" s="115"/>
    </x:row>
    <x:row r="6">
      <x:c r="A6" s="126"/>
      <x:c r="B6" s="127"/>
      <x:c r="C6" s="128"/>
      <x:c r="D6" s="115"/>
      <x:c r="E6" s="129"/>
      <x:c r="F6" s="130"/>
      <x:c r="G6" s="131"/>
      <x:c r="H6" s="115"/>
      <x:c r="I6" s="132"/>
      <x:c r="J6" s="133"/>
      <x:c r="K6" s="133"/>
      <x:c r="L6" s="134"/>
      <x:c r="M6" s="115"/>
      <x:c r="N6" s="115"/>
      <x:c r="O6" s="115"/>
      <x:c r="P6" s="115"/>
      <x:c r="Q6" s="115"/>
      <x:c r="R6" s="115"/>
      <x:c r="S6" s="115"/>
      <x:c r="T6" s="115"/>
      <x:c r="U6" s="115"/>
      <x:c r="V6" s="115"/>
      <x:c r="W6" s="115"/>
      <x:c r="X6" s="115"/>
      <x:c r="Y6" s="115"/>
      <x:c r="Z6" s="115"/>
    </x:row>
    <x:row r="7">
      <x:c r="A7" s="135" t="str">
        <x:v>Explicit FCFF DCF; debt-like bridge included</x:v>
      </x:c>
      <x:c r="B7" s="136"/>
      <x:c r="C7" s="137"/>
      <x:c r="D7" s="115"/>
      <x:c r="E7" s="138" t="str">
        <x:v>23-Jul-2026 close; refresh before use</x:v>
      </x:c>
      <x:c r="F7" s="139"/>
      <x:c r="G7" s="140"/>
      <x:c r="H7" s="115"/>
      <x:c r="I7" s="141" t="str">
        <x:v>Model output, not investment advice</x:v>
      </x:c>
      <x:c r="J7" s="142"/>
      <x:c r="K7" s="142"/>
      <x:c r="L7" s="143"/>
      <x:c r="M7" s="115"/>
      <x:c r="N7" s="115"/>
      <x:c r="O7" s="115"/>
      <x:c r="P7" s="115"/>
      <x:c r="Q7" s="115"/>
      <x:c r="R7" s="115"/>
      <x:c r="S7" s="115"/>
      <x:c r="T7" s="115"/>
      <x:c r="U7" s="115"/>
      <x:c r="V7" s="115"/>
      <x:c r="W7" s="115"/>
      <x:c r="X7" s="115"/>
      <x:c r="Y7" s="115"/>
      <x:c r="Z7" s="115"/>
    </x:row>
    <x:row r="8">
      <x:c r="A8" s="115"/>
      <x:c r="B8" s="115"/>
      <x:c r="C8" s="115"/>
      <x:c r="D8" s="115"/>
      <x:c r="E8" s="115"/>
      <x:c r="F8" s="115"/>
      <x:c r="G8" s="115"/>
      <x:c r="H8" s="115"/>
      <x:c r="I8" s="115"/>
      <x:c r="J8" s="115"/>
      <x:c r="K8" s="115"/>
      <x:c r="L8" s="115"/>
      <x:c r="M8" s="115"/>
      <x:c r="N8" s="115"/>
      <x:c r="O8" s="115"/>
      <x:c r="P8" s="115"/>
      <x:c r="Q8" s="115"/>
      <x:c r="R8" s="115"/>
      <x:c r="S8" s="115"/>
      <x:c r="T8" s="115"/>
      <x:c r="U8" s="115"/>
      <x:c r="V8" s="115"/>
      <x:c r="W8" s="115"/>
      <x:c r="X8" s="115"/>
      <x:c r="Y8" s="115"/>
      <x:c r="Z8" s="115"/>
    </x:row>
    <x:row r="9">
      <x:c r="A9" s="115"/>
      <x:c r="B9" s="115"/>
      <x:c r="C9" s="115"/>
      <x:c r="D9" s="115"/>
      <x:c r="E9" s="115"/>
      <x:c r="F9" s="115"/>
      <x:c r="G9" s="115"/>
      <x:c r="H9" s="115"/>
      <x:c r="I9" s="115"/>
      <x:c r="J9" s="115"/>
      <x:c r="K9" s="115"/>
      <x:c r="L9" s="115"/>
      <x:c r="M9" s="115"/>
      <x:c r="N9" s="115"/>
      <x:c r="O9" s="115"/>
      <x:c r="P9" s="115"/>
      <x:c r="Q9" s="115"/>
      <x:c r="R9" s="115"/>
      <x:c r="S9" s="115"/>
      <x:c r="T9" s="115"/>
      <x:c r="U9" s="115"/>
      <x:c r="V9" s="115"/>
      <x:c r="W9" s="115"/>
      <x:c r="X9" s="115"/>
      <x:c r="Y9" s="115"/>
      <x:c r="Z9" s="115"/>
    </x:row>
    <x:row r="10">
      <x:c r="A10" s="144" t="str">
        <x:v>Valuation conclusion</x:v>
      </x:c>
      <x:c r="B10" s="144"/>
      <x:c r="C10" s="144"/>
      <x:c r="D10" s="144"/>
      <x:c r="E10" s="144"/>
      <x:c r="F10" s="144"/>
      <x:c r="G10" s="115"/>
      <x:c r="H10" s="144" t="str">
        <x:v>Scenario range</x:v>
      </x:c>
      <x:c r="I10" s="144"/>
      <x:c r="J10" s="144"/>
      <x:c r="K10" s="144"/>
      <x:c r="L10" s="144"/>
      <x:c r="M10" s="115"/>
      <x:c r="N10" s="115"/>
      <x:c r="O10" s="115"/>
      <x:c r="P10" s="115"/>
      <x:c r="Q10" s="115"/>
      <x:c r="R10" s="115"/>
      <x:c r="S10" s="115"/>
      <x:c r="T10" s="115"/>
      <x:c r="U10" s="115"/>
      <x:c r="V10" s="115"/>
      <x:c r="W10" s="115"/>
      <x:c r="X10" s="115"/>
      <x:c r="Y10" s="115"/>
      <x:c r="Z10" s="115"/>
    </x:row>
    <x:row r="11">
      <x:c r="A11" s="145" t="str">
        <x:f>"Base DCF indicates "&amp;TEXT(DCF!H18,"$0.00")&amp;" per diluted share versus a frozen "&amp;TEXT(Assumptions!B5,"$0.00")&amp;" market reference. The model is a screen-grade, formula-driven FCFF valuation; it assumes the low end of management’s 2026 revenue guidance is achieved and that cost savings and data-services mix raise normalized margins after 2026. The large gap to the market should be read as an execution / leverage / search-risk question—not as a standalone recommendation."</x:f>
        <x:v>Base DCF indicates $8.71 per diluted share versus a frozen $1.73 market reference. The model is a screen-grade, formula-driven FCFF valuation; it assumes the low end of management’s 2026 revenue guidance is achieved and that cost savings and data-services mix raise normalized margins after 2026. The large gap to the market should be read as an execution / leverage / search-risk question—not as a standalone recommendation.</x:v>
      </x:c>
      <x:c r="B11" s="145"/>
      <x:c r="C11" s="145"/>
      <x:c r="D11" s="145"/>
      <x:c r="E11" s="145"/>
      <x:c r="F11" s="145"/>
      <x:c r="G11" s="115"/>
      <x:c r="H11" s="12" t="str">
        <x:v>Case</x:v>
      </x:c>
      <x:c r="I11" s="13" t="str">
        <x:v>Revenue 2026E</x:v>
      </x:c>
      <x:c r="J11" s="13" t="str">
        <x:v>EBITDA margin 2031E</x:v>
      </x:c>
      <x:c r="K11" s="13" t="str">
        <x:v>WACC</x:v>
      </x:c>
      <x:c r="L11" s="14" t="str">
        <x:v>Value / share</x:v>
      </x:c>
      <x:c r="M11" s="115"/>
      <x:c r="N11" s="115"/>
      <x:c r="O11" s="115"/>
      <x:c r="P11" s="115"/>
      <x:c r="Q11" s="115"/>
      <x:c r="R11" s="115"/>
      <x:c r="S11" s="115"/>
      <x:c r="T11" s="115"/>
      <x:c r="U11" s="115"/>
      <x:c r="V11" s="115"/>
      <x:c r="W11" s="115"/>
      <x:c r="X11" s="115"/>
      <x:c r="Y11" s="115"/>
      <x:c r="Z11" s="115"/>
    </x:row>
    <x:row r="12">
      <x:c r="A12" s="145"/>
      <x:c r="B12" s="145"/>
      <x:c r="C12" s="145"/>
      <x:c r="D12" s="145"/>
      <x:c r="E12" s="145"/>
      <x:c r="F12" s="145"/>
      <x:c r="G12" s="115"/>
      <x:c r="H12" s="115" t="str">
        <x:v>Bear</x:v>
      </x:c>
      <x:c r="I12" s="146" t="n">
        <x:f>Sensitivities!B4</x:f>
        <x:v>165</x:v>
      </x:c>
      <x:c r="J12" s="147" t="n">
        <x:f>Sensitivities!C4</x:f>
        <x:v>0.29</x:v>
      </x:c>
      <x:c r="K12" s="147" t="n">
        <x:f>Sensitivities!D4</x:f>
        <x:v>0.145</x:v>
      </x:c>
      <x:c r="L12" s="148" t="n">
        <x:f>Sensitivities!E4</x:f>
        <x:v>3.921619622551944</x:v>
      </x:c>
      <x:c r="M12" s="115"/>
      <x:c r="N12" s="115"/>
      <x:c r="O12" s="115"/>
      <x:c r="P12" s="115"/>
      <x:c r="Q12" s="115"/>
      <x:c r="R12" s="115"/>
      <x:c r="S12" s="115"/>
      <x:c r="T12" s="115"/>
      <x:c r="U12" s="115"/>
      <x:c r="V12" s="115"/>
      <x:c r="W12" s="115"/>
      <x:c r="X12" s="115"/>
      <x:c r="Y12" s="115"/>
      <x:c r="Z12" s="115"/>
    </x:row>
    <x:row r="13">
      <x:c r="A13" s="145"/>
      <x:c r="B13" s="145"/>
      <x:c r="C13" s="145"/>
      <x:c r="D13" s="145"/>
      <x:c r="E13" s="145"/>
      <x:c r="F13" s="145"/>
      <x:c r="G13" s="115"/>
      <x:c r="H13" s="115" t="str">
        <x:v>Base</x:v>
      </x:c>
      <x:c r="I13" s="146" t="n">
        <x:f>Sensitivities!B5</x:f>
        <x:v>167.5</x:v>
      </x:c>
      <x:c r="J13" s="147" t="n">
        <x:f>Sensitivities!C5</x:f>
        <x:v>0.325</x:v>
      </x:c>
      <x:c r="K13" s="147" t="n">
        <x:f>Sensitivities!D5</x:f>
        <x:v>0.12958999999999998</x:v>
      </x:c>
      <x:c r="L13" s="148" t="n">
        <x:f>Sensitivities!E5</x:f>
        <x:v>8.714710272337653</x:v>
      </x:c>
      <x:c r="M13" s="115"/>
      <x:c r="N13" s="115"/>
      <x:c r="O13" s="115"/>
      <x:c r="P13" s="115"/>
      <x:c r="Q13" s="115"/>
      <x:c r="R13" s="115"/>
      <x:c r="S13" s="115"/>
      <x:c r="T13" s="115"/>
      <x:c r="U13" s="115"/>
      <x:c r="V13" s="115"/>
      <x:c r="W13" s="115"/>
      <x:c r="X13" s="115"/>
      <x:c r="Y13" s="115"/>
      <x:c r="Z13" s="115"/>
    </x:row>
    <x:row r="14">
      <x:c r="A14" s="145"/>
      <x:c r="B14" s="145"/>
      <x:c r="C14" s="145"/>
      <x:c r="D14" s="145"/>
      <x:c r="E14" s="145"/>
      <x:c r="F14" s="145"/>
      <x:c r="G14" s="115"/>
      <x:c r="H14" s="115" t="str">
        <x:v>Bull</x:v>
      </x:c>
      <x:c r="I14" s="146" t="n">
        <x:f>Sensitivities!B6</x:f>
        <x:v>170</x:v>
      </x:c>
      <x:c r="J14" s="147" t="n">
        <x:f>Sensitivities!C6</x:f>
        <x:v>0.37</x:v>
      </x:c>
      <x:c r="K14" s="147" t="n">
        <x:f>Sensitivities!D6</x:f>
        <x:v>0.115</x:v>
      </x:c>
      <x:c r="L14" s="148" t="n">
        <x:f>Sensitivities!E6</x:f>
        <x:v>14.379271949357127</x:v>
      </x:c>
      <x:c r="M14" s="115"/>
      <x:c r="N14" s="115"/>
      <x:c r="O14" s="115"/>
      <x:c r="P14" s="115"/>
      <x:c r="Q14" s="115"/>
      <x:c r="R14" s="115"/>
      <x:c r="S14" s="115"/>
      <x:c r="T14" s="115"/>
      <x:c r="U14" s="115"/>
      <x:c r="V14" s="115"/>
      <x:c r="W14" s="115"/>
      <x:c r="X14" s="115"/>
      <x:c r="Y14" s="115"/>
      <x:c r="Z14" s="115"/>
    </x:row>
    <x:row r="15">
      <x:c r="A15" s="145"/>
      <x:c r="B15" s="145"/>
      <x:c r="C15" s="145"/>
      <x:c r="D15" s="145"/>
      <x:c r="E15" s="145"/>
      <x:c r="F15" s="145"/>
      <x:c r="G15" s="115"/>
      <x:c r="H15" s="115"/>
      <x:c r="I15" s="115"/>
      <x:c r="J15" s="115"/>
      <x:c r="K15" s="115"/>
      <x:c r="L15" s="115"/>
      <x:c r="M15" s="115"/>
      <x:c r="N15" s="115"/>
      <x:c r="O15" s="115"/>
      <x:c r="P15" s="115"/>
      <x:c r="Q15" s="115"/>
      <x:c r="R15" s="115"/>
      <x:c r="S15" s="115"/>
      <x:c r="T15" s="115"/>
      <x:c r="U15" s="115"/>
      <x:c r="V15" s="115"/>
      <x:c r="W15" s="115"/>
      <x:c r="X15" s="115"/>
      <x:c r="Y15" s="115"/>
      <x:c r="Z15" s="115"/>
    </x:row>
    <x:row r="16">
      <x:c r="A16" s="145"/>
      <x:c r="B16" s="145"/>
      <x:c r="C16" s="145"/>
      <x:c r="D16" s="145"/>
      <x:c r="E16" s="145"/>
      <x:c r="F16" s="145"/>
      <x:c r="G16" s="115"/>
      <x:c r="H16" s="115"/>
      <x:c r="I16" s="115"/>
      <x:c r="J16" s="115"/>
      <x:c r="K16" s="115"/>
      <x:c r="L16" s="115"/>
      <x:c r="M16" s="115"/>
      <x:c r="N16" s="115"/>
      <x:c r="O16" s="115"/>
      <x:c r="P16" s="115"/>
      <x:c r="Q16" s="115"/>
      <x:c r="R16" s="115"/>
      <x:c r="S16" s="115"/>
      <x:c r="T16" s="115"/>
      <x:c r="U16" s="115"/>
      <x:c r="V16" s="115"/>
      <x:c r="W16" s="115"/>
      <x:c r="X16" s="115"/>
      <x:c r="Y16" s="115"/>
      <x:c r="Z16" s="115"/>
    </x:row>
    <x:row r="17">
      <x:c r="A17" s="115"/>
      <x:c r="B17" s="115"/>
      <x:c r="C17" s="115"/>
      <x:c r="D17" s="115"/>
      <x:c r="E17" s="115"/>
      <x:c r="F17" s="115"/>
      <x:c r="G17" s="115"/>
      <x:c r="H17" s="144" t="str">
        <x:v>Catalysts / risks / status</x:v>
      </x:c>
      <x:c r="I17" s="144"/>
      <x:c r="J17" s="144"/>
      <x:c r="K17" s="144"/>
      <x:c r="L17" s="144"/>
      <x:c r="M17" s="115"/>
      <x:c r="N17" s="115"/>
      <x:c r="O17" s="115"/>
      <x:c r="P17" s="115"/>
      <x:c r="Q17" s="115"/>
      <x:c r="R17" s="115"/>
      <x:c r="S17" s="115"/>
      <x:c r="T17" s="115"/>
      <x:c r="U17" s="115"/>
      <x:c r="V17" s="115"/>
      <x:c r="W17" s="115"/>
      <x:c r="X17" s="115"/>
      <x:c r="Y17" s="115"/>
      <x:c r="Z17" s="115"/>
    </x:row>
    <x:row r="18">
      <x:c r="A18" s="115"/>
      <x:c r="B18" s="115"/>
      <x:c r="C18" s="115"/>
      <x:c r="D18" s="115"/>
      <x:c r="E18" s="115"/>
      <x:c r="F18" s="115"/>
      <x:c r="G18" s="115"/>
      <x:c r="H18" s="145" t="str">
        <x:v>Catalysts: Q2 2026 delivery, evidence of restructure savings, data-services growth, and organic-search stabilization.
Risks: SEO / AI-search disruption, UK and Finland regulation, high leverage / deferred consideration, potential dilution, and integration / restructuring execution.
Evidence status: audited FY2023–FY2025, unaudited Q1 2026, management guidance, and a dated secondary market close. No licensed consensus or independently normalized peer data was used.</x:v>
      </x:c>
      <x:c r="I18" s="145"/>
      <x:c r="J18" s="145"/>
      <x:c r="K18" s="145"/>
      <x:c r="L18" s="145"/>
      <x:c r="M18" s="115"/>
      <x:c r="N18" s="115"/>
      <x:c r="O18" s="115"/>
      <x:c r="P18" s="115"/>
      <x:c r="Q18" s="115"/>
      <x:c r="R18" s="115"/>
      <x:c r="S18" s="115"/>
      <x:c r="T18" s="115"/>
      <x:c r="U18" s="115"/>
      <x:c r="V18" s="115"/>
      <x:c r="W18" s="115"/>
      <x:c r="X18" s="115"/>
      <x:c r="Y18" s="115"/>
      <x:c r="Z18" s="115"/>
    </x:row>
    <x:row r="19">
      <x:c r="A19" s="144" t="str">
        <x:v>What must be true</x:v>
      </x:c>
      <x:c r="B19" s="144"/>
      <x:c r="C19" s="144"/>
      <x:c r="D19" s="144"/>
      <x:c r="E19" s="144"/>
      <x:c r="F19" s="144"/>
      <x:c r="G19" s="115"/>
      <x:c r="H19" s="145"/>
      <x:c r="I19" s="145"/>
      <x:c r="J19" s="145"/>
      <x:c r="K19" s="145"/>
      <x:c r="L19" s="145"/>
      <x:c r="M19" s="115"/>
      <x:c r="N19" s="115"/>
      <x:c r="O19" s="115"/>
      <x:c r="P19" s="115"/>
      <x:c r="Q19" s="115"/>
      <x:c r="R19" s="115"/>
      <x:c r="S19" s="115"/>
      <x:c r="T19" s="115"/>
      <x:c r="U19" s="115"/>
      <x:c r="V19" s="115"/>
      <x:c r="W19" s="115"/>
      <x:c r="X19" s="115"/>
      <x:c r="Y19" s="115"/>
      <x:c r="Z19" s="115"/>
    </x:row>
    <x:row r="20">
      <x:c r="A20" s="145" t="str">
        <x:v>• Data-services growth and enterprise mix must offset Google-search disruption and UK / Finland regulatory headwinds.
• The AI transformation-led restructure must deliver a meaningful portion of its stated $13m annualized savings without damaging revenue.
• Borrowings, deferred consideration and capitalized-development spending must not absorb the forecast FCFF.
• 2026 guidance implies a second-half margin recovery after Q1’s 22% adjusted-EBITDA margin.</x:v>
      </x:c>
      <x:c r="B20" s="145"/>
      <x:c r="C20" s="145"/>
      <x:c r="D20" s="145"/>
      <x:c r="E20" s="145"/>
      <x:c r="F20" s="145"/>
      <x:c r="G20" s="115"/>
      <x:c r="H20" s="145"/>
      <x:c r="I20" s="145"/>
      <x:c r="J20" s="145"/>
      <x:c r="K20" s="145"/>
      <x:c r="L20" s="145"/>
      <x:c r="M20" s="115"/>
      <x:c r="N20" s="115"/>
      <x:c r="O20" s="115"/>
      <x:c r="P20" s="115"/>
      <x:c r="Q20" s="115"/>
      <x:c r="R20" s="115"/>
      <x:c r="S20" s="115"/>
      <x:c r="T20" s="115"/>
      <x:c r="U20" s="115"/>
      <x:c r="V20" s="115"/>
      <x:c r="W20" s="115"/>
      <x:c r="X20" s="115"/>
      <x:c r="Y20" s="115"/>
      <x:c r="Z20" s="115"/>
    </x:row>
    <x:row r="21">
      <x:c r="A21" s="145"/>
      <x:c r="B21" s="145"/>
      <x:c r="C21" s="145"/>
      <x:c r="D21" s="145"/>
      <x:c r="E21" s="145"/>
      <x:c r="F21" s="145"/>
      <x:c r="G21" s="115"/>
      <x:c r="H21" s="145"/>
      <x:c r="I21" s="145"/>
      <x:c r="J21" s="145"/>
      <x:c r="K21" s="145"/>
      <x:c r="L21" s="145"/>
      <x:c r="M21" s="115"/>
      <x:c r="N21" s="115"/>
      <x:c r="O21" s="115"/>
      <x:c r="P21" s="115"/>
      <x:c r="Q21" s="115"/>
      <x:c r="R21" s="115"/>
      <x:c r="S21" s="115"/>
      <x:c r="T21" s="115"/>
      <x:c r="U21" s="115"/>
      <x:c r="V21" s="115"/>
      <x:c r="W21" s="115"/>
      <x:c r="X21" s="115"/>
      <x:c r="Y21" s="115"/>
      <x:c r="Z21" s="115"/>
    </x:row>
    <x:row r="22">
      <x:c r="A22" s="145"/>
      <x:c r="B22" s="145"/>
      <x:c r="C22" s="145"/>
      <x:c r="D22" s="145"/>
      <x:c r="E22" s="145"/>
      <x:c r="F22" s="145"/>
      <x:c r="G22" s="115"/>
      <x:c r="H22" s="145"/>
      <x:c r="I22" s="145"/>
      <x:c r="J22" s="145"/>
      <x:c r="K22" s="145"/>
      <x:c r="L22" s="145"/>
      <x:c r="M22" s="115"/>
      <x:c r="N22" s="115"/>
      <x:c r="O22" s="115"/>
      <x:c r="P22" s="115"/>
      <x:c r="Q22" s="115"/>
      <x:c r="R22" s="115"/>
      <x:c r="S22" s="115"/>
      <x:c r="T22" s="115"/>
      <x:c r="U22" s="115"/>
      <x:c r="V22" s="115"/>
      <x:c r="W22" s="115"/>
      <x:c r="X22" s="115"/>
      <x:c r="Y22" s="115"/>
      <x:c r="Z22" s="115"/>
    </x:row>
    <x:row r="23">
      <x:c r="A23" s="145"/>
      <x:c r="B23" s="145"/>
      <x:c r="C23" s="145"/>
      <x:c r="D23" s="145"/>
      <x:c r="E23" s="145"/>
      <x:c r="F23" s="145"/>
      <x:c r="G23" s="115"/>
      <x:c r="H23" s="145"/>
      <x:c r="I23" s="145"/>
      <x:c r="J23" s="145"/>
      <x:c r="K23" s="145"/>
      <x:c r="L23" s="145"/>
      <x:c r="M23" s="115"/>
      <x:c r="N23" s="115"/>
      <x:c r="O23" s="115"/>
      <x:c r="P23" s="115"/>
      <x:c r="Q23" s="115"/>
      <x:c r="R23" s="115"/>
      <x:c r="S23" s="115"/>
      <x:c r="T23" s="115"/>
      <x:c r="U23" s="115"/>
      <x:c r="V23" s="115"/>
      <x:c r="W23" s="115"/>
      <x:c r="X23" s="115"/>
      <x:c r="Y23" s="115"/>
      <x:c r="Z23" s="115"/>
    </x:row>
    <x:row r="24">
      <x:c r="A24" s="145"/>
      <x:c r="B24" s="145"/>
      <x:c r="C24" s="145"/>
      <x:c r="D24" s="145"/>
      <x:c r="E24" s="145"/>
      <x:c r="F24" s="145"/>
      <x:c r="G24" s="115"/>
      <x:c r="H24" s="145"/>
      <x:c r="I24" s="145"/>
      <x:c r="J24" s="145"/>
      <x:c r="K24" s="145"/>
      <x:c r="L24" s="145"/>
      <x:c r="M24" s="115"/>
      <x:c r="N24" s="115"/>
      <x:c r="O24" s="115"/>
      <x:c r="P24" s="115"/>
      <x:c r="Q24" s="115"/>
      <x:c r="R24" s="115"/>
      <x:c r="S24" s="115"/>
      <x:c r="T24" s="115"/>
      <x:c r="U24" s="115"/>
      <x:c r="V24" s="115"/>
      <x:c r="W24" s="115"/>
      <x:c r="X24" s="115"/>
      <x:c r="Y24" s="115"/>
      <x:c r="Z24" s="115"/>
    </x:row>
    <x:row r="25">
      <x:c r="A25" s="115"/>
      <x:c r="B25" s="115"/>
      <x:c r="C25" s="115"/>
      <x:c r="D25" s="115"/>
      <x:c r="E25" s="115"/>
      <x:c r="F25" s="115"/>
      <x:c r="G25" s="115"/>
      <x:c r="H25" s="115"/>
      <x:c r="I25" s="115"/>
      <x:c r="J25" s="115"/>
      <x:c r="K25" s="115"/>
      <x:c r="L25" s="115"/>
      <x:c r="M25" s="115"/>
      <x:c r="N25" s="115"/>
      <x:c r="O25" s="115"/>
      <x:c r="P25" s="115"/>
      <x:c r="Q25" s="115"/>
      <x:c r="R25" s="115"/>
      <x:c r="S25" s="115"/>
      <x:c r="T25" s="115"/>
      <x:c r="U25" s="115"/>
      <x:c r="V25" s="115"/>
      <x:c r="W25" s="115"/>
      <x:c r="X25" s="115"/>
      <x:c r="Y25" s="115"/>
      <x:c r="Z25" s="115"/>
    </x:row>
    <x:row r="26">
      <x:c r="A26" s="115"/>
      <x:c r="B26" s="115"/>
      <x:c r="C26" s="115"/>
      <x:c r="D26" s="115"/>
      <x:c r="E26" s="115"/>
      <x:c r="F26" s="115"/>
      <x:c r="G26" s="115"/>
      <x:c r="H26" s="115"/>
      <x:c r="I26" s="115"/>
      <x:c r="J26" s="115"/>
      <x:c r="K26" s="115"/>
      <x:c r="L26" s="115"/>
      <x:c r="M26" s="115"/>
      <x:c r="N26" s="115"/>
      <x:c r="O26" s="115"/>
      <x:c r="P26" s="115"/>
      <x:c r="Q26" s="115"/>
      <x:c r="R26" s="115"/>
      <x:c r="S26" s="115"/>
      <x:c r="T26" s="115"/>
      <x:c r="U26" s="115"/>
      <x:c r="V26" s="115"/>
      <x:c r="W26" s="115"/>
      <x:c r="X26" s="115"/>
      <x:c r="Y26" s="115"/>
      <x:c r="Z26" s="115"/>
    </x:row>
    <x:row r="27">
      <x:c r="A27" s="149" t="str">
        <x:v>Navigation: Sources → Assumptions → Historicals → Forecast → DCF → Comps → Sensitivities → Checks. All source IDs map to the Sources tab and SOURCES.md.</x:v>
      </x:c>
      <x:c r="B27" s="149"/>
      <x:c r="C27" s="149"/>
      <x:c r="D27" s="149"/>
      <x:c r="E27" s="149"/>
      <x:c r="F27" s="149"/>
      <x:c r="G27" s="149"/>
      <x:c r="H27" s="149"/>
      <x:c r="I27" s="149"/>
      <x:c r="J27" s="149"/>
      <x:c r="K27" s="149"/>
      <x:c r="L27" s="149"/>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15"/>
      <x:c r="B29" s="115"/>
      <x:c r="C29" s="115"/>
      <x:c r="D29" s="115"/>
      <x:c r="E29" s="115"/>
      <x:c r="F29" s="115"/>
      <x:c r="G29" s="115"/>
      <x:c r="H29" s="115"/>
      <x:c r="I29" s="115"/>
      <x:c r="J29" s="115"/>
      <x:c r="K29" s="115"/>
      <x:c r="L29" s="115"/>
      <x:c r="M29" s="115"/>
      <x:c r="N29" s="115"/>
      <x:c r="O29" s="115"/>
      <x:c r="P29" s="115"/>
      <x:c r="Q29" s="115"/>
      <x:c r="R29" s="115"/>
      <x:c r="S29" s="115"/>
      <x:c r="T29" s="115"/>
      <x:c r="U29" s="115"/>
      <x:c r="V29" s="115"/>
      <x:c r="W29" s="115"/>
      <x:c r="X29" s="115"/>
      <x:c r="Y29" s="115"/>
      <x:c r="Z29" s="115"/>
    </x:row>
    <x:row r="30">
      <x:c r="A30" s="115"/>
      <x:c r="B30" s="115"/>
      <x:c r="C30" s="115"/>
      <x:c r="D30" s="115"/>
      <x:c r="E30" s="115"/>
      <x:c r="F30" s="115"/>
      <x:c r="G30" s="115"/>
      <x:c r="H30" s="115"/>
      <x:c r="I30" s="115"/>
      <x:c r="J30" s="115"/>
      <x:c r="K30" s="115"/>
      <x:c r="L30" s="115"/>
      <x:c r="M30" s="115"/>
      <x:c r="N30" s="115"/>
      <x:c r="O30" s="115"/>
      <x:c r="P30" s="115"/>
      <x:c r="Q30" s="115"/>
      <x:c r="R30" s="115"/>
      <x:c r="S30" s="115"/>
      <x:c r="T30" s="115"/>
      <x:c r="U30" s="115"/>
      <x:c r="V30" s="115"/>
      <x:c r="W30" s="115"/>
      <x:c r="X30" s="115"/>
      <x:c r="Y30" s="115"/>
      <x:c r="Z30" s="115"/>
    </x:row>
    <x:row r="31">
      <x:c r="A31" s="115"/>
      <x:c r="B31" s="115"/>
      <x:c r="C31" s="115"/>
      <x:c r="D31" s="115"/>
      <x:c r="E31" s="115"/>
      <x:c r="F31" s="115"/>
      <x:c r="G31" s="115"/>
      <x:c r="H31" s="115"/>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L1"/>
    <x:mergeCell ref="A2:L2"/>
    <x:mergeCell ref="A4:C4"/>
    <x:mergeCell ref="A5:C6"/>
    <x:mergeCell ref="A7:C7"/>
    <x:mergeCell ref="E4:G4"/>
    <x:mergeCell ref="E5:G6"/>
    <x:mergeCell ref="E7:G7"/>
    <x:mergeCell ref="I4:L4"/>
    <x:mergeCell ref="I5:L6"/>
    <x:mergeCell ref="I7:L7"/>
    <x:mergeCell ref="A10:F10"/>
    <x:mergeCell ref="A11:F16"/>
    <x:mergeCell ref="H10:L10"/>
    <x:mergeCell ref="A19:F19"/>
    <x:mergeCell ref="A20:F24"/>
    <x:mergeCell ref="H17:L17"/>
    <x:mergeCell ref="H18:L24"/>
    <x:mergeCell ref="A27:L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20" hidden="0" customWidth="1"/>
    <x:col min="4" max="4" width="32" hidden="0" customWidth="1"/>
    <x:col min="5" max="5" width="13" hidden="0" customWidth="1"/>
    <x:col min="6" max="6" width="17" hidden="0" customWidth="1"/>
    <x:col min="7" max="7" width="24" hidden="0" customWidth="1"/>
    <x:col min="8" max="8" width="52" hidden="0" customWidth="1"/>
    <x:col min="9" max="9" width="34" hidden="0" customWidth="1"/>
    <x:col min="10" max="10" width="21" hidden="0" customWidth="1"/>
  </x:cols>
  <x:sheetData>
    <x:row r="1" ht="30" customHeight="1">
      <x:c r="A1" s="3" t="str">
        <x:v>Grandstand Limited (GRSD) — Source Register</x:v>
      </x:c>
      <x:c r="B1" s="3" t="str">
        <x:v>Grandstand Limited (GRSD) — Source Register</x:v>
      </x:c>
      <x:c r="C1" s="3" t="str">
        <x:v>Grandstand Limited (GRSD) — Source Register</x:v>
      </x:c>
      <x:c r="D1" s="3" t="str">
        <x:v>Grandstand Limited (GRSD) — Source Register</x:v>
      </x:c>
      <x:c r="E1" s="3" t="str">
        <x:v>Grandstand Limited (GRSD) — Source Register</x:v>
      </x:c>
      <x:c r="F1" s="3" t="str">
        <x:v>Grandstand Limited (GRSD) — Source Register</x:v>
      </x:c>
      <x:c r="G1" s="3" t="str">
        <x:v>Grandstand Limited (GRSD) — Source Register</x:v>
      </x:c>
      <x:c r="H1" s="3" t="str">
        <x:v>Grandstand Limited (GRSD) — Source Register</x:v>
      </x:c>
      <x:c r="I1" s="3" t="str">
        <x:v>Grandstand Limited (GRSD) — Source Register</x:v>
      </x:c>
      <x:c r="J1" s="3" t="str">
        <x:v>Grandstand Limited (GRSD) — Source Register</x:v>
      </x:c>
      <x:c r="K1" s="115"/>
      <x:c r="L1" s="115"/>
      <x:c r="M1" s="115"/>
      <x:c r="N1" s="115"/>
      <x:c r="O1" s="115"/>
      <x:c r="P1" s="115"/>
      <x:c r="Q1" s="115"/>
      <x:c r="R1" s="115"/>
      <x:c r="S1" s="115"/>
      <x:c r="T1" s="115"/>
      <x:c r="U1" s="115"/>
      <x:c r="V1" s="115"/>
      <x:c r="W1" s="115"/>
      <x:c r="X1" s="115"/>
      <x:c r="Y1" s="115"/>
      <x:c r="Z1" s="115"/>
    </x:row>
    <x:row r="2">
      <x:c r="A2" s="115"/>
      <x:c r="B2" s="115"/>
      <x:c r="C2" s="115"/>
      <x:c r="D2" s="115"/>
      <x:c r="E2" s="115"/>
      <x:c r="F2" s="115"/>
      <x:c r="G2" s="115"/>
      <x:c r="H2" s="115"/>
      <x:c r="I2" s="115"/>
      <x:c r="J2" s="115"/>
      <x:c r="K2" s="115"/>
      <x:c r="L2" s="115"/>
      <x:c r="M2" s="115"/>
      <x:c r="N2" s="115"/>
      <x:c r="O2" s="115"/>
      <x:c r="P2" s="115"/>
      <x:c r="Q2" s="115"/>
      <x:c r="R2" s="115"/>
      <x:c r="S2" s="115"/>
      <x:c r="T2" s="115"/>
      <x:c r="U2" s="115"/>
      <x:c r="V2" s="115"/>
      <x:c r="W2" s="115"/>
      <x:c r="X2" s="115"/>
      <x:c r="Y2" s="115"/>
      <x:c r="Z2" s="115"/>
    </x:row>
    <x:row r="3">
      <x:c r="A3" s="12" t="str">
        <x:v>ID</x:v>
      </x:c>
      <x:c r="B3" s="13" t="str">
        <x:v>Type</x:v>
      </x:c>
      <x:c r="C3" s="13" t="str">
        <x:v>Publisher</x:v>
      </x:c>
      <x:c r="D3" s="13" t="str">
        <x:v>Document</x:v>
      </x:c>
      <x:c r="E3" s="13" t="str">
        <x:v>Date</x:v>
      </x:c>
      <x:c r="F3" s="13" t="str">
        <x:v>Period / as-of</x:v>
      </x:c>
      <x:c r="G3" s="13" t="str">
        <x:v>Location</x:v>
      </x:c>
      <x:c r="H3" s="13" t="str">
        <x:v>URL</x:v>
      </x:c>
      <x:c r="I3" s="13" t="str">
        <x:v>Used for</x:v>
      </x:c>
      <x:c r="J3" s="14" t="str">
        <x:v>Status</x:v>
      </x:c>
      <x:c r="K3" s="115"/>
      <x:c r="L3" s="115"/>
      <x:c r="M3" s="115"/>
      <x:c r="N3" s="115"/>
      <x:c r="O3" s="115"/>
      <x:c r="P3" s="115"/>
      <x:c r="Q3" s="115"/>
      <x:c r="R3" s="115"/>
      <x:c r="S3" s="115"/>
      <x:c r="T3" s="115"/>
      <x:c r="U3" s="115"/>
      <x:c r="V3" s="115"/>
      <x:c r="W3" s="115"/>
      <x:c r="X3" s="115"/>
      <x:c r="Y3" s="115"/>
      <x:c r="Z3" s="115"/>
    </x:row>
    <x:row r="4" ht="44" customHeight="1">
      <x:c r="A4" s="150" t="str">
        <x:v>S1</x:v>
      </x:c>
      <x:c r="B4" s="150" t="str">
        <x:v>SEC filing</x:v>
      </x:c>
      <x:c r="C4" s="150" t="str">
        <x:v>Grandstand / SEC</x:v>
      </x:c>
      <x:c r="D4" s="150" t="str">
        <x:v>2025 Form 20-F (then Gambling.com Group)</x:v>
      </x:c>
      <x:c r="E4" s="150" t="str">
        <x:v>2026-03-19</x:v>
      </x:c>
      <x:c r="F4" s="150" t="str">
        <x:v>FY2023–FY2025</x:v>
      </x:c>
      <x:c r="G4" s="150" t="str">
        <x:v>F-3 to F-6; MD&amp;A pp. 54–65</x:v>
      </x:c>
      <x:c r="H4" s="150" t="str">
        <x:v>https://www.sec.gov/Archives/edgar/data/1839799/000183979926000048/gamb-20251231.htm</x:v>
      </x:c>
      <x:c r="I4" s="150" t="str">
        <x:v>Audited historicals, business model, cash flow, debt, shares</x:v>
      </x:c>
      <x:c r="J4" s="150" t="str">
        <x:v>Verified primary</x:v>
      </x:c>
      <x:c r="K4" s="115"/>
      <x:c r="L4" s="115"/>
      <x:c r="M4" s="115"/>
      <x:c r="N4" s="115"/>
      <x:c r="O4" s="115"/>
      <x:c r="P4" s="115"/>
      <x:c r="Q4" s="115"/>
      <x:c r="R4" s="115"/>
      <x:c r="S4" s="115"/>
      <x:c r="T4" s="115"/>
      <x:c r="U4" s="115"/>
      <x:c r="V4" s="115"/>
      <x:c r="W4" s="115"/>
      <x:c r="X4" s="115"/>
      <x:c r="Y4" s="115"/>
      <x:c r="Z4" s="115"/>
    </x:row>
    <x:row r="5" ht="44" customHeight="1">
      <x:c r="A5" s="150" t="str">
        <x:v>S2</x:v>
      </x:c>
      <x:c r="B5" s="150" t="str">
        <x:v>SEC filing</x:v>
      </x:c>
      <x:c r="C5" s="150" t="str">
        <x:v>Grandstand / SEC</x:v>
      </x:c>
      <x:c r="D5" s="150" t="str">
        <x:v>Q1 2026 Form 6-K and interim financials</x:v>
      </x:c>
      <x:c r="E5" s="150" t="str">
        <x:v>2026-05-14</x:v>
      </x:c>
      <x:c r="F5" s="150" t="str">
        <x:v>Quarter ended 2026-03-31</x:v>
      </x:c>
      <x:c r="G5" s="150" t="str">
        <x:v>pp. 2–5, 36–58</x:v>
      </x:c>
      <x:c r="H5" s="150" t="str">
        <x:v>https://www.sec.gov/Archives/edgar/data/1839799/000183979926000101/q12026quarterlyfinancials.htm</x:v>
      </x:c>
      <x:c r="I5" s="150" t="str">
        <x:v>Latest balance sheet, Q1 actuals, NDCs, deferred consideration</x:v>
      </x:c>
      <x:c r="J5" s="150" t="str">
        <x:v>Verified primary</x:v>
      </x:c>
      <x:c r="K5" s="115"/>
      <x:c r="L5" s="115"/>
      <x:c r="M5" s="115"/>
      <x:c r="N5" s="115"/>
      <x:c r="O5" s="115"/>
      <x:c r="P5" s="115"/>
      <x:c r="Q5" s="115"/>
      <x:c r="R5" s="115"/>
      <x:c r="S5" s="115"/>
      <x:c r="T5" s="115"/>
      <x:c r="U5" s="115"/>
      <x:c r="V5" s="115"/>
      <x:c r="W5" s="115"/>
      <x:c r="X5" s="115"/>
      <x:c r="Y5" s="115"/>
      <x:c r="Z5" s="115"/>
    </x:row>
    <x:row r="6" ht="44" customHeight="1">
      <x:c r="A6" s="150" t="str">
        <x:v>S3</x:v>
      </x:c>
      <x:c r="B6" s="150" t="str">
        <x:v>SEC exhibit</x:v>
      </x:c>
      <x:c r="C6" s="150" t="str">
        <x:v>Grandstand / SEC</x:v>
      </x:c>
      <x:c r="D6" s="150" t="str">
        <x:v>Q1 2026 earnings release</x:v>
      </x:c>
      <x:c r="E6" s="150" t="str">
        <x:v>2026-05-14</x:v>
      </x:c>
      <x:c r="F6" s="150" t="str">
        <x:v>FY2026 guidance</x:v>
      </x:c>
      <x:c r="G6" s="150" t="str">
        <x:v>Outlook and restructuring sections</x:v>
      </x:c>
      <x:c r="H6" s="150" t="str">
        <x:v>https://www.sec.gov/Archives/edgar/data/1839799/000183979926000099/gamb-q12026xpressrelease.htm</x:v>
      </x:c>
      <x:c r="I6" s="150" t="str">
        <x:v>Revenue / adjusted EBITDA guidance; $13m annualized savings target</x:v>
      </x:c>
      <x:c r="J6" s="150" t="str">
        <x:v>Verified primary</x:v>
      </x:c>
      <x:c r="K6" s="115"/>
      <x:c r="L6" s="115"/>
      <x:c r="M6" s="115"/>
      <x:c r="N6" s="115"/>
      <x:c r="O6" s="115"/>
      <x:c r="P6" s="115"/>
      <x:c r="Q6" s="115"/>
      <x:c r="R6" s="115"/>
      <x:c r="S6" s="115"/>
      <x:c r="T6" s="115"/>
      <x:c r="U6" s="115"/>
      <x:c r="V6" s="115"/>
      <x:c r="W6" s="115"/>
      <x:c r="X6" s="115"/>
      <x:c r="Y6" s="115"/>
      <x:c r="Z6" s="115"/>
    </x:row>
    <x:row r="7" ht="44" customHeight="1">
      <x:c r="A7" s="150" t="str">
        <x:v>S4</x:v>
      </x:c>
      <x:c r="B7" s="150" t="str">
        <x:v>Company IR</x:v>
      </x:c>
      <x:c r="C7" s="150" t="str">
        <x:v>Grandstand</x:v>
      </x:c>
      <x:c r="D7" s="150" t="str">
        <x:v>Corporate rebrand and investor-relations center</x:v>
      </x:c>
      <x:c r="E7" s="150" t="str">
        <x:v>2026-07-22</x:v>
      </x:c>
      <x:c r="F7" s="150" t="str">
        <x:v>As of 2026-07-24</x:v>
      </x:c>
      <x:c r="G7" s="150" t="str">
        <x:v>IR services and news</x:v>
      </x:c>
      <x:c r="H7" s="150" t="str">
        <x:v>https://grandstand.com/investors/ir-services</x:v>
      </x:c>
      <x:c r="I7" s="150" t="str">
        <x:v>GRSD ticker and legal-entity confirmation</x:v>
      </x:c>
      <x:c r="J7" s="150" t="str">
        <x:v>Verified primary</x:v>
      </x:c>
      <x:c r="K7" s="115"/>
      <x:c r="L7" s="115"/>
      <x:c r="M7" s="115"/>
      <x:c r="N7" s="115"/>
      <x:c r="O7" s="115"/>
      <x:c r="P7" s="115"/>
      <x:c r="Q7" s="115"/>
      <x:c r="R7" s="115"/>
      <x:c r="S7" s="115"/>
      <x:c r="T7" s="115"/>
      <x:c r="U7" s="115"/>
      <x:c r="V7" s="115"/>
      <x:c r="W7" s="115"/>
      <x:c r="X7" s="115"/>
      <x:c r="Y7" s="115"/>
      <x:c r="Z7" s="115"/>
    </x:row>
    <x:row r="8" ht="44" customHeight="1">
      <x:c r="A8" s="150" t="str">
        <x:v>S5</x:v>
      </x:c>
      <x:c r="B8" s="150" t="str">
        <x:v>Market snapshot</x:v>
      </x:c>
      <x:c r="C8" s="150" t="str">
        <x:v>Robinhood</x:v>
      </x:c>
      <x:c r="D8" s="150" t="str">
        <x:v>GRSD quote page</x:v>
      </x:c>
      <x:c r="E8" s="150" t="str">
        <x:v>2026-07-23</x:v>
      </x:c>
      <x:c r="F8" s="150" t="str">
        <x:v>2026-07-23 close</x:v>
      </x:c>
      <x:c r="G8" s="150" t="str">
        <x:v>Stock snapshot</x:v>
      </x:c>
      <x:c r="H8" s="150" t="str">
        <x:v>https://robinhood.com/us/en/stocks/GRSD/</x:v>
      </x:c>
      <x:c r="I8" s="150" t="str">
        <x:v>Frozen close $1.73 and market cap cross-check</x:v>
      </x:c>
      <x:c r="J8" s="150" t="str">
        <x:v>Verified secondary; closing snapshot</x:v>
      </x:c>
      <x:c r="K8" s="115"/>
      <x:c r="L8" s="115"/>
      <x:c r="M8" s="115"/>
      <x:c r="N8" s="115"/>
      <x:c r="O8" s="115"/>
      <x:c r="P8" s="115"/>
      <x:c r="Q8" s="115"/>
      <x:c r="R8" s="115"/>
      <x:c r="S8" s="115"/>
      <x:c r="T8" s="115"/>
      <x:c r="U8" s="115"/>
      <x:c r="V8" s="115"/>
      <x:c r="W8" s="115"/>
      <x:c r="X8" s="115"/>
      <x:c r="Y8" s="115"/>
      <x:c r="Z8" s="115"/>
    </x:row>
    <x:row r="9" ht="44" customHeight="1">
      <x:c r="A9" s="150" t="str">
        <x:v>S6</x:v>
      </x:c>
      <x:c r="B9" s="150" t="str">
        <x:v>Market risk</x:v>
      </x:c>
      <x:c r="C9" s="150" t="str">
        <x:v>Federal Reserve</x:v>
      </x:c>
      <x:c r="D9" s="150" t="str">
        <x:v>H.15 Selected Interest Rates</x:v>
      </x:c>
      <x:c r="E9" s="150" t="str">
        <x:v>2026-07-22</x:v>
      </x:c>
      <x:c r="F9" s="150" t="str">
        <x:v>2026-07-22</x:v>
      </x:c>
      <x:c r="G9" s="150" t="str">
        <x:v>10-year Treasury constant maturity</x:v>
      </x:c>
      <x:c r="H9" s="150" t="str">
        <x:v>https://www.federalreserve.gov/releases/h15/</x:v>
      </x:c>
      <x:c r="I9" s="150" t="str">
        <x:v>USD risk-free-rate reference</x:v>
      </x:c>
      <x:c r="J9" s="150" t="str">
        <x:v>Verified primary</x:v>
      </x:c>
      <x:c r="K9" s="115"/>
      <x:c r="L9" s="115"/>
      <x:c r="M9" s="115"/>
      <x:c r="N9" s="115"/>
      <x:c r="O9" s="115"/>
      <x:c r="P9" s="115"/>
      <x:c r="Q9" s="115"/>
      <x:c r="R9" s="115"/>
      <x:c r="S9" s="115"/>
      <x:c r="T9" s="115"/>
      <x:c r="U9" s="115"/>
      <x:c r="V9" s="115"/>
      <x:c r="W9" s="115"/>
      <x:c r="X9" s="115"/>
      <x:c r="Y9" s="115"/>
      <x:c r="Z9" s="115"/>
    </x:row>
    <x:row r="10" ht="44" customHeight="1">
      <x:c r="A10" s="150" t="str">
        <x:v>S7</x:v>
      </x:c>
      <x:c r="B10" s="150" t="str">
        <x:v>Market risk</x:v>
      </x:c>
      <x:c r="C10" s="150" t="str">
        <x:v>Aswath Damodaran</x:v>
      </x:c>
      <x:c r="D10" s="150" t="str">
        <x:v>Implied Equity Risk Premium</x:v>
      </x:c>
      <x:c r="E10" s="150" t="str">
        <x:v>2026-07-01</x:v>
      </x:c>
      <x:c r="F10" s="150" t="str">
        <x:v>July 2026</x:v>
      </x:c>
      <x:c r="G10" s="150" t="str">
        <x:v>Homepage update</x:v>
      </x:c>
      <x:c r="H10" s="150" t="str">
        <x:v>https://pages.stern.nyu.edu/~adamodar/New_Home_Page/home.htm</x:v>
      </x:c>
      <x:c r="I10" s="150" t="str">
        <x:v>4.18% implied US equity risk premium</x:v>
      </x:c>
      <x:c r="J10" s="150" t="str">
        <x:v>Verified secondary</x:v>
      </x:c>
      <x:c r="K10" s="115"/>
      <x:c r="L10" s="115"/>
      <x:c r="M10" s="115"/>
      <x:c r="N10" s="115"/>
      <x:c r="O10" s="115"/>
      <x:c r="P10" s="115"/>
      <x:c r="Q10" s="115"/>
      <x:c r="R10" s="115"/>
      <x:c r="S10" s="115"/>
      <x:c r="T10" s="115"/>
      <x:c r="U10" s="115"/>
      <x:c r="V10" s="115"/>
      <x:c r="W10" s="115"/>
      <x:c r="X10" s="115"/>
      <x:c r="Y10" s="115"/>
      <x:c r="Z10" s="115"/>
    </x:row>
    <x:row r="11">
      <x:c r="A11" s="115"/>
      <x:c r="B11" s="115"/>
      <x:c r="C11" s="115"/>
      <x:c r="D11" s="115"/>
      <x:c r="E11" s="115"/>
      <x:c r="F11" s="115"/>
      <x:c r="G11" s="115"/>
      <x:c r="H11" s="115"/>
      <x:c r="I11" s="115"/>
      <x:c r="J11" s="115"/>
      <x:c r="K11" s="115"/>
      <x:c r="L11" s="115"/>
      <x:c r="M11" s="115"/>
      <x:c r="N11" s="115"/>
      <x:c r="O11" s="115"/>
      <x:c r="P11" s="115"/>
      <x:c r="Q11" s="115"/>
      <x:c r="R11" s="115"/>
      <x:c r="S11" s="115"/>
      <x:c r="T11" s="115"/>
      <x:c r="U11" s="115"/>
      <x:c r="V11" s="115"/>
      <x:c r="W11" s="115"/>
      <x:c r="X11" s="115"/>
      <x:c r="Y11" s="115"/>
      <x:c r="Z11" s="115"/>
    </x:row>
    <x:row r="12">
      <x:c r="A12" s="115"/>
      <x:c r="B12" s="115"/>
      <x:c r="C12" s="115"/>
      <x:c r="D12" s="115"/>
      <x:c r="E12" s="115"/>
      <x:c r="F12" s="115"/>
      <x:c r="G12" s="115"/>
      <x:c r="H12" s="115"/>
      <x:c r="I12" s="115"/>
      <x:c r="J12" s="115"/>
      <x:c r="K12" s="115"/>
      <x:c r="L12" s="115"/>
      <x:c r="M12" s="115"/>
      <x:c r="N12" s="115"/>
      <x:c r="O12" s="115"/>
      <x:c r="P12" s="115"/>
      <x:c r="Q12" s="115"/>
      <x:c r="R12" s="115"/>
      <x:c r="S12" s="115"/>
      <x:c r="T12" s="115"/>
      <x:c r="U12" s="115"/>
      <x:c r="V12" s="115"/>
      <x:c r="W12" s="115"/>
      <x:c r="X12" s="115"/>
      <x:c r="Y12" s="115"/>
      <x:c r="Z12" s="115"/>
    </x:row>
    <x:row r="13">
      <x:c r="A13" s="115"/>
      <x:c r="B13" s="115"/>
      <x:c r="C13" s="115"/>
      <x:c r="D13" s="115"/>
      <x:c r="E13" s="115"/>
      <x:c r="F13" s="115"/>
      <x:c r="G13" s="115"/>
      <x:c r="H13" s="115"/>
      <x:c r="I13" s="115"/>
      <x:c r="J13" s="115"/>
      <x:c r="K13" s="115"/>
      <x:c r="L13" s="115"/>
      <x:c r="M13" s="115"/>
      <x:c r="N13" s="115"/>
      <x:c r="O13" s="115"/>
      <x:c r="P13" s="115"/>
      <x:c r="Q13" s="115"/>
      <x:c r="R13" s="115"/>
      <x:c r="S13" s="115"/>
      <x:c r="T13" s="115"/>
      <x:c r="U13" s="115"/>
      <x:c r="V13" s="115"/>
      <x:c r="W13" s="115"/>
      <x:c r="X13" s="115"/>
      <x:c r="Y13" s="115"/>
      <x:c r="Z13" s="115"/>
    </x:row>
    <x:row r="14">
      <x:c r="A14" s="115"/>
      <x:c r="B14" s="115"/>
      <x:c r="C14" s="115"/>
      <x:c r="D14" s="115"/>
      <x:c r="E14" s="115"/>
      <x:c r="F14" s="115"/>
      <x:c r="G14" s="115"/>
      <x:c r="H14" s="115"/>
      <x:c r="I14" s="115"/>
      <x:c r="J14" s="115"/>
      <x:c r="K14" s="115"/>
      <x:c r="L14" s="115"/>
      <x:c r="M14" s="115"/>
      <x:c r="N14" s="115"/>
      <x:c r="O14" s="115"/>
      <x:c r="P14" s="115"/>
      <x:c r="Q14" s="115"/>
      <x:c r="R14" s="115"/>
      <x:c r="S14" s="115"/>
      <x:c r="T14" s="115"/>
      <x:c r="U14" s="115"/>
      <x:c r="V14" s="115"/>
      <x:c r="W14" s="115"/>
      <x:c r="X14" s="115"/>
      <x:c r="Y14" s="115"/>
      <x:c r="Z14" s="115"/>
    </x:row>
    <x:row r="15">
      <x:c r="A15" s="115"/>
      <x:c r="B15" s="115"/>
      <x:c r="C15" s="115"/>
      <x:c r="D15" s="115"/>
      <x:c r="E15" s="115"/>
      <x:c r="F15" s="115"/>
      <x:c r="G15" s="115"/>
      <x:c r="H15" s="115"/>
      <x:c r="I15" s="115"/>
      <x:c r="J15" s="115"/>
      <x:c r="K15" s="115"/>
      <x:c r="L15" s="115"/>
      <x:c r="M15" s="115"/>
      <x:c r="N15" s="115"/>
      <x:c r="O15" s="115"/>
      <x:c r="P15" s="115"/>
      <x:c r="Q15" s="115"/>
      <x:c r="R15" s="115"/>
      <x:c r="S15" s="115"/>
      <x:c r="T15" s="115"/>
      <x:c r="U15" s="115"/>
      <x:c r="V15" s="115"/>
      <x:c r="W15" s="115"/>
      <x:c r="X15" s="115"/>
      <x:c r="Y15" s="115"/>
      <x:c r="Z15" s="115"/>
    </x:row>
    <x:row r="16">
      <x:c r="A16" s="115"/>
      <x:c r="B16" s="115"/>
      <x:c r="C16" s="115"/>
      <x:c r="D16" s="115"/>
      <x:c r="E16" s="115"/>
      <x:c r="F16" s="115"/>
      <x:c r="G16" s="115"/>
      <x:c r="H16" s="115"/>
      <x:c r="I16" s="115"/>
      <x:c r="J16" s="115"/>
      <x:c r="K16" s="115"/>
      <x:c r="L16" s="115"/>
      <x:c r="M16" s="115"/>
      <x:c r="N16" s="115"/>
      <x:c r="O16" s="115"/>
      <x:c r="P16" s="115"/>
      <x:c r="Q16" s="115"/>
      <x:c r="R16" s="115"/>
      <x:c r="S16" s="115"/>
      <x:c r="T16" s="115"/>
      <x:c r="U16" s="115"/>
      <x:c r="V16" s="115"/>
      <x:c r="W16" s="115"/>
      <x:c r="X16" s="115"/>
      <x:c r="Y16" s="115"/>
      <x:c r="Z16" s="115"/>
    </x:row>
    <x:row r="17">
      <x:c r="A17" s="115"/>
      <x:c r="B17" s="115"/>
      <x:c r="C17" s="115"/>
      <x:c r="D17" s="115"/>
      <x:c r="E17" s="115"/>
      <x:c r="F17" s="115"/>
      <x:c r="G17" s="115"/>
      <x:c r="H17" s="115"/>
      <x:c r="I17" s="115"/>
      <x:c r="J17" s="115"/>
      <x:c r="K17" s="115"/>
      <x:c r="L17" s="115"/>
      <x:c r="M17" s="115"/>
      <x:c r="N17" s="115"/>
      <x:c r="O17" s="115"/>
      <x:c r="P17" s="115"/>
      <x:c r="Q17" s="115"/>
      <x:c r="R17" s="115"/>
      <x:c r="S17" s="115"/>
      <x:c r="T17" s="115"/>
      <x:c r="U17" s="115"/>
      <x:c r="V17" s="115"/>
      <x:c r="W17" s="115"/>
      <x:c r="X17" s="115"/>
      <x:c r="Y17" s="115"/>
      <x:c r="Z17" s="115"/>
    </x:row>
    <x:row r="18">
      <x:c r="A18" s="115"/>
      <x:c r="B18" s="115"/>
      <x:c r="C18" s="115"/>
      <x:c r="D18" s="115"/>
      <x:c r="E18" s="115"/>
      <x:c r="F18" s="115"/>
      <x:c r="G18" s="115"/>
      <x:c r="H18" s="115"/>
      <x:c r="I18" s="115"/>
      <x:c r="J18" s="115"/>
      <x:c r="K18" s="115"/>
      <x:c r="L18" s="115"/>
      <x:c r="M18" s="115"/>
      <x:c r="N18" s="115"/>
      <x:c r="O18" s="115"/>
      <x:c r="P18" s="115"/>
      <x:c r="Q18" s="115"/>
      <x:c r="R18" s="115"/>
      <x:c r="S18" s="115"/>
      <x:c r="T18" s="115"/>
      <x:c r="U18" s="115"/>
      <x:c r="V18" s="115"/>
      <x:c r="W18" s="115"/>
      <x:c r="X18" s="115"/>
      <x:c r="Y18" s="115"/>
      <x:c r="Z18" s="115"/>
    </x:row>
    <x:row r="19">
      <x:c r="A19" s="115"/>
      <x:c r="B19" s="115"/>
      <x:c r="C19" s="115"/>
      <x:c r="D19" s="115"/>
      <x:c r="E19" s="115"/>
      <x:c r="F19" s="115"/>
      <x:c r="G19" s="115"/>
      <x:c r="H19" s="115"/>
      <x:c r="I19" s="115"/>
      <x:c r="J19" s="115"/>
      <x:c r="K19" s="115"/>
      <x:c r="L19" s="115"/>
      <x:c r="M19" s="115"/>
      <x:c r="N19" s="115"/>
      <x:c r="O19" s="115"/>
      <x:c r="P19" s="115"/>
      <x:c r="Q19" s="115"/>
      <x:c r="R19" s="115"/>
      <x:c r="S19" s="115"/>
      <x:c r="T19" s="115"/>
      <x:c r="U19" s="115"/>
      <x:c r="V19" s="115"/>
      <x:c r="W19" s="115"/>
      <x:c r="X19" s="115"/>
      <x:c r="Y19" s="115"/>
      <x:c r="Z19" s="115"/>
    </x:row>
    <x:row r="20">
      <x:c r="A20" s="115"/>
      <x:c r="B20" s="115"/>
      <x:c r="C20" s="115"/>
      <x:c r="D20" s="115"/>
      <x:c r="E20" s="115"/>
      <x:c r="F20" s="115"/>
      <x:c r="G20" s="115"/>
      <x:c r="H20" s="115"/>
      <x:c r="I20" s="115"/>
      <x:c r="J20" s="115"/>
      <x:c r="K20" s="115"/>
      <x:c r="L20" s="115"/>
      <x:c r="M20" s="115"/>
      <x:c r="N20" s="115"/>
      <x:c r="O20" s="115"/>
      <x:c r="P20" s="115"/>
      <x:c r="Q20" s="115"/>
      <x:c r="R20" s="115"/>
      <x:c r="S20" s="115"/>
      <x:c r="T20" s="115"/>
      <x:c r="U20" s="115"/>
      <x:c r="V20" s="115"/>
      <x:c r="W20" s="115"/>
      <x:c r="X20" s="115"/>
      <x:c r="Y20" s="115"/>
      <x:c r="Z20" s="115"/>
    </x:row>
    <x:row r="21">
      <x:c r="A21" s="115"/>
      <x:c r="B21" s="115"/>
      <x:c r="C21" s="115"/>
      <x:c r="D21" s="115"/>
      <x:c r="E21" s="115"/>
      <x:c r="F21" s="115"/>
      <x:c r="G21" s="115"/>
      <x:c r="H21" s="115"/>
      <x:c r="I21" s="115"/>
      <x:c r="J21" s="115"/>
      <x:c r="K21" s="115"/>
      <x:c r="L21" s="115"/>
      <x:c r="M21" s="115"/>
      <x:c r="N21" s="115"/>
      <x:c r="O21" s="115"/>
      <x:c r="P21" s="115"/>
      <x:c r="Q21" s="115"/>
      <x:c r="R21" s="115"/>
      <x:c r="S21" s="115"/>
      <x:c r="T21" s="115"/>
      <x:c r="U21" s="115"/>
      <x:c r="V21" s="115"/>
      <x:c r="W21" s="115"/>
      <x:c r="X21" s="115"/>
      <x:c r="Y21" s="115"/>
      <x:c r="Z21" s="115"/>
    </x:row>
    <x:row r="22">
      <x:c r="A22" s="115"/>
      <x:c r="B22" s="115"/>
      <x:c r="C22" s="115"/>
      <x:c r="D22" s="115"/>
      <x:c r="E22" s="115"/>
      <x:c r="F22" s="115"/>
      <x:c r="G22" s="115"/>
      <x:c r="H22" s="115"/>
      <x:c r="I22" s="115"/>
      <x:c r="J22" s="115"/>
      <x:c r="K22" s="115"/>
      <x:c r="L22" s="115"/>
      <x:c r="M22" s="115"/>
      <x:c r="N22" s="115"/>
      <x:c r="O22" s="115"/>
      <x:c r="P22" s="115"/>
      <x:c r="Q22" s="115"/>
      <x:c r="R22" s="115"/>
      <x:c r="S22" s="115"/>
      <x:c r="T22" s="115"/>
      <x:c r="U22" s="115"/>
      <x:c r="V22" s="115"/>
      <x:c r="W22" s="115"/>
      <x:c r="X22" s="115"/>
      <x:c r="Y22" s="115"/>
      <x:c r="Z22" s="115"/>
    </x:row>
    <x:row r="23">
      <x:c r="A23" s="115"/>
      <x:c r="B23" s="115"/>
      <x:c r="C23" s="115"/>
      <x:c r="D23" s="115"/>
      <x:c r="E23" s="115"/>
      <x:c r="F23" s="115"/>
      <x:c r="G23" s="115"/>
      <x:c r="H23" s="115"/>
      <x:c r="I23" s="115"/>
      <x:c r="J23" s="115"/>
      <x:c r="K23" s="115"/>
      <x:c r="L23" s="115"/>
      <x:c r="M23" s="115"/>
      <x:c r="N23" s="115"/>
      <x:c r="O23" s="115"/>
      <x:c r="P23" s="115"/>
      <x:c r="Q23" s="115"/>
      <x:c r="R23" s="115"/>
      <x:c r="S23" s="115"/>
      <x:c r="T23" s="115"/>
      <x:c r="U23" s="115"/>
      <x:c r="V23" s="115"/>
      <x:c r="W23" s="115"/>
      <x:c r="X23" s="115"/>
      <x:c r="Y23" s="115"/>
      <x:c r="Z23" s="115"/>
    </x:row>
    <x:row r="24">
      <x:c r="A24" s="115"/>
      <x:c r="B24" s="115"/>
      <x:c r="C24" s="115"/>
      <x:c r="D24" s="115"/>
      <x:c r="E24" s="115"/>
      <x:c r="F24" s="115"/>
      <x:c r="G24" s="115"/>
      <x:c r="H24" s="115"/>
      <x:c r="I24" s="115"/>
      <x:c r="J24" s="115"/>
      <x:c r="K24" s="115"/>
      <x:c r="L24" s="115"/>
      <x:c r="M24" s="115"/>
      <x:c r="N24" s="115"/>
      <x:c r="O24" s="115"/>
      <x:c r="P24" s="115"/>
      <x:c r="Q24" s="115"/>
      <x:c r="R24" s="115"/>
      <x:c r="S24" s="115"/>
      <x:c r="T24" s="115"/>
      <x:c r="U24" s="115"/>
      <x:c r="V24" s="115"/>
      <x:c r="W24" s="115"/>
      <x:c r="X24" s="115"/>
      <x:c r="Y24" s="115"/>
      <x:c r="Z24" s="115"/>
    </x:row>
    <x:row r="25">
      <x:c r="A25" s="115"/>
      <x:c r="B25" s="115"/>
      <x:c r="C25" s="115"/>
      <x:c r="D25" s="115"/>
      <x:c r="E25" s="115"/>
      <x:c r="F25" s="115"/>
      <x:c r="G25" s="115"/>
      <x:c r="H25" s="115"/>
      <x:c r="I25" s="115"/>
      <x:c r="J25" s="115"/>
      <x:c r="K25" s="115"/>
      <x:c r="L25" s="115"/>
      <x:c r="M25" s="115"/>
      <x:c r="N25" s="115"/>
      <x:c r="O25" s="115"/>
      <x:c r="P25" s="115"/>
      <x:c r="Q25" s="115"/>
      <x:c r="R25" s="115"/>
      <x:c r="S25" s="115"/>
      <x:c r="T25" s="115"/>
      <x:c r="U25" s="115"/>
      <x:c r="V25" s="115"/>
      <x:c r="W25" s="115"/>
      <x:c r="X25" s="115"/>
      <x:c r="Y25" s="115"/>
      <x:c r="Z25" s="115"/>
    </x:row>
    <x:row r="26">
      <x:c r="A26" s="115"/>
      <x:c r="B26" s="115"/>
      <x:c r="C26" s="115"/>
      <x:c r="D26" s="115"/>
      <x:c r="E26" s="115"/>
      <x:c r="F26" s="115"/>
      <x:c r="G26" s="115"/>
      <x:c r="H26" s="115"/>
      <x:c r="I26" s="115"/>
      <x:c r="J26" s="115"/>
      <x:c r="K26" s="115"/>
      <x:c r="L26" s="115"/>
      <x:c r="M26" s="115"/>
      <x:c r="N26" s="115"/>
      <x:c r="O26" s="115"/>
      <x:c r="P26" s="115"/>
      <x:c r="Q26" s="115"/>
      <x:c r="R26" s="115"/>
      <x:c r="S26" s="115"/>
      <x:c r="T26" s="115"/>
      <x:c r="U26" s="115"/>
      <x:c r="V26" s="115"/>
      <x:c r="W26" s="115"/>
      <x:c r="X26" s="115"/>
      <x:c r="Y26" s="115"/>
      <x:c r="Z26" s="115"/>
    </x:row>
    <x:row r="27">
      <x:c r="A27" s="115"/>
      <x:c r="B27" s="115"/>
      <x:c r="C27" s="115"/>
      <x:c r="D27" s="115"/>
      <x:c r="E27" s="115"/>
      <x:c r="F27" s="115"/>
      <x:c r="G27" s="115"/>
      <x:c r="H27" s="115"/>
      <x:c r="I27" s="115"/>
      <x:c r="J27" s="115"/>
      <x:c r="K27" s="115"/>
      <x:c r="L27" s="115"/>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15"/>
      <x:c r="B29" s="115"/>
      <x:c r="C29" s="115"/>
      <x:c r="D29" s="115"/>
      <x:c r="E29" s="115"/>
      <x:c r="F29" s="115"/>
      <x:c r="G29" s="115"/>
      <x:c r="H29" s="115"/>
      <x:c r="I29" s="115"/>
      <x:c r="J29" s="115"/>
      <x:c r="K29" s="115"/>
      <x:c r="L29" s="115"/>
      <x:c r="M29" s="115"/>
      <x:c r="N29" s="115"/>
      <x:c r="O29" s="115"/>
      <x:c r="P29" s="115"/>
      <x:c r="Q29" s="115"/>
      <x:c r="R29" s="115"/>
      <x:c r="S29" s="115"/>
      <x:c r="T29" s="115"/>
      <x:c r="U29" s="115"/>
      <x:c r="V29" s="115"/>
      <x:c r="W29" s="115"/>
      <x:c r="X29" s="115"/>
      <x:c r="Y29" s="115"/>
      <x:c r="Z29" s="115"/>
    </x:row>
    <x:row r="30">
      <x:c r="A30" s="115"/>
      <x:c r="B30" s="115"/>
      <x:c r="C30" s="115"/>
      <x:c r="D30" s="115"/>
      <x:c r="E30" s="115"/>
      <x:c r="F30" s="115"/>
      <x:c r="G30" s="115"/>
      <x:c r="H30" s="115"/>
      <x:c r="I30" s="115"/>
      <x:c r="J30" s="115"/>
      <x:c r="K30" s="115"/>
      <x:c r="L30" s="115"/>
      <x:c r="M30" s="115"/>
      <x:c r="N30" s="115"/>
      <x:c r="O30" s="115"/>
      <x:c r="P30" s="115"/>
      <x:c r="Q30" s="115"/>
      <x:c r="R30" s="115"/>
      <x:c r="S30" s="115"/>
      <x:c r="T30" s="115"/>
      <x:c r="U30" s="115"/>
      <x:c r="V30" s="115"/>
      <x:c r="W30" s="115"/>
      <x:c r="X30" s="115"/>
      <x:c r="Y30" s="115"/>
      <x:c r="Z30" s="115"/>
    </x:row>
    <x:row r="31">
      <x:c r="A31" s="115"/>
      <x:c r="B31" s="115"/>
      <x:c r="C31" s="115"/>
      <x:c r="D31" s="115"/>
      <x:c r="E31" s="115"/>
      <x:c r="F31" s="115"/>
      <x:c r="G31" s="115"/>
      <x:c r="H31" s="115"/>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J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5" hidden="0" customWidth="1"/>
    <x:col min="3" max="3" width="14" hidden="0" customWidth="1"/>
    <x:col min="4" max="4" width="20" hidden="0" customWidth="1"/>
    <x:col min="5" max="5" width="46" hidden="0" customWidth="1"/>
    <x:col min="6" max="6" width="37" hidden="0" customWidth="1"/>
  </x:cols>
  <x:sheetData>
    <x:row r="1" ht="30" customHeight="1">
      <x:c r="A1" s="3" t="str">
        <x:v>Grandstand Limited (GRSD) — Assumption Register</x:v>
      </x:c>
      <x:c r="B1" s="3" t="str">
        <x:v>Grandstand Limited (GRSD) — Assumption Register</x:v>
      </x:c>
      <x:c r="C1" s="3" t="str">
        <x:v>Grandstand Limited (GRSD) — Assumption Register</x:v>
      </x:c>
      <x:c r="D1" s="3" t="str">
        <x:v>Grandstand Limited (GRSD) — Assumption Register</x:v>
      </x:c>
      <x:c r="E1" s="3" t="str">
        <x:v>Grandstand Limited (GRSD) — Assumption Register</x:v>
      </x:c>
      <x:c r="F1" s="3" t="str">
        <x:v>Grandstand Limited (GRSD) — Assumption Register</x:v>
      </x:c>
      <x:c r="G1" s="115"/>
      <x:c r="H1" s="115"/>
      <x:c r="I1" s="115"/>
      <x:c r="J1" s="115"/>
      <x:c r="K1" s="115"/>
      <x:c r="L1" s="115"/>
      <x:c r="M1" s="115"/>
      <x:c r="N1" s="115"/>
      <x:c r="O1" s="115"/>
      <x:c r="P1" s="115"/>
      <x:c r="Q1" s="115"/>
      <x:c r="R1" s="115"/>
      <x:c r="S1" s="115"/>
      <x:c r="T1" s="115"/>
      <x:c r="U1" s="115"/>
      <x:c r="V1" s="115"/>
      <x:c r="W1" s="115"/>
      <x:c r="X1" s="115"/>
      <x:c r="Y1" s="115"/>
      <x:c r="Z1" s="115"/>
    </x:row>
    <x:row r="2">
      <x:c r="A2" s="115"/>
      <x:c r="B2" s="115"/>
      <x:c r="C2" s="115"/>
      <x:c r="D2" s="115"/>
      <x:c r="E2" s="115"/>
      <x:c r="F2" s="115"/>
      <x:c r="G2" s="115"/>
      <x:c r="H2" s="115"/>
      <x:c r="I2" s="115"/>
      <x:c r="J2" s="115"/>
      <x:c r="K2" s="115"/>
      <x:c r="L2" s="115"/>
      <x:c r="M2" s="115"/>
      <x:c r="N2" s="115"/>
      <x:c r="O2" s="115"/>
      <x:c r="P2" s="115"/>
      <x:c r="Q2" s="115"/>
      <x:c r="R2" s="115"/>
      <x:c r="S2" s="115"/>
      <x:c r="T2" s="115"/>
      <x:c r="U2" s="115"/>
      <x:c r="V2" s="115"/>
      <x:c r="W2" s="115"/>
      <x:c r="X2" s="115"/>
      <x:c r="Y2" s="115"/>
      <x:c r="Z2" s="115"/>
    </x:row>
    <x:row r="3">
      <x:c r="A3" s="12" t="str">
        <x:v>Assumption</x:v>
      </x:c>
      <x:c r="B3" s="13" t="str">
        <x:v>Base</x:v>
      </x:c>
      <x:c r="C3" s="13" t="str">
        <x:v>Units</x:v>
      </x:c>
      <x:c r="D3" s="13" t="str">
        <x:v>Type</x:v>
      </x:c>
      <x:c r="E3" s="13" t="str">
        <x:v>Basis / source</x:v>
      </x:c>
      <x:c r="F3" s="14" t="str">
        <x:v>Sensitivity / limitation</x:v>
      </x:c>
      <x:c r="G3" s="115"/>
      <x:c r="H3" s="115"/>
      <x:c r="I3" s="115"/>
      <x:c r="J3" s="115"/>
      <x:c r="K3" s="115"/>
      <x:c r="L3" s="115"/>
      <x:c r="M3" s="115"/>
      <x:c r="N3" s="115"/>
      <x:c r="O3" s="115"/>
      <x:c r="P3" s="115"/>
      <x:c r="Q3" s="115"/>
      <x:c r="R3" s="115"/>
      <x:c r="S3" s="115"/>
      <x:c r="T3" s="115"/>
      <x:c r="U3" s="115"/>
      <x:c r="V3" s="115"/>
      <x:c r="W3" s="115"/>
      <x:c r="X3" s="115"/>
      <x:c r="Y3" s="115"/>
      <x:c r="Z3" s="115"/>
    </x:row>
    <x:row r="4">
      <x:c r="A4" s="115" t="str">
        <x:v>Valuation date</x:v>
      </x:c>
      <x:c r="B4" s="151" t="n">
        <x:v>46227</x:v>
      </x:c>
      <x:c r="C4" s="115" t="str">
        <x:v>date</x:v>
      </x:c>
      <x:c r="D4" s="115" t="str">
        <x:v>Sourced</x:v>
      </x:c>
      <x:c r="E4" s="115" t="str">
        <x:v>24-Jul-2026; market close frozen at 23-Jul</x:v>
      </x:c>
      <x:c r="F4" s="115" t="str">
        <x:v>GRSD rebrand began 23-Jul; price history is short</x:v>
      </x:c>
      <x:c r="G4" s="115"/>
      <x:c r="H4" s="115"/>
      <x:c r="I4" s="115"/>
      <x:c r="J4" s="115"/>
      <x:c r="K4" s="115"/>
      <x:c r="L4" s="115"/>
      <x:c r="M4" s="115"/>
      <x:c r="N4" s="115"/>
      <x:c r="O4" s="115"/>
      <x:c r="P4" s="115"/>
      <x:c r="Q4" s="115"/>
      <x:c r="R4" s="115"/>
      <x:c r="S4" s="115"/>
      <x:c r="T4" s="115"/>
      <x:c r="U4" s="115"/>
      <x:c r="V4" s="115"/>
      <x:c r="W4" s="115"/>
      <x:c r="X4" s="115"/>
      <x:c r="Y4" s="115"/>
      <x:c r="Z4" s="115"/>
    </x:row>
    <x:row r="5">
      <x:c r="A5" s="115" t="str">
        <x:v>Frozen market price</x:v>
      </x:c>
      <x:c r="B5" s="146" t="n">
        <x:v>1.73</x:v>
      </x:c>
      <x:c r="C5" s="115" t="str">
        <x:v>$/share</x:v>
      </x:c>
      <x:c r="D5" s="115" t="str">
        <x:v>Sourced secondary</x:v>
      </x:c>
      <x:c r="E5" s="115" t="str">
        <x:v>S5; 23-Jul-2026 close</x:v>
      </x:c>
      <x:c r="F5" s="115" t="str">
        <x:v>Refresh before use</x:v>
      </x:c>
      <x:c r="G5" s="115"/>
      <x:c r="H5" s="115"/>
      <x:c r="I5" s="115"/>
      <x:c r="J5" s="115"/>
      <x:c r="K5" s="115"/>
      <x:c r="L5" s="115"/>
      <x:c r="M5" s="115"/>
      <x:c r="N5" s="115"/>
      <x:c r="O5" s="115"/>
      <x:c r="P5" s="115"/>
      <x:c r="Q5" s="115"/>
      <x:c r="R5" s="115"/>
      <x:c r="S5" s="115"/>
      <x:c r="T5" s="115"/>
      <x:c r="U5" s="115"/>
      <x:c r="V5" s="115"/>
      <x:c r="W5" s="115"/>
      <x:c r="X5" s="115"/>
      <x:c r="Y5" s="115"/>
      <x:c r="Z5" s="115"/>
    </x:row>
    <x:row r="6">
      <x:c r="A6" s="115" t="str">
        <x:v>Basic shares outstanding</x:v>
      </x:c>
      <x:c r="B6" s="146" t="n">
        <x:v>35.225096</x:v>
      </x:c>
      <x:c r="C6" s="115" t="str">
        <x:v>mm</x:v>
      </x:c>
      <x:c r="D6" s="115" t="str">
        <x:v>Sourced</x:v>
      </x:c>
      <x:c r="E6" s="115" t="str">
        <x:v>S2; Q1 2026 weighted average basic</x:v>
      </x:c>
      <x:c r="F6" s="115" t="str">
        <x:v>Earnout shares can dilute equity</x:v>
      </x:c>
      <x:c r="G6" s="115"/>
      <x:c r="H6" s="115"/>
      <x:c r="I6" s="115"/>
      <x:c r="J6" s="115"/>
      <x:c r="K6" s="115"/>
      <x:c r="L6" s="115"/>
      <x:c r="M6" s="115"/>
      <x:c r="N6" s="115"/>
      <x:c r="O6" s="115"/>
      <x:c r="P6" s="115"/>
      <x:c r="Q6" s="115"/>
      <x:c r="R6" s="115"/>
      <x:c r="S6" s="115"/>
      <x:c r="T6" s="115"/>
      <x:c r="U6" s="115"/>
      <x:c r="V6" s="115"/>
      <x:c r="W6" s="115"/>
      <x:c r="X6" s="115"/>
      <x:c r="Y6" s="115"/>
      <x:c r="Z6" s="115"/>
    </x:row>
    <x:row r="7">
      <x:c r="A7" s="115" t="str">
        <x:v>Diluted shares / model denominator</x:v>
      </x:c>
      <x:c r="B7" s="146" t="n">
        <x:v>42.426533</x:v>
      </x:c>
      <x:c r="C7" s="115" t="str">
        <x:v>mm</x:v>
      </x:c>
      <x:c r="D7" s="115" t="str">
        <x:v>Sourced</x:v>
      </x:c>
      <x:c r="E7" s="115" t="str">
        <x:v>S2; Q1 2026 if dilutive</x:v>
      </x:c>
      <x:c r="F7" s="115" t="str">
        <x:v>Includes potential earnout / awards; conservative</x:v>
      </x:c>
      <x:c r="G7" s="115"/>
      <x:c r="H7" s="115"/>
      <x:c r="I7" s="115"/>
      <x:c r="J7" s="115"/>
      <x:c r="K7" s="115"/>
      <x:c r="L7" s="115"/>
      <x:c r="M7" s="115"/>
      <x:c r="N7" s="115"/>
      <x:c r="O7" s="115"/>
      <x:c r="P7" s="115"/>
      <x:c r="Q7" s="115"/>
      <x:c r="R7" s="115"/>
      <x:c r="S7" s="115"/>
      <x:c r="T7" s="115"/>
      <x:c r="U7" s="115"/>
      <x:c r="V7" s="115"/>
      <x:c r="W7" s="115"/>
      <x:c r="X7" s="115"/>
      <x:c r="Y7" s="115"/>
      <x:c r="Z7" s="115"/>
    </x:row>
    <x:row r="8">
      <x:c r="A8" s="115" t="str">
        <x:v>Cash</x:v>
      </x:c>
      <x:c r="B8" s="146" t="n">
        <x:v>8.412</x:v>
      </x:c>
      <x:c r="C8" s="115" t="str">
        <x:v>$mm</x:v>
      </x:c>
      <x:c r="D8" s="115" t="str">
        <x:v>Sourced</x:v>
      </x:c>
      <x:c r="E8" s="115" t="str">
        <x:v>S2; 31-Mar-2026</x:v>
      </x:c>
      <x:c r="F8" s="115" t="str">
        <x:v>May be stale after settlements</x:v>
      </x:c>
      <x:c r="G8" s="115"/>
      <x:c r="H8" s="115"/>
      <x:c r="I8" s="115"/>
      <x:c r="J8" s="115"/>
      <x:c r="K8" s="115"/>
      <x:c r="L8" s="115"/>
      <x:c r="M8" s="115"/>
      <x:c r="N8" s="115"/>
      <x:c r="O8" s="115"/>
      <x:c r="P8" s="115"/>
      <x:c r="Q8" s="115"/>
      <x:c r="R8" s="115"/>
      <x:c r="S8" s="115"/>
      <x:c r="T8" s="115"/>
      <x:c r="U8" s="115"/>
      <x:c r="V8" s="115"/>
      <x:c r="W8" s="115"/>
      <x:c r="X8" s="115"/>
      <x:c r="Y8" s="115"/>
      <x:c r="Z8" s="115"/>
    </x:row>
    <x:row r="9">
      <x:c r="A9" s="115" t="str">
        <x:v>Borrowings + accrued interest</x:v>
      </x:c>
      <x:c r="B9" s="146" t="n">
        <x:v>116.504</x:v>
      </x:c>
      <x:c r="C9" s="115" t="str">
        <x:v>$mm</x:v>
      </x:c>
      <x:c r="D9" s="115" t="str">
        <x:v>Sourced</x:v>
      </x:c>
      <x:c r="E9" s="115" t="str">
        <x:v>S2; current plus non-current</x:v>
      </x:c>
      <x:c r="F9" s="115" t="str">
        <x:v>Debt-like claim</x:v>
      </x:c>
      <x:c r="G9" s="115"/>
      <x:c r="H9" s="115"/>
      <x:c r="I9" s="115"/>
      <x:c r="J9" s="115"/>
      <x:c r="K9" s="115"/>
      <x:c r="L9" s="115"/>
      <x:c r="M9" s="115"/>
      <x:c r="N9" s="115"/>
      <x:c r="O9" s="115"/>
      <x:c r="P9" s="115"/>
      <x:c r="Q9" s="115"/>
      <x:c r="R9" s="115"/>
      <x:c r="S9" s="115"/>
      <x:c r="T9" s="115"/>
      <x:c r="U9" s="115"/>
      <x:c r="V9" s="115"/>
      <x:c r="W9" s="115"/>
      <x:c r="X9" s="115"/>
      <x:c r="Y9" s="115"/>
      <x:c r="Z9" s="115"/>
    </x:row>
    <x:row r="10">
      <x:c r="A10" s="115" t="str">
        <x:v>Deferred consideration</x:v>
      </x:c>
      <x:c r="B10" s="146" t="n">
        <x:v>36.684</x:v>
      </x:c>
      <x:c r="C10" s="115" t="str">
        <x:v>$mm</x:v>
      </x:c>
      <x:c r="D10" s="115" t="str">
        <x:v>Sourced</x:v>
      </x:c>
      <x:c r="E10" s="115" t="str">
        <x:v>S2; OddsJam 31-Mar-2026</x:v>
      </x:c>
      <x:c r="F10" s="115" t="str">
        <x:v>Debt-like; April settlements not fully modelled</x:v>
      </x:c>
      <x:c r="G10" s="115"/>
      <x:c r="H10" s="115"/>
      <x:c r="I10" s="115"/>
      <x:c r="J10" s="115"/>
      <x:c r="K10" s="115"/>
      <x:c r="L10" s="115"/>
      <x:c r="M10" s="115"/>
      <x:c r="N10" s="115"/>
      <x:c r="O10" s="115"/>
      <x:c r="P10" s="115"/>
      <x:c r="Q10" s="115"/>
      <x:c r="R10" s="115"/>
      <x:c r="S10" s="115"/>
      <x:c r="T10" s="115"/>
      <x:c r="U10" s="115"/>
      <x:c r="V10" s="115"/>
      <x:c r="W10" s="115"/>
      <x:c r="X10" s="115"/>
      <x:c r="Y10" s="115"/>
      <x:c r="Z10" s="115"/>
    </x:row>
    <x:row r="11">
      <x:c r="A11" s="115" t="str">
        <x:v>Lease liabilities</x:v>
      </x:c>
      <x:c r="B11" s="147" t="n">
        <x:v>4.402</x:v>
      </x:c>
      <x:c r="C11" s="115" t="str">
        <x:v>$mm</x:v>
      </x:c>
      <x:c r="D11" s="115" t="str">
        <x:v>Sourced</x:v>
      </x:c>
      <x:c r="E11" s="115" t="str">
        <x:v>S2; current plus non-current</x:v>
      </x:c>
      <x:c r="F11" s="115" t="str">
        <x:v>Debt-like claim</x:v>
      </x:c>
      <x:c r="G11" s="115"/>
      <x:c r="H11" s="115"/>
      <x:c r="I11" s="115"/>
      <x:c r="J11" s="115"/>
      <x:c r="K11" s="115"/>
      <x:c r="L11" s="115"/>
      <x:c r="M11" s="115"/>
      <x:c r="N11" s="115"/>
      <x:c r="O11" s="115"/>
      <x:c r="P11" s="115"/>
      <x:c r="Q11" s="115"/>
      <x:c r="R11" s="115"/>
      <x:c r="S11" s="115"/>
      <x:c r="T11" s="115"/>
      <x:c r="U11" s="115"/>
      <x:c r="V11" s="115"/>
      <x:c r="W11" s="115"/>
      <x:c r="X11" s="115"/>
      <x:c r="Y11" s="115"/>
      <x:c r="Z11" s="115"/>
    </x:row>
    <x:row r="12">
      <x:c r="A12" s="115" t="str">
        <x:v>Risk-free rate</x:v>
      </x:c>
      <x:c r="B12" s="147" t="n">
        <x:v>0.0455</x:v>
      </x:c>
      <x:c r="C12" s="115" t="str">
        <x:v>%</x:v>
      </x:c>
      <x:c r="D12" s="115" t="str">
        <x:v>Sourced</x:v>
      </x:c>
      <x:c r="E12" s="115" t="str">
        <x:v>S6; 22-Jul-2026 10-year Treasury</x:v>
      </x:c>
      <x:c r="F12" s="115" t="str">
        <x:v>Use USD rate</x:v>
      </x:c>
      <x:c r="G12" s="115"/>
      <x:c r="H12" s="115"/>
      <x:c r="I12" s="115"/>
      <x:c r="J12" s="115"/>
      <x:c r="K12" s="115"/>
      <x:c r="L12" s="115"/>
      <x:c r="M12" s="115"/>
      <x:c r="N12" s="115"/>
      <x:c r="O12" s="115"/>
      <x:c r="P12" s="115"/>
      <x:c r="Q12" s="115"/>
      <x:c r="R12" s="115"/>
      <x:c r="S12" s="115"/>
      <x:c r="T12" s="115"/>
      <x:c r="U12" s="115"/>
      <x:c r="V12" s="115"/>
      <x:c r="W12" s="115"/>
      <x:c r="X12" s="115"/>
      <x:c r="Y12" s="115"/>
      <x:c r="Z12" s="115"/>
    </x:row>
    <x:row r="13">
      <x:c r="A13" s="115" t="str">
        <x:v>Equity risk premium</x:v>
      </x:c>
      <x:c r="B13" s="152" t="n">
        <x:v>0.0418</x:v>
      </x:c>
      <x:c r="C13" s="115" t="str">
        <x:v>%</x:v>
      </x:c>
      <x:c r="D13" s="115" t="str">
        <x:v>Sourced secondary</x:v>
      </x:c>
      <x:c r="E13" s="115" t="str">
        <x:v>S7; July 2026 implied ERP</x:v>
      </x:c>
      <x:c r="F13" s="115" t="str">
        <x:v>Not a company-specific conclusion</x:v>
      </x:c>
      <x:c r="G13" s="115"/>
      <x:c r="H13" s="115"/>
      <x:c r="I13" s="115"/>
      <x:c r="J13" s="115"/>
      <x:c r="K13" s="115"/>
      <x:c r="L13" s="115"/>
      <x:c r="M13" s="115"/>
      <x:c r="N13" s="115"/>
      <x:c r="O13" s="115"/>
      <x:c r="P13" s="115"/>
      <x:c r="Q13" s="115"/>
      <x:c r="R13" s="115"/>
      <x:c r="S13" s="115"/>
      <x:c r="T13" s="115"/>
      <x:c r="U13" s="115"/>
      <x:c r="V13" s="115"/>
      <x:c r="W13" s="115"/>
      <x:c r="X13" s="115"/>
      <x:c r="Y13" s="115"/>
      <x:c r="Z13" s="115"/>
    </x:row>
    <x:row r="14">
      <x:c r="A14" s="115" t="str">
        <x:v>Levered beta</x:v>
      </x:c>
      <x:c r="B14" s="153" t="n">
        <x:v>1.5</x:v>
      </x:c>
      <x:c r="C14" s="115" t="str">
        <x:v>x</x:v>
      </x:c>
      <x:c r="D14" s="115" t="str">
        <x:v>Analyst assumption</x:v>
      </x:c>
      <x:c r="E14" s="115" t="str">
        <x:v>Small-cap, highly volatile equity</x:v>
      </x:c>
      <x:c r="F14" s="115" t="str">
        <x:v>No licensed beta source available</x:v>
      </x:c>
      <x:c r="G14" s="115"/>
      <x:c r="H14" s="115"/>
      <x:c r="I14" s="115"/>
      <x:c r="J14" s="115"/>
      <x:c r="K14" s="115"/>
      <x:c r="L14" s="115"/>
      <x:c r="M14" s="115"/>
      <x:c r="N14" s="115"/>
      <x:c r="O14" s="115"/>
      <x:c r="P14" s="115"/>
      <x:c r="Q14" s="115"/>
      <x:c r="R14" s="115"/>
      <x:c r="S14" s="115"/>
      <x:c r="T14" s="115"/>
      <x:c r="U14" s="115"/>
      <x:c r="V14" s="115"/>
      <x:c r="W14" s="115"/>
      <x:c r="X14" s="115"/>
      <x:c r="Y14" s="115"/>
      <x:c r="Z14" s="115"/>
    </x:row>
    <x:row r="15">
      <x:c r="A15" s="115" t="str">
        <x:v>Specific / size premium</x:v>
      </x:c>
      <x:c r="B15" s="153" t="n">
        <x:v>0.048</x:v>
      </x:c>
      <x:c r="C15" s="115" t="str">
        <x:v>%</x:v>
      </x:c>
      <x:c r="D15" s="115" t="str">
        <x:v>Analyst assumption</x:v>
      </x:c>
      <x:c r="E15" s="115" t="str">
        <x:v>Micro-cap, SEO/regulatory, leverage and execution risk</x:v>
      </x:c>
      <x:c r="F15" s="115" t="str">
        <x:v>A principal valuation judgment</x:v>
      </x:c>
      <x:c r="G15" s="115"/>
      <x:c r="H15" s="115"/>
      <x:c r="I15" s="115"/>
      <x:c r="J15" s="115"/>
      <x:c r="K15" s="115"/>
      <x:c r="L15" s="115"/>
      <x:c r="M15" s="115"/>
      <x:c r="N15" s="115"/>
      <x:c r="O15" s="115"/>
      <x:c r="P15" s="115"/>
      <x:c r="Q15" s="115"/>
      <x:c r="R15" s="115"/>
      <x:c r="S15" s="115"/>
      <x:c r="T15" s="115"/>
      <x:c r="U15" s="115"/>
      <x:c r="V15" s="115"/>
      <x:c r="W15" s="115"/>
      <x:c r="X15" s="115"/>
      <x:c r="Y15" s="115"/>
      <x:c r="Z15" s="115"/>
    </x:row>
    <x:row r="16">
      <x:c r="A16" s="115" t="str">
        <x:v>Cost of equity</x:v>
      </x:c>
      <x:c r="B16" s="147" t="n">
        <x:f>B12+B14*B13+B15</x:f>
        <x:v>0.1562</x:v>
      </x:c>
      <x:c r="C16" s="115" t="str">
        <x:v>%</x:v>
      </x:c>
      <x:c r="D16" s="115" t="str">
        <x:v>Formula</x:v>
      </x:c>
      <x:c r="E16" s="115" t="str">
        <x:v>Rf + beta × ERP + specific premium</x:v>
      </x:c>
      <x:c r="F16" s="115" t="str">
        <x:v>Calculated</x:v>
      </x:c>
      <x:c r="G16" s="115"/>
      <x:c r="H16" s="115"/>
      <x:c r="I16" s="115"/>
      <x:c r="J16" s="115"/>
      <x:c r="K16" s="115"/>
      <x:c r="L16" s="115"/>
      <x:c r="M16" s="115"/>
      <x:c r="N16" s="115"/>
      <x:c r="O16" s="115"/>
      <x:c r="P16" s="115"/>
      <x:c r="Q16" s="115"/>
      <x:c r="R16" s="115"/>
      <x:c r="S16" s="115"/>
      <x:c r="T16" s="115"/>
      <x:c r="U16" s="115"/>
      <x:c r="V16" s="115"/>
      <x:c r="W16" s="115"/>
      <x:c r="X16" s="115"/>
      <x:c r="Y16" s="115"/>
      <x:c r="Z16" s="115"/>
    </x:row>
    <x:row r="17">
      <x:c r="A17" s="115" t="str">
        <x:v>Pre-tax cost of debt</x:v>
      </x:c>
      <x:c r="B17" s="153" t="n">
        <x:v>0.09</x:v>
      </x:c>
      <x:c r="C17" s="115" t="str">
        <x:v>%</x:v>
      </x:c>
      <x:c r="D17" s="115" t="str">
        <x:v>Analyst assumption</x:v>
      </x:c>
      <x:c r="E17" s="115" t="str">
        <x:v>Rounded cash borrowing cost; finance expense includes deferred-consideration accretion</x:v>
      </x:c>
      <x:c r="F17" s="115" t="str">
        <x:v>Refinancing risk is material</x:v>
      </x:c>
      <x:c r="G17" s="115"/>
      <x:c r="H17" s="115"/>
      <x:c r="I17" s="115"/>
      <x:c r="J17" s="115"/>
      <x:c r="K17" s="115"/>
      <x:c r="L17" s="115"/>
      <x:c r="M17" s="115"/>
      <x:c r="N17" s="115"/>
      <x:c r="O17" s="115"/>
      <x:c r="P17" s="115"/>
      <x:c r="Q17" s="115"/>
      <x:c r="R17" s="115"/>
      <x:c r="S17" s="115"/>
      <x:c r="T17" s="115"/>
      <x:c r="U17" s="115"/>
      <x:c r="V17" s="115"/>
      <x:c r="W17" s="115"/>
      <x:c r="X17" s="115"/>
      <x:c r="Y17" s="115"/>
      <x:c r="Z17" s="115"/>
    </x:row>
    <x:row r="18">
      <x:c r="A18" s="115" t="str">
        <x:v>Tax rate</x:v>
      </x:c>
      <x:c r="B18" s="153" t="n">
        <x:v>0.25</x:v>
      </x:c>
      <x:c r="C18" s="115" t="str">
        <x:v>%</x:v>
      </x:c>
      <x:c r="D18" s="115" t="str">
        <x:v>Analyst assumption</x:v>
      </x:c>
      <x:c r="E18" s="115" t="str">
        <x:v>Normalized cash tax; multinational mixed jurisdictions</x:v>
      </x:c>
      <x:c r="F18" s="115" t="str">
        <x:v>GAAP tax is volatile</x:v>
      </x:c>
      <x:c r="G18" s="115"/>
      <x:c r="H18" s="115"/>
      <x:c r="I18" s="115"/>
      <x:c r="J18" s="115"/>
      <x:c r="K18" s="115"/>
      <x:c r="L18" s="115"/>
      <x:c r="M18" s="115"/>
      <x:c r="N18" s="115"/>
      <x:c r="O18" s="115"/>
      <x:c r="P18" s="115"/>
      <x:c r="Q18" s="115"/>
      <x:c r="R18" s="115"/>
      <x:c r="S18" s="115"/>
      <x:c r="T18" s="115"/>
      <x:c r="U18" s="115"/>
      <x:c r="V18" s="115"/>
      <x:c r="W18" s="115"/>
      <x:c r="X18" s="115"/>
      <x:c r="Y18" s="115"/>
      <x:c r="Z18" s="115"/>
    </x:row>
    <x:row r="19">
      <x:c r="A19" s="115" t="str">
        <x:v>Debt weight</x:v>
      </x:c>
      <x:c r="B19" s="153" t="n">
        <x:v>0.3</x:v>
      </x:c>
      <x:c r="C19" s="115" t="str">
        <x:v>%</x:v>
      </x:c>
      <x:c r="D19" s="115" t="str">
        <x:v>Analyst assumption</x:v>
      </x:c>
      <x:c r="E19" s="115" t="str">
        <x:v>Target capital structure, not current book mix</x:v>
      </x:c>
      <x:c r="F19" s="115" t="str">
        <x:v>Avoids over-weighting acquisition debt</x:v>
      </x:c>
      <x:c r="G19" s="115"/>
      <x:c r="H19" s="115"/>
      <x:c r="I19" s="115"/>
      <x:c r="J19" s="115"/>
      <x:c r="K19" s="115"/>
      <x:c r="L19" s="115"/>
      <x:c r="M19" s="115"/>
      <x:c r="N19" s="115"/>
      <x:c r="O19" s="115"/>
      <x:c r="P19" s="115"/>
      <x:c r="Q19" s="115"/>
      <x:c r="R19" s="115"/>
      <x:c r="S19" s="115"/>
      <x:c r="T19" s="115"/>
      <x:c r="U19" s="115"/>
      <x:c r="V19" s="115"/>
      <x:c r="W19" s="115"/>
      <x:c r="X19" s="115"/>
      <x:c r="Y19" s="115"/>
      <x:c r="Z19" s="115"/>
    </x:row>
    <x:row r="20">
      <x:c r="A20" s="115" t="str">
        <x:v>WACC</x:v>
      </x:c>
      <x:c r="B20" s="147" t="n">
        <x:f>B16*(1-B19)+B17*(1-B18)*B19</x:f>
        <x:v>0.12958999999999998</x:v>
      </x:c>
      <x:c r="C20" s="115" t="str">
        <x:v>%</x:v>
      </x:c>
      <x:c r="D20" s="115" t="str">
        <x:v>Formula</x:v>
      </x:c>
      <x:c r="E20" s="115" t="str">
        <x:v>Cost of equity / after-tax cost of debt</x:v>
      </x:c>
      <x:c r="F20" s="115" t="str">
        <x:v>Base 11–13% range tested</x:v>
      </x:c>
      <x:c r="G20" s="115"/>
      <x:c r="H20" s="115"/>
      <x:c r="I20" s="115"/>
      <x:c r="J20" s="115"/>
      <x:c r="K20" s="115"/>
      <x:c r="L20" s="115"/>
      <x:c r="M20" s="115"/>
      <x:c r="N20" s="115"/>
      <x:c r="O20" s="115"/>
      <x:c r="P20" s="115"/>
      <x:c r="Q20" s="115"/>
      <x:c r="R20" s="115"/>
      <x:c r="S20" s="115"/>
      <x:c r="T20" s="115"/>
      <x:c r="U20" s="115"/>
      <x:c r="V20" s="115"/>
      <x:c r="W20" s="115"/>
      <x:c r="X20" s="115"/>
      <x:c r="Y20" s="115"/>
      <x:c r="Z20" s="115"/>
    </x:row>
    <x:row r="21">
      <x:c r="A21" s="115" t="str">
        <x:v>Terminal growth</x:v>
      </x:c>
      <x:c r="B21" s="153" t="n">
        <x:v>0.025</x:v>
      </x:c>
      <x:c r="C21" s="115" t="str">
        <x:v>%</x:v>
      </x:c>
      <x:c r="D21" s="115" t="str">
        <x:v>Analyst assumption</x:v>
      </x:c>
      <x:c r="E21" s="115" t="str">
        <x:v>Long-run USD nominal growth below WACC</x:v>
      </x:c>
      <x:c r="F21" s="115" t="str">
        <x:v>Subject to 2.0–3.0% sensitivity</x:v>
      </x:c>
      <x:c r="G21" s="115"/>
      <x:c r="H21" s="115"/>
      <x:c r="I21" s="115"/>
      <x:c r="J21" s="115"/>
      <x:c r="K21" s="115"/>
      <x:c r="L21" s="115"/>
      <x:c r="M21" s="115"/>
      <x:c r="N21" s="115"/>
      <x:c r="O21" s="115"/>
      <x:c r="P21" s="115"/>
      <x:c r="Q21" s="115"/>
      <x:c r="R21" s="115"/>
      <x:c r="S21" s="115"/>
      <x:c r="T21" s="115"/>
      <x:c r="U21" s="115"/>
      <x:c r="V21" s="115"/>
      <x:c r="W21" s="115"/>
      <x:c r="X21" s="115"/>
      <x:c r="Y21" s="115"/>
      <x:c r="Z21" s="115"/>
    </x:row>
    <x:row r="22">
      <x:c r="A22" s="115" t="str">
        <x:v>Cash tax / FCFF rate</x:v>
      </x:c>
      <x:c r="B22" s="154" t="n">
        <x:v>0.25</x:v>
      </x:c>
      <x:c r="C22" s="115" t="str">
        <x:v>%</x:v>
      </x:c>
      <x:c r="D22" s="115" t="str">
        <x:v>Analyst assumption</x:v>
      </x:c>
      <x:c r="E22" s="115" t="str">
        <x:v>Same normalized rate as above</x:v>
      </x:c>
      <x:c r="F22" s="115" t="str">
        <x:v>Not a forecast of statutory tax</x:v>
      </x:c>
      <x:c r="G22" s="115"/>
      <x:c r="H22" s="115"/>
      <x:c r="I22" s="115"/>
      <x:c r="J22" s="115"/>
      <x:c r="K22" s="115"/>
      <x:c r="L22" s="115"/>
      <x:c r="M22" s="115"/>
      <x:c r="N22" s="115"/>
      <x:c r="O22" s="115"/>
      <x:c r="P22" s="115"/>
      <x:c r="Q22" s="115"/>
      <x:c r="R22" s="115"/>
      <x:c r="S22" s="115"/>
      <x:c r="T22" s="115"/>
      <x:c r="U22" s="115"/>
      <x:c r="V22" s="115"/>
      <x:c r="W22" s="115"/>
      <x:c r="X22" s="115"/>
      <x:c r="Y22" s="115"/>
      <x:c r="Z22" s="115"/>
    </x:row>
    <x:row r="23">
      <x:c r="A23" s="115"/>
      <x:c r="B23" s="115"/>
      <x:c r="C23" s="115"/>
      <x:c r="D23" s="115"/>
      <x:c r="E23" s="115"/>
      <x:c r="F23" s="115"/>
      <x:c r="G23" s="115"/>
      <x:c r="H23" s="115"/>
      <x:c r="I23" s="115"/>
      <x:c r="J23" s="115"/>
      <x:c r="K23" s="115"/>
      <x:c r="L23" s="115"/>
      <x:c r="M23" s="115"/>
      <x:c r="N23" s="115"/>
      <x:c r="O23" s="115"/>
      <x:c r="P23" s="115"/>
      <x:c r="Q23" s="115"/>
      <x:c r="R23" s="115"/>
      <x:c r="S23" s="115"/>
      <x:c r="T23" s="115"/>
      <x:c r="U23" s="115"/>
      <x:c r="V23" s="115"/>
      <x:c r="W23" s="115"/>
      <x:c r="X23" s="115"/>
      <x:c r="Y23" s="115"/>
      <x:c r="Z23" s="115"/>
    </x:row>
    <x:row r="24">
      <x:c r="A24" s="155" t="str">
        <x:v>Yellow / blue cells are analyst assumptions. Sourced values are preserved separately from formula outputs. All amounts are USD millions unless stated otherwise.</x:v>
      </x:c>
      <x:c r="B24" s="155"/>
      <x:c r="C24" s="155"/>
      <x:c r="D24" s="155"/>
      <x:c r="E24" s="155"/>
      <x:c r="F24" s="155"/>
      <x:c r="G24" s="115"/>
      <x:c r="H24" s="115"/>
      <x:c r="I24" s="115"/>
      <x:c r="J24" s="115"/>
      <x:c r="K24" s="115"/>
      <x:c r="L24" s="115"/>
      <x:c r="M24" s="115"/>
      <x:c r="N24" s="115"/>
      <x:c r="O24" s="115"/>
      <x:c r="P24" s="115"/>
      <x:c r="Q24" s="115"/>
      <x:c r="R24" s="115"/>
      <x:c r="S24" s="115"/>
      <x:c r="T24" s="115"/>
      <x:c r="U24" s="115"/>
      <x:c r="V24" s="115"/>
      <x:c r="W24" s="115"/>
      <x:c r="X24" s="115"/>
      <x:c r="Y24" s="115"/>
      <x:c r="Z24" s="115"/>
    </x:row>
    <x:row r="25">
      <x:c r="A25" s="115"/>
      <x:c r="B25" s="115"/>
      <x:c r="C25" s="115"/>
      <x:c r="D25" s="115"/>
      <x:c r="E25" s="115"/>
      <x:c r="F25" s="115"/>
      <x:c r="G25" s="115"/>
      <x:c r="H25" s="115"/>
      <x:c r="I25" s="115"/>
      <x:c r="J25" s="115"/>
      <x:c r="K25" s="115"/>
      <x:c r="L25" s="115"/>
      <x:c r="M25" s="115"/>
      <x:c r="N25" s="115"/>
      <x:c r="O25" s="115"/>
      <x:c r="P25" s="115"/>
      <x:c r="Q25" s="115"/>
      <x:c r="R25" s="115"/>
      <x:c r="S25" s="115"/>
      <x:c r="T25" s="115"/>
      <x:c r="U25" s="115"/>
      <x:c r="V25" s="115"/>
      <x:c r="W25" s="115"/>
      <x:c r="X25" s="115"/>
      <x:c r="Y25" s="115"/>
      <x:c r="Z25" s="115"/>
    </x:row>
    <x:row r="26">
      <x:c r="A26" s="115"/>
      <x:c r="B26" s="115"/>
      <x:c r="C26" s="115"/>
      <x:c r="D26" s="115"/>
      <x:c r="E26" s="115"/>
      <x:c r="F26" s="115"/>
      <x:c r="G26" s="115"/>
      <x:c r="H26" s="115"/>
      <x:c r="I26" s="115"/>
      <x:c r="J26" s="115"/>
      <x:c r="K26" s="115"/>
      <x:c r="L26" s="115"/>
      <x:c r="M26" s="115"/>
      <x:c r="N26" s="115"/>
      <x:c r="O26" s="115"/>
      <x:c r="P26" s="115"/>
      <x:c r="Q26" s="115"/>
      <x:c r="R26" s="115"/>
      <x:c r="S26" s="115"/>
      <x:c r="T26" s="115"/>
      <x:c r="U26" s="115"/>
      <x:c r="V26" s="115"/>
      <x:c r="W26" s="115"/>
      <x:c r="X26" s="115"/>
      <x:c r="Y26" s="115"/>
      <x:c r="Z26" s="115"/>
    </x:row>
    <x:row r="27">
      <x:c r="A27" s="115"/>
      <x:c r="B27" s="115"/>
      <x:c r="C27" s="115"/>
      <x:c r="D27" s="115"/>
      <x:c r="E27" s="115"/>
      <x:c r="F27" s="115"/>
      <x:c r="G27" s="115"/>
      <x:c r="H27" s="115"/>
      <x:c r="I27" s="115"/>
      <x:c r="J27" s="115"/>
      <x:c r="K27" s="115"/>
      <x:c r="L27" s="115"/>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15"/>
      <x:c r="B29" s="115"/>
      <x:c r="C29" s="115"/>
      <x:c r="D29" s="115"/>
      <x:c r="E29" s="115"/>
      <x:c r="F29" s="115"/>
      <x:c r="G29" s="115"/>
      <x:c r="H29" s="115"/>
      <x:c r="I29" s="115"/>
      <x:c r="J29" s="115"/>
      <x:c r="K29" s="115"/>
      <x:c r="L29" s="115"/>
      <x:c r="M29" s="115"/>
      <x:c r="N29" s="115"/>
      <x:c r="O29" s="115"/>
      <x:c r="P29" s="115"/>
      <x:c r="Q29" s="115"/>
      <x:c r="R29" s="115"/>
      <x:c r="S29" s="115"/>
      <x:c r="T29" s="115"/>
      <x:c r="U29" s="115"/>
      <x:c r="V29" s="115"/>
      <x:c r="W29" s="115"/>
      <x:c r="X29" s="115"/>
      <x:c r="Y29" s="115"/>
      <x:c r="Z29" s="115"/>
    </x:row>
    <x:row r="30">
      <x:c r="A30" s="115"/>
      <x:c r="B30" s="115"/>
      <x:c r="C30" s="115"/>
      <x:c r="D30" s="115"/>
      <x:c r="E30" s="115"/>
      <x:c r="F30" s="115"/>
      <x:c r="G30" s="115"/>
      <x:c r="H30" s="115"/>
      <x:c r="I30" s="115"/>
      <x:c r="J30" s="115"/>
      <x:c r="K30" s="115"/>
      <x:c r="L30" s="115"/>
      <x:c r="M30" s="115"/>
      <x:c r="N30" s="115"/>
      <x:c r="O30" s="115"/>
      <x:c r="P30" s="115"/>
      <x:c r="Q30" s="115"/>
      <x:c r="R30" s="115"/>
      <x:c r="S30" s="115"/>
      <x:c r="T30" s="115"/>
      <x:c r="U30" s="115"/>
      <x:c r="V30" s="115"/>
      <x:c r="W30" s="115"/>
      <x:c r="X30" s="115"/>
      <x:c r="Y30" s="115"/>
      <x:c r="Z30" s="115"/>
    </x:row>
    <x:row r="31">
      <x:c r="A31" s="115"/>
      <x:c r="B31" s="115"/>
      <x:c r="C31" s="115"/>
      <x:c r="D31" s="115"/>
      <x:c r="E31" s="115"/>
      <x:c r="F31" s="115"/>
      <x:c r="G31" s="115"/>
      <x:c r="H31" s="115"/>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F1"/>
    <x:mergeCell ref="A24:F2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9" hidden="0" customWidth="1"/>
    <x:col min="2" max="2" width="14" hidden="0" customWidth="1"/>
    <x:col min="3" max="3" width="14" hidden="0" customWidth="1"/>
    <x:col min="4" max="4" width="14" hidden="0" customWidth="1"/>
    <x:col min="5" max="5" width="14" hidden="0" customWidth="1"/>
    <x:col min="6" max="6" width="14" hidden="0" customWidth="1"/>
  </x:cols>
  <x:sheetData>
    <x:row r="1" ht="30" customHeight="1">
      <x:c r="A1" s="3" t="str">
        <x:v>Grandstand Limited — Historical Financials and Operating Drivers</x:v>
      </x:c>
      <x:c r="B1" s="3" t="str">
        <x:v>Grandstand Limited — Historical Financials and Operating Drivers</x:v>
      </x:c>
      <x:c r="C1" s="3" t="str">
        <x:v>Grandstand Limited — Historical Financials and Operating Drivers</x:v>
      </x:c>
      <x:c r="D1" s="3" t="str">
        <x:v>Grandstand Limited — Historical Financials and Operating Drivers</x:v>
      </x:c>
      <x:c r="E1" s="3" t="str">
        <x:v>Grandstand Limited — Historical Financials and Operating Drivers</x:v>
      </x:c>
      <x:c r="F1" s="3" t="str">
        <x:v>Grandstand Limited — Historical Financials and Operating Drivers</x:v>
      </x:c>
      <x:c r="G1" s="115"/>
      <x:c r="H1" s="115"/>
      <x:c r="I1" s="115"/>
      <x:c r="J1" s="115"/>
      <x:c r="K1" s="115"/>
      <x:c r="L1" s="115"/>
      <x:c r="M1" s="115"/>
      <x:c r="N1" s="115"/>
      <x:c r="O1" s="115"/>
      <x:c r="P1" s="115"/>
      <x:c r="Q1" s="115"/>
      <x:c r="R1" s="115"/>
      <x:c r="S1" s="115"/>
      <x:c r="T1" s="115"/>
      <x:c r="U1" s="115"/>
      <x:c r="V1" s="115"/>
      <x:c r="W1" s="115"/>
      <x:c r="X1" s="115"/>
      <x:c r="Y1" s="115"/>
      <x:c r="Z1" s="115"/>
    </x:row>
    <x:row r="2">
      <x:c r="A2" s="115"/>
      <x:c r="B2" s="115"/>
      <x:c r="C2" s="115"/>
      <x:c r="D2" s="115"/>
      <x:c r="E2" s="115"/>
      <x:c r="F2" s="115"/>
      <x:c r="G2" s="115"/>
      <x:c r="H2" s="115"/>
      <x:c r="I2" s="115"/>
      <x:c r="J2" s="115"/>
      <x:c r="K2" s="115"/>
      <x:c r="L2" s="115"/>
      <x:c r="M2" s="115"/>
      <x:c r="N2" s="115"/>
      <x:c r="O2" s="115"/>
      <x:c r="P2" s="115"/>
      <x:c r="Q2" s="115"/>
      <x:c r="R2" s="115"/>
      <x:c r="S2" s="115"/>
      <x:c r="T2" s="115"/>
      <x:c r="U2" s="115"/>
      <x:c r="V2" s="115"/>
      <x:c r="W2" s="115"/>
      <x:c r="X2" s="115"/>
      <x:c r="Y2" s="115"/>
      <x:c r="Z2" s="115"/>
    </x:row>
    <x:row r="3">
      <x:c r="A3" s="12" t="str">
        <x:v>USD millions, except per-share data</x:v>
      </x:c>
      <x:c r="B3" s="13" t="str">
        <x:v>FY2023A</x:v>
      </x:c>
      <x:c r="C3" s="13" t="str">
        <x:v>FY2024A</x:v>
      </x:c>
      <x:c r="D3" s="13" t="str">
        <x:v>FY2025A</x:v>
      </x:c>
      <x:c r="E3" s="13" t="str">
        <x:v>Q1 2025A</x:v>
      </x:c>
      <x:c r="F3" s="14" t="str">
        <x:v>Q1 2026A</x:v>
      </x:c>
      <x:c r="G3" s="115"/>
      <x:c r="H3" s="115"/>
      <x:c r="I3" s="115"/>
      <x:c r="J3" s="115"/>
      <x:c r="K3" s="115"/>
      <x:c r="L3" s="115"/>
      <x:c r="M3" s="115"/>
      <x:c r="N3" s="115"/>
      <x:c r="O3" s="115"/>
      <x:c r="P3" s="115"/>
      <x:c r="Q3" s="115"/>
      <x:c r="R3" s="115"/>
      <x:c r="S3" s="115"/>
      <x:c r="T3" s="115"/>
      <x:c r="U3" s="115"/>
      <x:c r="V3" s="115"/>
      <x:c r="W3" s="115"/>
      <x:c r="X3" s="115"/>
      <x:c r="Y3" s="115"/>
      <x:c r="Z3" s="115"/>
    </x:row>
    <x:row r="4">
      <x:c r="A4" s="115" t="str">
        <x:v>Revenue</x:v>
      </x:c>
      <x:c r="B4" s="146" t="n">
        <x:v>108.652</x:v>
      </x:c>
      <x:c r="C4" s="146" t="n">
        <x:v>127.182</x:v>
      </x:c>
      <x:c r="D4" s="146" t="n">
        <x:v>165.447</x:v>
      </x:c>
      <x:c r="E4" s="146" t="n">
        <x:v>40.635</x:v>
      </x:c>
      <x:c r="F4" s="146" t="n">
        <x:v>40.44</x:v>
      </x:c>
      <x:c r="G4" s="115"/>
      <x:c r="H4" s="115"/>
      <x:c r="I4" s="115"/>
      <x:c r="J4" s="115"/>
      <x:c r="K4" s="115"/>
      <x:c r="L4" s="115"/>
      <x:c r="M4" s="115"/>
      <x:c r="N4" s="115"/>
      <x:c r="O4" s="115"/>
      <x:c r="P4" s="115"/>
      <x:c r="Q4" s="115"/>
      <x:c r="R4" s="115"/>
      <x:c r="S4" s="115"/>
      <x:c r="T4" s="115"/>
      <x:c r="U4" s="115"/>
      <x:c r="V4" s="115"/>
      <x:c r="W4" s="115"/>
      <x:c r="X4" s="115"/>
      <x:c r="Y4" s="115"/>
      <x:c r="Z4" s="115"/>
    </x:row>
    <x:row r="5">
      <x:c r="A5" s="115" t="str">
        <x:v>Growth</x:v>
      </x:c>
      <x:c r="B5" s="147"/>
      <x:c r="C5" s="147" t="n">
        <x:f>C4/B4-1</x:f>
        <x:v>0.17054449066745203</x:v>
      </x:c>
      <x:c r="D5" s="147" t="n">
        <x:f>D4/C4-1</x:f>
        <x:v>0.30086804736519324</x:v>
      </x:c>
      <x:c r="E5" s="147"/>
      <x:c r="F5" s="147" t="n">
        <x:f>F4/E4-1</x:f>
        <x:v>-0.0047988187523071435</x:v>
      </x:c>
      <x:c r="G5" s="115"/>
      <x:c r="H5" s="115"/>
      <x:c r="I5" s="115"/>
      <x:c r="J5" s="115"/>
      <x:c r="K5" s="115"/>
      <x:c r="L5" s="115"/>
      <x:c r="M5" s="115"/>
      <x:c r="N5" s="115"/>
      <x:c r="O5" s="115"/>
      <x:c r="P5" s="115"/>
      <x:c r="Q5" s="115"/>
      <x:c r="R5" s="115"/>
      <x:c r="S5" s="115"/>
      <x:c r="T5" s="115"/>
      <x:c r="U5" s="115"/>
      <x:c r="V5" s="115"/>
      <x:c r="W5" s="115"/>
      <x:c r="X5" s="115"/>
      <x:c r="Y5" s="115"/>
      <x:c r="Z5" s="115"/>
    </x:row>
    <x:row r="6">
      <x:c r="A6" s="115" t="str">
        <x:v>Cost of sales</x:v>
      </x:c>
      <x:c r="B6" s="146" t="n">
        <x:v>-9.112</x:v>
      </x:c>
      <x:c r="C6" s="146" t="n">
        <x:v>-7.536</x:v>
      </x:c>
      <x:c r="D6" s="146" t="n">
        <x:v>-15.261</x:v>
      </x:c>
      <x:c r="E6" s="146" t="n">
        <x:v>-2.246</x:v>
      </x:c>
      <x:c r="F6" s="146" t="n">
        <x:v>-6.088</x:v>
      </x:c>
      <x:c r="G6" s="115"/>
      <x:c r="H6" s="115"/>
      <x:c r="I6" s="115"/>
      <x:c r="J6" s="115"/>
      <x:c r="K6" s="115"/>
      <x:c r="L6" s="115"/>
      <x:c r="M6" s="115"/>
      <x:c r="N6" s="115"/>
      <x:c r="O6" s="115"/>
      <x:c r="P6" s="115"/>
      <x:c r="Q6" s="115"/>
      <x:c r="R6" s="115"/>
      <x:c r="S6" s="115"/>
      <x:c r="T6" s="115"/>
      <x:c r="U6" s="115"/>
      <x:c r="V6" s="115"/>
      <x:c r="W6" s="115"/>
      <x:c r="X6" s="115"/>
      <x:c r="Y6" s="115"/>
      <x:c r="Z6" s="115"/>
    </x:row>
    <x:row r="7">
      <x:c r="A7" s="115" t="str">
        <x:v>Gross profit</x:v>
      </x:c>
      <x:c r="B7" s="146" t="n">
        <x:v>99.54</x:v>
      </x:c>
      <x:c r="C7" s="146" t="n">
        <x:v>119.646</x:v>
      </x:c>
      <x:c r="D7" s="146" t="n">
        <x:v>150.186</x:v>
      </x:c>
      <x:c r="E7" s="146" t="n">
        <x:v>38.389</x:v>
      </x:c>
      <x:c r="F7" s="146" t="n">
        <x:v>34.352</x:v>
      </x:c>
      <x:c r="G7" s="115"/>
      <x:c r="H7" s="115"/>
      <x:c r="I7" s="115"/>
      <x:c r="J7" s="115"/>
      <x:c r="K7" s="115"/>
      <x:c r="L7" s="115"/>
      <x:c r="M7" s="115"/>
      <x:c r="N7" s="115"/>
      <x:c r="O7" s="115"/>
      <x:c r="P7" s="115"/>
      <x:c r="Q7" s="115"/>
      <x:c r="R7" s="115"/>
      <x:c r="S7" s="115"/>
      <x:c r="T7" s="115"/>
      <x:c r="U7" s="115"/>
      <x:c r="V7" s="115"/>
      <x:c r="W7" s="115"/>
      <x:c r="X7" s="115"/>
      <x:c r="Y7" s="115"/>
      <x:c r="Z7" s="115"/>
    </x:row>
    <x:row r="8">
      <x:c r="A8" s="115" t="str">
        <x:v>Sales &amp; marketing</x:v>
      </x:c>
      <x:c r="B8" s="146" t="n">
        <x:v>-35.331</x:v>
      </x:c>
      <x:c r="C8" s="146" t="n">
        <x:v>-41.897</x:v>
      </x:c>
      <x:c r="D8" s="146" t="n">
        <x:v>-63.003</x:v>
      </x:c>
      <x:c r="E8" s="146" t="n">
        <x:v>-15.163</x:v>
      </x:c>
      <x:c r="F8" s="146" t="n">
        <x:v>-16.19</x:v>
      </x:c>
      <x:c r="G8" s="115"/>
      <x:c r="H8" s="115"/>
      <x:c r="I8" s="115"/>
      <x:c r="J8" s="115"/>
      <x:c r="K8" s="115"/>
      <x:c r="L8" s="115"/>
      <x:c r="M8" s="115"/>
      <x:c r="N8" s="115"/>
      <x:c r="O8" s="115"/>
      <x:c r="P8" s="115"/>
      <x:c r="Q8" s="115"/>
      <x:c r="R8" s="115"/>
      <x:c r="S8" s="115"/>
      <x:c r="T8" s="115"/>
      <x:c r="U8" s="115"/>
      <x:c r="V8" s="115"/>
      <x:c r="W8" s="115"/>
      <x:c r="X8" s="115"/>
      <x:c r="Y8" s="115"/>
      <x:c r="Z8" s="115"/>
    </x:row>
    <x:row r="9">
      <x:c r="A9" s="115" t="str">
        <x:v>Technology</x:v>
      </x:c>
      <x:c r="B9" s="146" t="n">
        <x:v>-10.287</x:v>
      </x:c>
      <x:c r="C9" s="146" t="n">
        <x:v>-13.949</x:v>
      </x:c>
      <x:c r="D9" s="146" t="n">
        <x:v>-24.789</x:v>
      </x:c>
      <x:c r="E9" s="146" t="n">
        <x:v>-5.193</x:v>
      </x:c>
      <x:c r="F9" s="146" t="n">
        <x:v>-6.658</x:v>
      </x:c>
      <x:c r="G9" s="115"/>
      <x:c r="H9" s="115"/>
      <x:c r="I9" s="115"/>
      <x:c r="J9" s="115"/>
      <x:c r="K9" s="115"/>
      <x:c r="L9" s="115"/>
      <x:c r="M9" s="115"/>
      <x:c r="N9" s="115"/>
      <x:c r="O9" s="115"/>
      <x:c r="P9" s="115"/>
      <x:c r="Q9" s="115"/>
      <x:c r="R9" s="115"/>
      <x:c r="S9" s="115"/>
      <x:c r="T9" s="115"/>
      <x:c r="U9" s="115"/>
      <x:c r="V9" s="115"/>
      <x:c r="W9" s="115"/>
      <x:c r="X9" s="115"/>
      <x:c r="Y9" s="115"/>
      <x:c r="Z9" s="115"/>
    </x:row>
    <x:row r="10">
      <x:c r="A10" s="115" t="str">
        <x:v>G&amp;A</x:v>
      </x:c>
      <x:c r="B10" s="146" t="n">
        <x:v>-24.291</x:v>
      </x:c>
      <x:c r="C10" s="146" t="n">
        <x:v>-27.645</x:v>
      </x:c>
      <x:c r="D10" s="146" t="n">
        <x:v>-32.169</x:v>
      </x:c>
      <x:c r="E10" s="146" t="n">
        <x:v>-7.675</x:v>
      </x:c>
      <x:c r="F10" s="146" t="n">
        <x:v>-8.156</x:v>
      </x:c>
      <x:c r="G10" s="115"/>
      <x:c r="H10" s="115"/>
      <x:c r="I10" s="115"/>
      <x:c r="J10" s="115"/>
      <x:c r="K10" s="115"/>
      <x:c r="L10" s="115"/>
      <x:c r="M10" s="115"/>
      <x:c r="N10" s="115"/>
      <x:c r="O10" s="115"/>
      <x:c r="P10" s="115"/>
      <x:c r="Q10" s="115"/>
      <x:c r="R10" s="115"/>
      <x:c r="S10" s="115"/>
      <x:c r="T10" s="115"/>
      <x:c r="U10" s="115"/>
      <x:c r="V10" s="115"/>
      <x:c r="W10" s="115"/>
      <x:c r="X10" s="115"/>
      <x:c r="Y10" s="115"/>
      <x:c r="Z10" s="115"/>
    </x:row>
    <x:row r="11">
      <x:c r="A11" s="115" t="str">
        <x:v>Other / impairment / contingent FV</x:v>
      </x:c>
      <x:c r="B11" s="146" t="n">
        <x:v>-7.853</x:v>
      </x:c>
      <x:c r="C11" s="146" t="n">
        <x:v>-0.48</x:v>
      </x:c>
      <x:c r="D11" s="146" t="n">
        <x:v>-62.013</x:v>
      </x:c>
      <x:c r="E11" s="146" t="n">
        <x:v>-0.329</x:v>
      </x:c>
      <x:c r="F11" s="146" t="n">
        <x:v>-0.082</x:v>
      </x:c>
      <x:c r="G11" s="115"/>
      <x:c r="H11" s="115"/>
      <x:c r="I11" s="115"/>
      <x:c r="J11" s="115"/>
      <x:c r="K11" s="115"/>
      <x:c r="L11" s="115"/>
      <x:c r="M11" s="115"/>
      <x:c r="N11" s="115"/>
      <x:c r="O11" s="115"/>
      <x:c r="P11" s="115"/>
      <x:c r="Q11" s="115"/>
      <x:c r="R11" s="115"/>
      <x:c r="S11" s="115"/>
      <x:c r="T11" s="115"/>
      <x:c r="U11" s="115"/>
      <x:c r="V11" s="115"/>
      <x:c r="W11" s="115"/>
      <x:c r="X11" s="115"/>
      <x:c r="Y11" s="115"/>
      <x:c r="Z11" s="115"/>
    </x:row>
    <x:row r="12">
      <x:c r="A12" s="115" t="str">
        <x:v>Operating profit</x:v>
      </x:c>
      <x:c r="B12" s="146" t="n">
        <x:v>21.778</x:v>
      </x:c>
      <x:c r="C12" s="146" t="n">
        <x:v>35.675</x:v>
      </x:c>
      <x:c r="D12" s="146" t="n">
        <x:v>-31.788</x:v>
      </x:c>
      <x:c r="E12" s="146" t="n">
        <x:v>10.029</x:v>
      </x:c>
      <x:c r="F12" s="146" t="n">
        <x:v>3.266</x:v>
      </x:c>
      <x:c r="G12" s="115"/>
      <x:c r="H12" s="115"/>
      <x:c r="I12" s="115"/>
      <x:c r="J12" s="115"/>
      <x:c r="K12" s="115"/>
      <x:c r="L12" s="115"/>
      <x:c r="M12" s="115"/>
      <x:c r="N12" s="115"/>
      <x:c r="O12" s="115"/>
      <x:c r="P12" s="115"/>
      <x:c r="Q12" s="115"/>
      <x:c r="R12" s="115"/>
      <x:c r="S12" s="115"/>
      <x:c r="T12" s="115"/>
      <x:c r="U12" s="115"/>
      <x:c r="V12" s="115"/>
      <x:c r="W12" s="115"/>
      <x:c r="X12" s="115"/>
      <x:c r="Y12" s="115"/>
      <x:c r="Z12" s="115"/>
    </x:row>
    <x:row r="13">
      <x:c r="A13" s="115" t="str">
        <x:v>Adjusted EBITDA (management)</x:v>
      </x:c>
      <x:c r="B13" s="146" t="n">
        <x:v>36.715</x:v>
      </x:c>
      <x:c r="C13" s="146" t="n">
        <x:v>48.691</x:v>
      </x:c>
      <x:c r="D13" s="146" t="n">
        <x:v>58.01</x:v>
      </x:c>
      <x:c r="E13" s="146" t="n">
        <x:v>15.864</x:v>
      </x:c>
      <x:c r="F13" s="146" t="n">
        <x:v>9.001</x:v>
      </x:c>
      <x:c r="G13" s="115"/>
      <x:c r="H13" s="115"/>
      <x:c r="I13" s="115"/>
      <x:c r="J13" s="115"/>
      <x:c r="K13" s="115"/>
      <x:c r="L13" s="115"/>
      <x:c r="M13" s="115"/>
      <x:c r="N13" s="115"/>
      <x:c r="O13" s="115"/>
      <x:c r="P13" s="115"/>
      <x:c r="Q13" s="115"/>
      <x:c r="R13" s="115"/>
      <x:c r="S13" s="115"/>
      <x:c r="T13" s="115"/>
      <x:c r="U13" s="115"/>
      <x:c r="V13" s="115"/>
      <x:c r="W13" s="115"/>
      <x:c r="X13" s="115"/>
      <x:c r="Y13" s="115"/>
      <x:c r="Z13" s="115"/>
    </x:row>
    <x:row r="14">
      <x:c r="A14" s="156" t="str">
        <x:v>Cash flow from operations</x:v>
      </x:c>
      <x:c r="B14" s="157" t="n">
        <x:v>17.91</x:v>
      </x:c>
      <x:c r="C14" s="157" t="n">
        <x:v>37.638</x:v>
      </x:c>
      <x:c r="D14" s="157" t="n">
        <x:v>19.104</x:v>
      </x:c>
      <x:c r="E14" s="157" t="n">
        <x:v>8.092</x:v>
      </x:c>
      <x:c r="F14" s="157" t="n">
        <x:v>0.914</x:v>
      </x:c>
      <x:c r="G14" s="115"/>
      <x:c r="H14" s="115"/>
      <x:c r="I14" s="115"/>
      <x:c r="J14" s="115"/>
      <x:c r="K14" s="115"/>
      <x:c r="L14" s="115"/>
      <x:c r="M14" s="115"/>
      <x:c r="N14" s="115"/>
      <x:c r="O14" s="115"/>
      <x:c r="P14" s="115"/>
      <x:c r="Q14" s="115"/>
      <x:c r="R14" s="115"/>
      <x:c r="S14" s="115"/>
      <x:c r="T14" s="115"/>
      <x:c r="U14" s="115"/>
      <x:c r="V14" s="115"/>
      <x:c r="W14" s="115"/>
      <x:c r="X14" s="115"/>
      <x:c r="Y14" s="115"/>
      <x:c r="Z14" s="115"/>
    </x:row>
    <x:row r="15">
      <x:c r="A15" s="115" t="str">
        <x:v>Free cash flow (management)</x:v>
      </x:c>
      <x:c r="B15" s="146" t="n">
        <x:v>23</x:v>
      </x:c>
      <x:c r="C15" s="146" t="n">
        <x:v>41.582</x:v>
      </x:c>
      <x:c r="D15" s="146" t="n">
        <x:v>32.938</x:v>
      </x:c>
      <x:c r="E15" s="146" t="n">
        <x:v>6.954</x:v>
      </x:c>
      <x:c r="F15" s="146" t="n">
        <x:v>1.688</x:v>
      </x:c>
      <x:c r="G15" s="115"/>
      <x:c r="H15" s="115"/>
      <x:c r="I15" s="115"/>
      <x:c r="J15" s="115"/>
      <x:c r="K15" s="115"/>
      <x:c r="L15" s="115"/>
      <x:c r="M15" s="115"/>
      <x:c r="N15" s="115"/>
      <x:c r="O15" s="115"/>
      <x:c r="P15" s="115"/>
      <x:c r="Q15" s="115"/>
      <x:c r="R15" s="115"/>
      <x:c r="S15" s="115"/>
      <x:c r="T15" s="115"/>
      <x:c r="U15" s="115"/>
      <x:c r="V15" s="115"/>
      <x:c r="W15" s="115"/>
      <x:c r="X15" s="115"/>
      <x:c r="Y15" s="115"/>
      <x:c r="Z15" s="115"/>
    </x:row>
    <x:row r="16">
      <x:c r="A16" s="115" t="str">
        <x:v>Cash</x:v>
      </x:c>
      <x:c r="B16" s="146"/>
      <x:c r="C16" s="146" t="n">
        <x:v>13.729</x:v>
      </x:c>
      <x:c r="D16" s="146" t="n">
        <x:v>15.814</x:v>
      </x:c>
      <x:c r="E16" s="146"/>
      <x:c r="F16" s="146" t="n">
        <x:v>8.412</x:v>
      </x:c>
      <x:c r="G16" s="115"/>
      <x:c r="H16" s="115"/>
      <x:c r="I16" s="115"/>
      <x:c r="J16" s="115"/>
      <x:c r="K16" s="115"/>
      <x:c r="L16" s="115"/>
      <x:c r="M16" s="115"/>
      <x:c r="N16" s="115"/>
      <x:c r="O16" s="115"/>
      <x:c r="P16" s="115"/>
      <x:c r="Q16" s="115"/>
      <x:c r="R16" s="115"/>
      <x:c r="S16" s="115"/>
      <x:c r="T16" s="115"/>
      <x:c r="U16" s="115"/>
      <x:c r="V16" s="115"/>
      <x:c r="W16" s="115"/>
      <x:c r="X16" s="115"/>
      <x:c r="Y16" s="115"/>
      <x:c r="Z16" s="115"/>
    </x:row>
    <x:row r="17">
      <x:c r="A17" s="115" t="str">
        <x:v>Borrowings + accrued interest</x:v>
      </x:c>
      <x:c r="B17" s="146"/>
      <x:c r="C17" s="146" t="n">
        <x:v>22.931</x:v>
      </x:c>
      <x:c r="D17" s="146" t="n">
        <x:v>118.636</x:v>
      </x:c>
      <x:c r="E17" s="146"/>
      <x:c r="F17" s="146" t="n">
        <x:v>116.504</x:v>
      </x:c>
      <x:c r="G17" s="115"/>
      <x:c r="H17" s="115"/>
      <x:c r="I17" s="115"/>
      <x:c r="J17" s="115"/>
      <x:c r="K17" s="115"/>
      <x:c r="L17" s="115"/>
      <x:c r="M17" s="115"/>
      <x:c r="N17" s="115"/>
      <x:c r="O17" s="115"/>
      <x:c r="P17" s="115"/>
      <x:c r="Q17" s="115"/>
      <x:c r="R17" s="115"/>
      <x:c r="S17" s="115"/>
      <x:c r="T17" s="115"/>
      <x:c r="U17" s="115"/>
      <x:c r="V17" s="115"/>
      <x:c r="W17" s="115"/>
      <x:c r="X17" s="115"/>
      <x:c r="Y17" s="115"/>
      <x:c r="Z17" s="115"/>
    </x:row>
    <x:row r="18">
      <x:c r="A18" s="115" t="str">
        <x:v>New depositing customers (000s)</x:v>
      </x:c>
      <x:c r="B18" s="146"/>
      <x:c r="C18" s="146"/>
      <x:c r="D18" s="146"/>
      <x:c r="E18" s="146" t="n">
        <x:v>138</x:v>
      </x:c>
      <x:c r="F18" s="146" t="n">
        <x:v>140</x:v>
      </x:c>
      <x:c r="G18" s="115"/>
      <x:c r="H18" s="115"/>
      <x:c r="I18" s="115"/>
      <x:c r="J18" s="115"/>
      <x:c r="K18" s="115"/>
      <x:c r="L18" s="115"/>
      <x:c r="M18" s="115"/>
      <x:c r="N18" s="115"/>
      <x:c r="O18" s="115"/>
      <x:c r="P18" s="115"/>
      <x:c r="Q18" s="115"/>
      <x:c r="R18" s="115"/>
      <x:c r="S18" s="115"/>
      <x:c r="T18" s="115"/>
      <x:c r="U18" s="115"/>
      <x:c r="V18" s="115"/>
      <x:c r="W18" s="115"/>
      <x:c r="X18" s="115"/>
      <x:c r="Y18" s="115"/>
      <x:c r="Z18" s="115"/>
    </x:row>
    <x:row r="19">
      <x:c r="A19" s="115" t="str">
        <x:v>Diluted weighted-average shares (mm)</x:v>
      </x:c>
      <x:c r="B19" s="146" t="n">
        <x:v>38.542</x:v>
      </x:c>
      <x:c r="C19" s="146" t="n">
        <x:v>36.337</x:v>
      </x:c>
      <x:c r="D19" s="146" t="n">
        <x:v>35.478</x:v>
      </x:c>
      <x:c r="E19" s="146" t="n">
        <x:v>36.22</x:v>
      </x:c>
      <x:c r="F19" s="146" t="n">
        <x:v>42.427</x:v>
      </x:c>
      <x:c r="G19" s="115"/>
      <x:c r="H19" s="115"/>
      <x:c r="I19" s="115"/>
      <x:c r="J19" s="115"/>
      <x:c r="K19" s="115"/>
      <x:c r="L19" s="115"/>
      <x:c r="M19" s="115"/>
      <x:c r="N19" s="115"/>
      <x:c r="O19" s="115"/>
      <x:c r="P19" s="115"/>
      <x:c r="Q19" s="115"/>
      <x:c r="R19" s="115"/>
      <x:c r="S19" s="115"/>
      <x:c r="T19" s="115"/>
      <x:c r="U19" s="115"/>
      <x:c r="V19" s="115"/>
      <x:c r="W19" s="115"/>
      <x:c r="X19" s="115"/>
      <x:c r="Y19" s="115"/>
      <x:c r="Z19" s="115"/>
    </x:row>
    <x:row r="20">
      <x:c r="A20" s="115" t="str">
        <x:v>Source ID</x:v>
      </x:c>
      <x:c r="B20" s="158" t="str">
        <x:v>S1</x:v>
      </x:c>
      <x:c r="C20" s="158" t="str">
        <x:v>S1</x:v>
      </x:c>
      <x:c r="D20" s="158" t="str">
        <x:v>S1</x:v>
      </x:c>
      <x:c r="E20" s="158" t="str">
        <x:v>S2</x:v>
      </x:c>
      <x:c r="F20" s="158" t="str">
        <x:v>S2</x:v>
      </x:c>
      <x:c r="G20" s="115"/>
      <x:c r="H20" s="115"/>
      <x:c r="I20" s="115"/>
      <x:c r="J20" s="115"/>
      <x:c r="K20" s="115"/>
      <x:c r="L20" s="115"/>
      <x:c r="M20" s="115"/>
      <x:c r="N20" s="115"/>
      <x:c r="O20" s="115"/>
      <x:c r="P20" s="115"/>
      <x:c r="Q20" s="115"/>
      <x:c r="R20" s="115"/>
      <x:c r="S20" s="115"/>
      <x:c r="T20" s="115"/>
      <x:c r="U20" s="115"/>
      <x:c r="V20" s="115"/>
      <x:c r="W20" s="115"/>
      <x:c r="X20" s="115"/>
      <x:c r="Y20" s="115"/>
      <x:c r="Z20" s="115"/>
    </x:row>
    <x:row r="21">
      <x:c r="A21" s="115"/>
      <x:c r="B21" s="115"/>
      <x:c r="C21" s="115"/>
      <x:c r="D21" s="115"/>
      <x:c r="E21" s="115"/>
      <x:c r="F21" s="115"/>
      <x:c r="G21" s="115"/>
      <x:c r="H21" s="115"/>
      <x:c r="I21" s="115"/>
      <x:c r="J21" s="115"/>
      <x:c r="K21" s="115"/>
      <x:c r="L21" s="115"/>
      <x:c r="M21" s="115"/>
      <x:c r="N21" s="115"/>
      <x:c r="O21" s="115"/>
      <x:c r="P21" s="115"/>
      <x:c r="Q21" s="115"/>
      <x:c r="R21" s="115"/>
      <x:c r="S21" s="115"/>
      <x:c r="T21" s="115"/>
      <x:c r="U21" s="115"/>
      <x:c r="V21" s="115"/>
      <x:c r="W21" s="115"/>
      <x:c r="X21" s="115"/>
      <x:c r="Y21" s="115"/>
      <x:c r="Z21" s="115"/>
    </x:row>
    <x:row r="22">
      <x:c r="A22" s="115"/>
      <x:c r="B22" s="115"/>
      <x:c r="C22" s="115"/>
      <x:c r="D22" s="115"/>
      <x:c r="E22" s="115"/>
      <x:c r="F22" s="115"/>
      <x:c r="G22" s="115"/>
      <x:c r="H22" s="115"/>
      <x:c r="I22" s="115"/>
      <x:c r="J22" s="115"/>
      <x:c r="K22" s="115"/>
      <x:c r="L22" s="115"/>
      <x:c r="M22" s="115"/>
      <x:c r="N22" s="115"/>
      <x:c r="O22" s="115"/>
      <x:c r="P22" s="115"/>
      <x:c r="Q22" s="115"/>
      <x:c r="R22" s="115"/>
      <x:c r="S22" s="115"/>
      <x:c r="T22" s="115"/>
      <x:c r="U22" s="115"/>
      <x:c r="V22" s="115"/>
      <x:c r="W22" s="115"/>
      <x:c r="X22" s="115"/>
      <x:c r="Y22" s="115"/>
      <x:c r="Z22" s="115"/>
    </x:row>
    <x:row r="23">
      <x:c r="A23" s="159" t="str">
        <x:v>Reported FY2025 operating profit is distorted by a $14.0m intangible impairment and $47.7m fair-value movement on contingent consideration. The forecast starts from management’s FY2026 revenue and adjusted-EBITDA outlook but deducts D&amp;A, cash taxes, capex and working-capital investment to construct FCFF; management adjusted EBITDA is not used as a cash-flow substitute.</x:v>
      </x:c>
      <x:c r="B23" s="159"/>
      <x:c r="C23" s="159"/>
      <x:c r="D23" s="159"/>
      <x:c r="E23" s="159"/>
      <x:c r="F23" s="159"/>
      <x:c r="G23" s="115"/>
      <x:c r="H23" s="115"/>
      <x:c r="I23" s="115"/>
      <x:c r="J23" s="115"/>
      <x:c r="K23" s="115"/>
      <x:c r="L23" s="115"/>
      <x:c r="M23" s="115"/>
      <x:c r="N23" s="115"/>
      <x:c r="O23" s="115"/>
      <x:c r="P23" s="115"/>
      <x:c r="Q23" s="115"/>
      <x:c r="R23" s="115"/>
      <x:c r="S23" s="115"/>
      <x:c r="T23" s="115"/>
      <x:c r="U23" s="115"/>
      <x:c r="V23" s="115"/>
      <x:c r="W23" s="115"/>
      <x:c r="X23" s="115"/>
      <x:c r="Y23" s="115"/>
      <x:c r="Z23" s="115"/>
    </x:row>
    <x:row r="24">
      <x:c r="A24" s="159"/>
      <x:c r="B24" s="159"/>
      <x:c r="C24" s="159"/>
      <x:c r="D24" s="159"/>
      <x:c r="E24" s="159"/>
      <x:c r="F24" s="159"/>
      <x:c r="G24" s="115"/>
      <x:c r="H24" s="115"/>
      <x:c r="I24" s="115"/>
      <x:c r="J24" s="115"/>
      <x:c r="K24" s="115"/>
      <x:c r="L24" s="115"/>
      <x:c r="M24" s="115"/>
      <x:c r="N24" s="115"/>
      <x:c r="O24" s="115"/>
      <x:c r="P24" s="115"/>
      <x:c r="Q24" s="115"/>
      <x:c r="R24" s="115"/>
      <x:c r="S24" s="115"/>
      <x:c r="T24" s="115"/>
      <x:c r="U24" s="115"/>
      <x:c r="V24" s="115"/>
      <x:c r="W24" s="115"/>
      <x:c r="X24" s="115"/>
      <x:c r="Y24" s="115"/>
      <x:c r="Z24" s="115"/>
    </x:row>
    <x:row r="25">
      <x:c r="A25" s="159"/>
      <x:c r="B25" s="159"/>
      <x:c r="C25" s="159"/>
      <x:c r="D25" s="159"/>
      <x:c r="E25" s="159"/>
      <x:c r="F25" s="159"/>
      <x:c r="G25" s="115"/>
      <x:c r="H25" s="115"/>
      <x:c r="I25" s="115"/>
      <x:c r="J25" s="115"/>
      <x:c r="K25" s="115"/>
      <x:c r="L25" s="115"/>
      <x:c r="M25" s="115"/>
      <x:c r="N25" s="115"/>
      <x:c r="O25" s="115"/>
      <x:c r="P25" s="115"/>
      <x:c r="Q25" s="115"/>
      <x:c r="R25" s="115"/>
      <x:c r="S25" s="115"/>
      <x:c r="T25" s="115"/>
      <x:c r="U25" s="115"/>
      <x:c r="V25" s="115"/>
      <x:c r="W25" s="115"/>
      <x:c r="X25" s="115"/>
      <x:c r="Y25" s="115"/>
      <x:c r="Z25" s="115"/>
    </x:row>
    <x:row r="26">
      <x:c r="A26" s="115"/>
      <x:c r="B26" s="115"/>
      <x:c r="C26" s="115"/>
      <x:c r="D26" s="115"/>
      <x:c r="E26" s="115"/>
      <x:c r="F26" s="115"/>
      <x:c r="G26" s="115"/>
      <x:c r="H26" s="115"/>
      <x:c r="I26" s="115"/>
      <x:c r="J26" s="115"/>
      <x:c r="K26" s="115"/>
      <x:c r="L26" s="115"/>
      <x:c r="M26" s="115"/>
      <x:c r="N26" s="115"/>
      <x:c r="O26" s="115"/>
      <x:c r="P26" s="115"/>
      <x:c r="Q26" s="115"/>
      <x:c r="R26" s="115"/>
      <x:c r="S26" s="115"/>
      <x:c r="T26" s="115"/>
      <x:c r="U26" s="115"/>
      <x:c r="V26" s="115"/>
      <x:c r="W26" s="115"/>
      <x:c r="X26" s="115"/>
      <x:c r="Y26" s="115"/>
      <x:c r="Z26" s="115"/>
    </x:row>
    <x:row r="27">
      <x:c r="A27" s="115"/>
      <x:c r="B27" s="115"/>
      <x:c r="C27" s="115"/>
      <x:c r="D27" s="115"/>
      <x:c r="E27" s="115"/>
      <x:c r="F27" s="115"/>
      <x:c r="G27" s="115"/>
      <x:c r="H27" s="115"/>
      <x:c r="I27" s="115"/>
      <x:c r="J27" s="115"/>
      <x:c r="K27" s="115"/>
      <x:c r="L27" s="115"/>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15"/>
      <x:c r="B29" s="115"/>
      <x:c r="C29" s="115"/>
      <x:c r="D29" s="115"/>
      <x:c r="E29" s="115"/>
      <x:c r="F29" s="115"/>
      <x:c r="G29" s="115"/>
      <x:c r="H29" s="115"/>
      <x:c r="I29" s="115"/>
      <x:c r="J29" s="115"/>
      <x:c r="K29" s="115"/>
      <x:c r="L29" s="115"/>
      <x:c r="M29" s="115"/>
      <x:c r="N29" s="115"/>
      <x:c r="O29" s="115"/>
      <x:c r="P29" s="115"/>
      <x:c r="Q29" s="115"/>
      <x:c r="R29" s="115"/>
      <x:c r="S29" s="115"/>
      <x:c r="T29" s="115"/>
      <x:c r="U29" s="115"/>
      <x:c r="V29" s="115"/>
      <x:c r="W29" s="115"/>
      <x:c r="X29" s="115"/>
      <x:c r="Y29" s="115"/>
      <x:c r="Z29" s="115"/>
    </x:row>
    <x:row r="30">
      <x:c r="A30" s="115"/>
      <x:c r="B30" s="115"/>
      <x:c r="C30" s="115"/>
      <x:c r="D30" s="115"/>
      <x:c r="E30" s="115"/>
      <x:c r="F30" s="115"/>
      <x:c r="G30" s="115"/>
      <x:c r="H30" s="115"/>
      <x:c r="I30" s="115"/>
      <x:c r="J30" s="115"/>
      <x:c r="K30" s="115"/>
      <x:c r="L30" s="115"/>
      <x:c r="M30" s="115"/>
      <x:c r="N30" s="115"/>
      <x:c r="O30" s="115"/>
      <x:c r="P30" s="115"/>
      <x:c r="Q30" s="115"/>
      <x:c r="R30" s="115"/>
      <x:c r="S30" s="115"/>
      <x:c r="T30" s="115"/>
      <x:c r="U30" s="115"/>
      <x:c r="V30" s="115"/>
      <x:c r="W30" s="115"/>
      <x:c r="X30" s="115"/>
      <x:c r="Y30" s="115"/>
      <x:c r="Z30" s="115"/>
    </x:row>
    <x:row r="31">
      <x:c r="A31" s="115"/>
      <x:c r="B31" s="115"/>
      <x:c r="C31" s="115"/>
      <x:c r="D31" s="115"/>
      <x:c r="E31" s="115"/>
      <x:c r="F31" s="115"/>
      <x:c r="G31" s="115"/>
      <x:c r="H31" s="115"/>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F1"/>
    <x:mergeCell ref="A23:F2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 t="str">
        <x:v>Grandstand Limited — Base-Case FCFF Forecast</x:v>
      </x:c>
      <x:c r="B1" s="3" t="str">
        <x:v>Grandstand Limited — Base-Case FCFF Forecast</x:v>
      </x:c>
      <x:c r="C1" s="3" t="str">
        <x:v>Grandstand Limited — Base-Case FCFF Forecast</x:v>
      </x:c>
      <x:c r="D1" s="3" t="str">
        <x:v>Grandstand Limited — Base-Case FCFF Forecast</x:v>
      </x:c>
      <x:c r="E1" s="3" t="str">
        <x:v>Grandstand Limited — Base-Case FCFF Forecast</x:v>
      </x:c>
      <x:c r="F1" s="3" t="str">
        <x:v>Grandstand Limited — Base-Case FCFF Forecast</x:v>
      </x:c>
      <x:c r="G1" s="3" t="str">
        <x:v>Grandstand Limited — Base-Case FCFF Forecast</x:v>
      </x:c>
      <x:c r="H1" s="3" t="str">
        <x:v>Grandstand Limited — Base-Case FCFF Forecast</x:v>
      </x:c>
      <x:c r="I1" s="115"/>
      <x:c r="J1" s="115"/>
      <x:c r="K1" s="115"/>
      <x:c r="L1" s="115"/>
      <x:c r="M1" s="115"/>
      <x:c r="N1" s="115"/>
      <x:c r="O1" s="115"/>
      <x:c r="P1" s="115"/>
      <x:c r="Q1" s="115"/>
      <x:c r="R1" s="115"/>
      <x:c r="S1" s="115"/>
      <x:c r="T1" s="115"/>
      <x:c r="U1" s="115"/>
      <x:c r="V1" s="115"/>
      <x:c r="W1" s="115"/>
      <x:c r="X1" s="115"/>
      <x:c r="Y1" s="115"/>
      <x:c r="Z1" s="115"/>
    </x:row>
    <x:row r="2">
      <x:c r="A2" s="115"/>
      <x:c r="B2" s="115"/>
      <x:c r="C2" s="115"/>
      <x:c r="D2" s="115"/>
      <x:c r="E2" s="115"/>
      <x:c r="F2" s="115"/>
      <x:c r="G2" s="115"/>
      <x:c r="H2" s="115"/>
      <x:c r="I2" s="115"/>
      <x:c r="J2" s="115"/>
      <x:c r="K2" s="115"/>
      <x:c r="L2" s="115"/>
      <x:c r="M2" s="115"/>
      <x:c r="N2" s="115"/>
      <x:c r="O2" s="115"/>
      <x:c r="P2" s="115"/>
      <x:c r="Q2" s="115"/>
      <x:c r="R2" s="115"/>
      <x:c r="S2" s="115"/>
      <x:c r="T2" s="115"/>
      <x:c r="U2" s="115"/>
      <x:c r="V2" s="115"/>
      <x:c r="W2" s="115"/>
      <x:c r="X2" s="115"/>
      <x:c r="Y2" s="115"/>
      <x:c r="Z2" s="115"/>
    </x:row>
    <x:row r="3">
      <x:c r="A3" s="12" t="str">
        <x:v>USD millions, except ratios</x:v>
      </x:c>
      <x:c r="B3" s="13" t="str">
        <x:v>FY2025A</x:v>
      </x:c>
      <x:c r="C3" s="13" t="str">
        <x:v>FY2026E</x:v>
      </x:c>
      <x:c r="D3" s="13" t="str">
        <x:v>FY2027E</x:v>
      </x:c>
      <x:c r="E3" s="13" t="str">
        <x:v>FY2028E</x:v>
      </x:c>
      <x:c r="F3" s="13" t="str">
        <x:v>FY2029E</x:v>
      </x:c>
      <x:c r="G3" s="13" t="str">
        <x:v>FY2030E</x:v>
      </x:c>
      <x:c r="H3" s="14" t="str">
        <x:v>FY2031E</x:v>
      </x:c>
      <x:c r="I3" s="115"/>
      <x:c r="J3" s="115"/>
      <x:c r="K3" s="115"/>
      <x:c r="L3" s="115"/>
      <x:c r="M3" s="115"/>
      <x:c r="N3" s="115"/>
      <x:c r="O3" s="115"/>
      <x:c r="P3" s="115"/>
      <x:c r="Q3" s="115"/>
      <x:c r="R3" s="115"/>
      <x:c r="S3" s="115"/>
      <x:c r="T3" s="115"/>
      <x:c r="U3" s="115"/>
      <x:c r="V3" s="115"/>
      <x:c r="W3" s="115"/>
      <x:c r="X3" s="115"/>
      <x:c r="Y3" s="115"/>
      <x:c r="Z3" s="115"/>
    </x:row>
    <x:row r="4">
      <x:c r="A4" s="115" t="str">
        <x:v>Revenue</x:v>
      </x:c>
      <x:c r="B4" s="146" t="n">
        <x:v>165.447</x:v>
      </x:c>
      <x:c r="C4" s="160" t="n">
        <x:v>167.5</x:v>
      </x:c>
      <x:c r="D4" s="160" t="n">
        <x:f>C4*(1+D5)</x:f>
        <x:v>184.25000000000003</x:v>
      </x:c>
      <x:c r="E4" s="160" t="n">
        <x:f>D4*(1+E5)</x:f>
        <x:v>198.99000000000004</x:v>
      </x:c>
      <x:c r="F4" s="160" t="n">
        <x:f>E4*(1+F5)</x:f>
        <x:v>212.91930000000005</x:v>
      </x:c>
      <x:c r="G4" s="160" t="n">
        <x:f>F4*(1+G5)</x:f>
        <x:v>225.69445800000005</x:v>
      </x:c>
      <x:c r="H4" s="160" t="n">
        <x:f>G4*(1+H5)</x:f>
        <x:v>236.97918090000007</x:v>
      </x:c>
      <x:c r="I4" s="115"/>
      <x:c r="J4" s="115"/>
      <x:c r="K4" s="115"/>
      <x:c r="L4" s="115"/>
      <x:c r="M4" s="115"/>
      <x:c r="N4" s="115"/>
      <x:c r="O4" s="115"/>
      <x:c r="P4" s="115"/>
      <x:c r="Q4" s="115"/>
      <x:c r="R4" s="115"/>
      <x:c r="S4" s="115"/>
      <x:c r="T4" s="115"/>
      <x:c r="U4" s="115"/>
      <x:c r="V4" s="115"/>
      <x:c r="W4" s="115"/>
      <x:c r="X4" s="115"/>
      <x:c r="Y4" s="115"/>
      <x:c r="Z4" s="115"/>
    </x:row>
    <x:row r="5">
      <x:c r="A5" s="115" t="str">
        <x:v>Revenue growth</x:v>
      </x:c>
      <x:c r="B5" s="147"/>
      <x:c r="C5" s="153" t="n">
        <x:v>0.0124</x:v>
      </x:c>
      <x:c r="D5" s="153" t="n">
        <x:v>0.1</x:v>
      </x:c>
      <x:c r="E5" s="153" t="n">
        <x:v>0.08</x:v>
      </x:c>
      <x:c r="F5" s="153" t="n">
        <x:v>0.07</x:v>
      </x:c>
      <x:c r="G5" s="153" t="n">
        <x:v>0.06</x:v>
      </x:c>
      <x:c r="H5" s="153" t="n">
        <x:v>0.05</x:v>
      </x:c>
      <x:c r="I5" s="115"/>
      <x:c r="J5" s="115"/>
      <x:c r="K5" s="115"/>
      <x:c r="L5" s="115"/>
      <x:c r="M5" s="115"/>
      <x:c r="N5" s="115"/>
      <x:c r="O5" s="115"/>
      <x:c r="P5" s="115"/>
      <x:c r="Q5" s="115"/>
      <x:c r="R5" s="115"/>
      <x:c r="S5" s="115"/>
      <x:c r="T5" s="115"/>
      <x:c r="U5" s="115"/>
      <x:c r="V5" s="115"/>
      <x:c r="W5" s="115"/>
      <x:c r="X5" s="115"/>
      <x:c r="Y5" s="115"/>
      <x:c r="Z5" s="115"/>
    </x:row>
    <x:row r="6">
      <x:c r="A6" s="115" t="str">
        <x:v>Normalized EBITDA margin</x:v>
      </x:c>
      <x:c r="B6" s="147" t="n">
        <x:v>0.3506</x:v>
      </x:c>
      <x:c r="C6" s="153" t="n">
        <x:v>0.275</x:v>
      </x:c>
      <x:c r="D6" s="153" t="n">
        <x:v>0.29</x:v>
      </x:c>
      <x:c r="E6" s="153" t="n">
        <x:v>0.3</x:v>
      </x:c>
      <x:c r="F6" s="153" t="n">
        <x:v>0.31</x:v>
      </x:c>
      <x:c r="G6" s="153" t="n">
        <x:v>0.32</x:v>
      </x:c>
      <x:c r="H6" s="153" t="n">
        <x:v>0.325</x:v>
      </x:c>
      <x:c r="I6" s="115"/>
      <x:c r="J6" s="115"/>
      <x:c r="K6" s="115"/>
      <x:c r="L6" s="115"/>
      <x:c r="M6" s="115"/>
      <x:c r="N6" s="115"/>
      <x:c r="O6" s="115"/>
      <x:c r="P6" s="115"/>
      <x:c r="Q6" s="115"/>
      <x:c r="R6" s="115"/>
      <x:c r="S6" s="115"/>
      <x:c r="T6" s="115"/>
      <x:c r="U6" s="115"/>
      <x:c r="V6" s="115"/>
      <x:c r="W6" s="115"/>
      <x:c r="X6" s="115"/>
      <x:c r="Y6" s="115"/>
      <x:c r="Z6" s="115"/>
    </x:row>
    <x:row r="7">
      <x:c r="A7" s="115" t="str">
        <x:v>Normalized EBITDA</x:v>
      </x:c>
      <x:c r="B7" s="146" t="n">
        <x:f>B14/B4</x:f>
        <x:v>0</x:v>
      </x:c>
      <x:c r="C7" s="146" t="n">
        <x:f>C6*C4</x:f>
        <x:v>46.06250000000001</x:v>
      </x:c>
      <x:c r="D7" s="146" t="n">
        <x:f>D6*D4</x:f>
        <x:v>53.432500000000005</x:v>
      </x:c>
      <x:c r="E7" s="146" t="n">
        <x:f>E6*E4</x:f>
        <x:v>59.69700000000001</x:v>
      </x:c>
      <x:c r="F7" s="146" t="n">
        <x:f>F6*F4</x:f>
        <x:v>66.00498300000001</x:v>
      </x:c>
      <x:c r="G7" s="146" t="n">
        <x:f>G6*G4</x:f>
        <x:v>72.22222656000002</x:v>
      </x:c>
      <x:c r="H7" s="146" t="n">
        <x:f>H6*H4</x:f>
        <x:v>77.01823379250003</x:v>
      </x:c>
      <x:c r="I7" s="115"/>
      <x:c r="J7" s="115"/>
      <x:c r="K7" s="115"/>
      <x:c r="L7" s="115"/>
      <x:c r="M7" s="115"/>
      <x:c r="N7" s="115"/>
      <x:c r="O7" s="115"/>
      <x:c r="P7" s="115"/>
      <x:c r="Q7" s="115"/>
      <x:c r="R7" s="115"/>
      <x:c r="S7" s="115"/>
      <x:c r="T7" s="115"/>
      <x:c r="U7" s="115"/>
      <x:c r="V7" s="115"/>
      <x:c r="W7" s="115"/>
      <x:c r="X7" s="115"/>
      <x:c r="Y7" s="115"/>
      <x:c r="Z7" s="115"/>
    </x:row>
    <x:row r="8">
      <x:c r="A8" s="115" t="str">
        <x:v>D&amp;A as % revenue</x:v>
      </x:c>
      <x:c r="B8" s="147" t="n">
        <x:v>0.0872</x:v>
      </x:c>
      <x:c r="C8" s="153" t="n">
        <x:v>0.085</x:v>
      </x:c>
      <x:c r="D8" s="153" t="n">
        <x:v>0.082</x:v>
      </x:c>
      <x:c r="E8" s="153" t="n">
        <x:v>0.078</x:v>
      </x:c>
      <x:c r="F8" s="153" t="n">
        <x:v>0.075</x:v>
      </x:c>
      <x:c r="G8" s="153" t="n">
        <x:v>0.072</x:v>
      </x:c>
      <x:c r="H8" s="153" t="n">
        <x:v>0.07</x:v>
      </x:c>
      <x:c r="I8" s="115"/>
      <x:c r="J8" s="115"/>
      <x:c r="K8" s="115"/>
      <x:c r="L8" s="115"/>
      <x:c r="M8" s="115"/>
      <x:c r="N8" s="115"/>
      <x:c r="O8" s="115"/>
      <x:c r="P8" s="115"/>
      <x:c r="Q8" s="115"/>
      <x:c r="R8" s="115"/>
      <x:c r="S8" s="115"/>
      <x:c r="T8" s="115"/>
      <x:c r="U8" s="115"/>
      <x:c r="V8" s="115"/>
      <x:c r="W8" s="115"/>
      <x:c r="X8" s="115"/>
      <x:c r="Y8" s="115"/>
      <x:c r="Z8" s="115"/>
    </x:row>
    <x:row r="9">
      <x:c r="A9" s="115" t="str">
        <x:v>D&amp;A</x:v>
      </x:c>
      <x:c r="B9" s="146" t="n">
        <x:f>B8/B4</x:f>
        <x:v>0.0005270570031490447</x:v>
      </x:c>
      <x:c r="C9" s="146" t="n">
        <x:f>C8*C4</x:f>
        <x:v>14.2375</x:v>
      </x:c>
      <x:c r="D9" s="146" t="n">
        <x:f>D8*D4</x:f>
        <x:v>15.108500000000003</x:v>
      </x:c>
      <x:c r="E9" s="146" t="n">
        <x:f>E8*E4</x:f>
        <x:v>15.521220000000003</x:v>
      </x:c>
      <x:c r="F9" s="146" t="n">
        <x:f>F8*F4</x:f>
        <x:v>15.968947500000002</x:v>
      </x:c>
      <x:c r="G9" s="146" t="n">
        <x:f>G8*G4</x:f>
        <x:v>16.250000976000003</x:v>
      </x:c>
      <x:c r="H9" s="146" t="n">
        <x:f>H8*H4</x:f>
        <x:v>16.588542663000005</x:v>
      </x:c>
      <x:c r="I9" s="115"/>
      <x:c r="J9" s="115"/>
      <x:c r="K9" s="115"/>
      <x:c r="L9" s="115"/>
      <x:c r="M9" s="115"/>
      <x:c r="N9" s="115"/>
      <x:c r="O9" s="115"/>
      <x:c r="P9" s="115"/>
      <x:c r="Q9" s="115"/>
      <x:c r="R9" s="115"/>
      <x:c r="S9" s="115"/>
      <x:c r="T9" s="115"/>
      <x:c r="U9" s="115"/>
      <x:c r="V9" s="115"/>
      <x:c r="W9" s="115"/>
      <x:c r="X9" s="115"/>
      <x:c r="Y9" s="115"/>
      <x:c r="Z9" s="115"/>
    </x:row>
    <x:row r="10">
      <x:c r="A10" s="115" t="str">
        <x:v>EBIT</x:v>
      </x:c>
      <x:c r="B10" s="146" t="n">
        <x:f>B7-B9</x:f>
        <x:v>-0.0005270570031490447</x:v>
      </x:c>
      <x:c r="C10" s="146" t="n">
        <x:f>C7-C9</x:f>
        <x:v>31.825000000000006</x:v>
      </x:c>
      <x:c r="D10" s="146" t="n">
        <x:f>D7-D9</x:f>
        <x:v>38.324</x:v>
      </x:c>
      <x:c r="E10" s="146" t="n">
        <x:f>E7-E9</x:f>
        <x:v>44.17578</x:v>
      </x:c>
      <x:c r="F10" s="146" t="n">
        <x:f>F7-F9</x:f>
        <x:v>50.03603550000001</x:v>
      </x:c>
      <x:c r="G10" s="146" t="n">
        <x:f>G7-G9</x:f>
        <x:v>55.97222558400002</x:v>
      </x:c>
      <x:c r="H10" s="146" t="n">
        <x:f>H7-H9</x:f>
        <x:v>60.42969112950002</x:v>
      </x:c>
      <x:c r="I10" s="115"/>
      <x:c r="J10" s="115"/>
      <x:c r="K10" s="115"/>
      <x:c r="L10" s="115"/>
      <x:c r="M10" s="115"/>
      <x:c r="N10" s="115"/>
      <x:c r="O10" s="115"/>
      <x:c r="P10" s="115"/>
      <x:c r="Q10" s="115"/>
      <x:c r="R10" s="115"/>
      <x:c r="S10" s="115"/>
      <x:c r="T10" s="115"/>
      <x:c r="U10" s="115"/>
      <x:c r="V10" s="115"/>
      <x:c r="W10" s="115"/>
      <x:c r="X10" s="115"/>
      <x:c r="Y10" s="115"/>
      <x:c r="Z10" s="115"/>
    </x:row>
    <x:row r="11">
      <x:c r="A11" s="115" t="str">
        <x:v>Cash tax rate</x:v>
      </x:c>
      <x:c r="B11" s="146" t="n">
        <x:f>B10</x:f>
        <x:v>-0.0005270570031490447</x:v>
      </x:c>
      <x:c r="C11" s="146" t="n">
        <x:f>C10</x:f>
        <x:v>31.825000000000006</x:v>
      </x:c>
      <x:c r="D11" s="146" t="n">
        <x:f>D10</x:f>
        <x:v>38.324</x:v>
      </x:c>
      <x:c r="E11" s="146" t="n">
        <x:f>E10</x:f>
        <x:v>44.17578</x:v>
      </x:c>
      <x:c r="F11" s="146" t="n">
        <x:f>F10</x:f>
        <x:v>50.03603550000001</x:v>
      </x:c>
      <x:c r="G11" s="146" t="n">
        <x:f>G10</x:f>
        <x:v>55.97222558400002</x:v>
      </x:c>
      <x:c r="H11" s="146" t="n">
        <x:f>H10</x:f>
        <x:v>60.42969112950002</x:v>
      </x:c>
      <x:c r="I11" s="115"/>
      <x:c r="J11" s="115"/>
      <x:c r="K11" s="115"/>
      <x:c r="L11" s="115"/>
      <x:c r="M11" s="115"/>
      <x:c r="N11" s="115"/>
      <x:c r="O11" s="115"/>
      <x:c r="P11" s="115"/>
      <x:c r="Q11" s="115"/>
      <x:c r="R11" s="115"/>
      <x:c r="S11" s="115"/>
      <x:c r="T11" s="115"/>
      <x:c r="U11" s="115"/>
      <x:c r="V11" s="115"/>
      <x:c r="W11" s="115"/>
      <x:c r="X11" s="115"/>
      <x:c r="Y11" s="115"/>
      <x:c r="Z11" s="115"/>
    </x:row>
    <x:row r="12">
      <x:c r="A12" s="115" t="str">
        <x:v>Cash taxes</x:v>
      </x:c>
      <x:c r="B12" s="147" t="n">
        <x:f>Assumptions!B21</x:f>
        <x:v>0.025</x:v>
      </x:c>
      <x:c r="C12" s="147" t="n">
        <x:f>Assumptions!B22</x:f>
        <x:v>0.25</x:v>
      </x:c>
      <x:c r="D12" s="147" t="n">
        <x:f>Assumptions!B22</x:f>
        <x:v>0.25</x:v>
      </x:c>
      <x:c r="E12" s="147" t="n">
        <x:f>Assumptions!B22</x:f>
        <x:v>0.25</x:v>
      </x:c>
      <x:c r="F12" s="147" t="n">
        <x:f>Assumptions!B22</x:f>
        <x:v>0.25</x:v>
      </x:c>
      <x:c r="G12" s="147" t="n">
        <x:f>Assumptions!B22</x:f>
        <x:v>0.25</x:v>
      </x:c>
      <x:c r="H12" s="147" t="n">
        <x:f>Assumptions!B22</x:f>
        <x:v>0.25</x:v>
      </x:c>
      <x:c r="I12" s="115"/>
      <x:c r="J12" s="115"/>
      <x:c r="K12" s="115"/>
      <x:c r="L12" s="115"/>
      <x:c r="M12" s="115"/>
      <x:c r="N12" s="115"/>
      <x:c r="O12" s="115"/>
      <x:c r="P12" s="115"/>
      <x:c r="Q12" s="115"/>
      <x:c r="R12" s="115"/>
      <x:c r="S12" s="115"/>
      <x:c r="T12" s="115"/>
      <x:c r="U12" s="115"/>
      <x:c r="V12" s="115"/>
      <x:c r="W12" s="115"/>
      <x:c r="X12" s="115"/>
      <x:c r="Y12" s="115"/>
      <x:c r="Z12" s="115"/>
    </x:row>
    <x:row r="13">
      <x:c r="A13" s="115" t="str">
        <x:v>NOPAT</x:v>
      </x:c>
      <x:c r="B13" s="146" t="n">
        <x:f>-B11*B12</x:f>
        <x:v>0.000013176425078726117</x:v>
      </x:c>
      <x:c r="C13" s="146" t="n">
        <x:f>-C11*C12</x:f>
        <x:v>-7.956250000000002</x:v>
      </x:c>
      <x:c r="D13" s="146" t="n">
        <x:f>-D11*D12</x:f>
        <x:v>-9.581</x:v>
      </x:c>
      <x:c r="E13" s="146" t="n">
        <x:f>-E11*E12</x:f>
        <x:v>-11.043945</x:v>
      </x:c>
      <x:c r="F13" s="146" t="n">
        <x:f>-F11*F12</x:f>
        <x:v>-12.509008875000003</x:v>
      </x:c>
      <x:c r="G13" s="146" t="n">
        <x:f>-G11*G12</x:f>
        <x:v>-13.993056396000005</x:v>
      </x:c>
      <x:c r="H13" s="146" t="n">
        <x:f>-H11*H12</x:f>
        <x:v>-15.107422782375005</x:v>
      </x:c>
      <x:c r="I13" s="115"/>
      <x:c r="J13" s="115"/>
      <x:c r="K13" s="115"/>
      <x:c r="L13" s="115"/>
      <x:c r="M13" s="115"/>
      <x:c r="N13" s="115"/>
      <x:c r="O13" s="115"/>
      <x:c r="P13" s="115"/>
      <x:c r="Q13" s="115"/>
      <x:c r="R13" s="115"/>
      <x:c r="S13" s="115"/>
      <x:c r="T13" s="115"/>
      <x:c r="U13" s="115"/>
      <x:c r="V13" s="115"/>
      <x:c r="W13" s="115"/>
      <x:c r="X13" s="115"/>
      <x:c r="Y13" s="115"/>
      <x:c r="Z13" s="115"/>
    </x:row>
    <x:row r="14">
      <x:c r="A14" s="115" t="str">
        <x:v>Capex as % revenue</x:v>
      </x:c>
      <x:c r="B14" s="146" t="n">
        <x:f>B11+B13</x:f>
        <x:v>-0.0005138805780703186</x:v>
      </x:c>
      <x:c r="C14" s="146" t="n">
        <x:f>C11+C13</x:f>
        <x:v>23.868750000000006</x:v>
      </x:c>
      <x:c r="D14" s="146" t="n">
        <x:f>D11+D13</x:f>
        <x:v>28.743</x:v>
      </x:c>
      <x:c r="E14" s="146" t="n">
        <x:f>E11+E13</x:f>
        <x:v>33.131835</x:v>
      </x:c>
      <x:c r="F14" s="146" t="n">
        <x:f>F11+F13</x:f>
        <x:v>37.527026625000005</x:v>
      </x:c>
      <x:c r="G14" s="146" t="n">
        <x:f>G11+G13</x:f>
        <x:v>41.979169188000014</x:v>
      </x:c>
      <x:c r="H14" s="146" t="n">
        <x:f>H11+H13</x:f>
        <x:v>45.32226834712502</x:v>
      </x:c>
      <x:c r="I14" s="115"/>
      <x:c r="J14" s="115"/>
      <x:c r="K14" s="115"/>
      <x:c r="L14" s="115"/>
      <x:c r="M14" s="115"/>
      <x:c r="N14" s="115"/>
      <x:c r="O14" s="115"/>
      <x:c r="P14" s="115"/>
      <x:c r="Q14" s="115"/>
      <x:c r="R14" s="115"/>
      <x:c r="S14" s="115"/>
      <x:c r="T14" s="115"/>
      <x:c r="U14" s="115"/>
      <x:c r="V14" s="115"/>
      <x:c r="W14" s="115"/>
      <x:c r="X14" s="115"/>
      <x:c r="Y14" s="115"/>
      <x:c r="Z14" s="115"/>
    </x:row>
    <x:row r="15">
      <x:c r="A15" s="115" t="str">
        <x:v>Capex</x:v>
      </x:c>
      <x:c r="B15" s="147"/>
      <x:c r="C15" s="153"/>
      <x:c r="D15" s="153"/>
      <x:c r="E15" s="153"/>
      <x:c r="F15" s="153"/>
      <x:c r="G15" s="153"/>
      <x:c r="H15" s="153"/>
      <x:c r="I15" s="115"/>
      <x:c r="J15" s="115"/>
      <x:c r="K15" s="115"/>
      <x:c r="L15" s="115"/>
      <x:c r="M15" s="115"/>
      <x:c r="N15" s="115"/>
      <x:c r="O15" s="115"/>
      <x:c r="P15" s="115"/>
      <x:c r="Q15" s="115"/>
      <x:c r="R15" s="115"/>
      <x:c r="S15" s="115"/>
      <x:c r="T15" s="115"/>
      <x:c r="U15" s="115"/>
      <x:c r="V15" s="115"/>
      <x:c r="W15" s="115"/>
      <x:c r="X15" s="115"/>
      <x:c r="Y15" s="115"/>
      <x:c r="Z15" s="115"/>
    </x:row>
    <x:row r="16">
      <x:c r="A16" s="115" t="str">
        <x:v>Change in operating working capital</x:v>
      </x:c>
      <x:c r="B16" s="146" t="n">
        <x:f>-B4*B15</x:f>
        <x:v>0</x:v>
      </x:c>
      <x:c r="C16" s="146" t="n">
        <x:f>-C4*C15</x:f>
        <x:v>0</x:v>
      </x:c>
      <x:c r="D16" s="146" t="n">
        <x:f>-D4*D15</x:f>
        <x:v>0</x:v>
      </x:c>
      <x:c r="E16" s="146" t="n">
        <x:f>-E4*E15</x:f>
        <x:v>0</x:v>
      </x:c>
      <x:c r="F16" s="146" t="n">
        <x:f>-F4*F15</x:f>
        <x:v>0</x:v>
      </x:c>
      <x:c r="G16" s="146" t="n">
        <x:f>-G4*G15</x:f>
        <x:v>0</x:v>
      </x:c>
      <x:c r="H16" s="146" t="n">
        <x:f>-H4*H15</x:f>
        <x:v>0</x:v>
      </x:c>
      <x:c r="I16" s="115"/>
      <x:c r="J16" s="115"/>
      <x:c r="K16" s="115"/>
      <x:c r="L16" s="115"/>
      <x:c r="M16" s="115"/>
      <x:c r="N16" s="115"/>
      <x:c r="O16" s="115"/>
      <x:c r="P16" s="115"/>
      <x:c r="Q16" s="115"/>
      <x:c r="R16" s="115"/>
      <x:c r="S16" s="115"/>
      <x:c r="T16" s="115"/>
      <x:c r="U16" s="115"/>
      <x:c r="V16" s="115"/>
      <x:c r="W16" s="115"/>
      <x:c r="X16" s="115"/>
      <x:c r="Y16" s="115"/>
      <x:c r="Z16" s="115"/>
    </x:row>
    <x:row r="17">
      <x:c r="A17" s="115" t="str">
        <x:v>FCFF</x:v>
      </x:c>
      <x:c r="B17" s="146"/>
      <x:c r="C17" s="146"/>
      <x:c r="D17" s="146"/>
      <x:c r="E17" s="146"/>
      <x:c r="F17" s="146"/>
      <x:c r="G17" s="146"/>
      <x:c r="H17" s="146"/>
      <x:c r="I17" s="115"/>
      <x:c r="J17" s="115"/>
      <x:c r="K17" s="115"/>
      <x:c r="L17" s="115"/>
      <x:c r="M17" s="115"/>
      <x:c r="N17" s="115"/>
      <x:c r="O17" s="115"/>
      <x:c r="P17" s="115"/>
      <x:c r="Q17" s="115"/>
      <x:c r="R17" s="115"/>
      <x:c r="S17" s="115"/>
      <x:c r="T17" s="115"/>
      <x:c r="U17" s="115"/>
      <x:c r="V17" s="115"/>
      <x:c r="W17" s="115"/>
      <x:c r="X17" s="115"/>
      <x:c r="Y17" s="115"/>
      <x:c r="Z17" s="115"/>
    </x:row>
    <x:row r="18">
      <x:c r="A18" s="156" t="str">
        <x:v>Source / formula note</x:v>
      </x:c>
      <x:c r="B18" s="157" t="n">
        <x:f>B14+B9+B16-B17</x:f>
        <x:v>0.000013176425078726068</x:v>
      </x:c>
      <x:c r="C18" s="157" t="n">
        <x:f>C14+C9+C16-C17</x:f>
        <x:v>38.10625</x:v>
      </x:c>
      <x:c r="D18" s="157" t="n">
        <x:f>D14+D9+D16-D17</x:f>
        <x:v>43.8515</x:v>
      </x:c>
      <x:c r="E18" s="157" t="n">
        <x:f>E14+E9+E16-E17</x:f>
        <x:v>48.65305500000001</x:v>
      </x:c>
      <x:c r="F18" s="157" t="n">
        <x:f>F14+F9+F16-F17</x:f>
        <x:v>53.495974125000004</x:v>
      </x:c>
      <x:c r="G18" s="157" t="n">
        <x:f>G14+G9+G16-G17</x:f>
        <x:v>58.22917016400002</x:v>
      </x:c>
      <x:c r="H18" s="157" t="n">
        <x:f>H14+H9+H16-H17</x:f>
        <x:v>61.91081101012502</x:v>
      </x:c>
      <x:c r="I18" s="115"/>
      <x:c r="J18" s="115"/>
      <x:c r="K18" s="115"/>
      <x:c r="L18" s="115"/>
      <x:c r="M18" s="115"/>
      <x:c r="N18" s="115"/>
      <x:c r="O18" s="115"/>
      <x:c r="P18" s="115"/>
      <x:c r="Q18" s="115"/>
      <x:c r="R18" s="115"/>
      <x:c r="S18" s="115"/>
      <x:c r="T18" s="115"/>
      <x:c r="U18" s="115"/>
      <x:c r="V18" s="115"/>
      <x:c r="W18" s="115"/>
      <x:c r="X18" s="115"/>
      <x:c r="Y18" s="115"/>
      <x:c r="Z18" s="115"/>
    </x:row>
    <x:row r="19">
      <x:c r="A19" s="115" t="str">
        <x:v>Scenario driver — 2026 revenue</x:v>
      </x:c>
      <x:c r="B19" s="115"/>
      <x:c r="C19" s="115"/>
      <x:c r="D19" s="115"/>
      <x:c r="E19" s="115"/>
      <x:c r="F19" s="115"/>
      <x:c r="G19" s="115"/>
      <x:c r="H19" s="115"/>
      <x:c r="I19" s="115"/>
      <x:c r="J19" s="115"/>
      <x:c r="K19" s="115"/>
      <x:c r="L19" s="115"/>
      <x:c r="M19" s="115"/>
      <x:c r="N19" s="115"/>
      <x:c r="O19" s="115"/>
      <x:c r="P19" s="115"/>
      <x:c r="Q19" s="115"/>
      <x:c r="R19" s="115"/>
      <x:c r="S19" s="115"/>
      <x:c r="T19" s="115"/>
      <x:c r="U19" s="115"/>
      <x:c r="V19" s="115"/>
      <x:c r="W19" s="115"/>
      <x:c r="X19" s="115"/>
      <x:c r="Y19" s="115"/>
      <x:c r="Z19" s="115"/>
    </x:row>
    <x:row r="20">
      <x:c r="A20" s="115" t="str">
        <x:v>Bear / base / bull revenue</x:v>
      </x:c>
      <x:c r="B20" s="115"/>
      <x:c r="C20" s="115" t="str">
        <x:v>$165.0m / $167.5m / $170.0m</x:v>
      </x:c>
      <x:c r="D20" s="115" t="str">
        <x:v>B: 4%; Base: 10%; Bull: 14%</x:v>
      </x:c>
      <x:c r="E20" s="115" t="str">
        <x:v>B: 3%; Base: 8%; Bull: 12%</x:v>
      </x:c>
      <x:c r="F20" s="115" t="str">
        <x:v>B: 2%; Base: 7%; Bull: 10%</x:v>
      </x:c>
      <x:c r="G20" s="115" t="str">
        <x:v>B: 2%; Base: 6%; Bull: 8%</x:v>
      </x:c>
      <x:c r="H20" s="115" t="str">
        <x:v>B: 2%; Base: 5%; Bull: 7%</x:v>
      </x:c>
      <x:c r="I20" s="115"/>
      <x:c r="J20" s="115"/>
      <x:c r="K20" s="115"/>
      <x:c r="L20" s="115"/>
      <x:c r="M20" s="115"/>
      <x:c r="N20" s="115"/>
      <x:c r="O20" s="115"/>
      <x:c r="P20" s="115"/>
      <x:c r="Q20" s="115"/>
      <x:c r="R20" s="115"/>
      <x:c r="S20" s="115"/>
      <x:c r="T20" s="115"/>
      <x:c r="U20" s="115"/>
      <x:c r="V20" s="115"/>
      <x:c r="W20" s="115"/>
      <x:c r="X20" s="115"/>
      <x:c r="Y20" s="115"/>
      <x:c r="Z20" s="115"/>
    </x:row>
    <x:row r="21">
      <x:c r="A21" s="115" t="str">
        <x:v>Bear / base / bull EBITDA margin</x:v>
      </x:c>
      <x:c r="B21" s="115"/>
      <x:c r="C21" s="115" t="str">
        <x:v>26% / 27.5% / 29%</x:v>
      </x:c>
      <x:c r="D21" s="115" t="str">
        <x:v>26% / 29% / 32%</x:v>
      </x:c>
      <x:c r="E21" s="115" t="str">
        <x:v>27% / 30% / 34%</x:v>
      </x:c>
      <x:c r="F21" s="115" t="str">
        <x:v>28% / 31% / 35%</x:v>
      </x:c>
      <x:c r="G21" s="115" t="str">
        <x:v>28% / 32% / 36%</x:v>
      </x:c>
      <x:c r="H21" s="115" t="str">
        <x:v>29% / 32.5% / 37%</x:v>
      </x:c>
      <x:c r="I21" s="115"/>
      <x:c r="J21" s="115"/>
      <x:c r="K21" s="115"/>
      <x:c r="L21" s="115"/>
      <x:c r="M21" s="115"/>
      <x:c r="N21" s="115"/>
      <x:c r="O21" s="115"/>
      <x:c r="P21" s="115"/>
      <x:c r="Q21" s="115"/>
      <x:c r="R21" s="115"/>
      <x:c r="S21" s="115"/>
      <x:c r="T21" s="115"/>
      <x:c r="U21" s="115"/>
      <x:c r="V21" s="115"/>
      <x:c r="W21" s="115"/>
      <x:c r="X21" s="115"/>
      <x:c r="Y21" s="115"/>
      <x:c r="Z21" s="115"/>
    </x:row>
    <x:row r="22">
      <x:c r="A22" s="115" t="str">
        <x:v>What must be true</x:v>
      </x:c>
      <x:c r="B22" s="115"/>
      <x:c r="C22" s="161" t="str">
        <x:v>Traffic diversification, AI restructure savings, and data-services growth must offset poor organic search dynamics and UK / Finland regulation.</x:v>
      </x:c>
      <x:c r="D22" s="161" t="str">
        <x:v>Data subscription mix must scale without returning to the 2026 Q1 cost base.</x:v>
      </x:c>
      <x:c r="E22" s="161" t="str">
        <x:v>Working-capital and capitalized development needs must stay proportionate to revenue.</x:v>
      </x:c>
      <x:c r="F22" s="161" t="str"/>
      <x:c r="G22" s="161" t="str"/>
      <x:c r="H22" s="161" t="str"/>
      <x:c r="I22" s="115"/>
      <x:c r="J22" s="115"/>
      <x:c r="K22" s="115"/>
      <x:c r="L22" s="115"/>
      <x:c r="M22" s="115"/>
      <x:c r="N22" s="115"/>
      <x:c r="O22" s="115"/>
      <x:c r="P22" s="115"/>
      <x:c r="Q22" s="115"/>
      <x:c r="R22" s="115"/>
      <x:c r="S22" s="115"/>
      <x:c r="T22" s="115"/>
      <x:c r="U22" s="115"/>
      <x:c r="V22" s="115"/>
      <x:c r="W22" s="115"/>
      <x:c r="X22" s="115"/>
      <x:c r="Y22" s="115"/>
      <x:c r="Z22" s="115"/>
    </x:row>
    <x:row r="23">
      <x:c r="A23" s="115"/>
      <x:c r="B23" s="115"/>
      <x:c r="C23" s="115"/>
      <x:c r="D23" s="115"/>
      <x:c r="E23" s="115"/>
      <x:c r="F23" s="115"/>
      <x:c r="G23" s="115"/>
      <x:c r="H23" s="115"/>
      <x:c r="I23" s="115"/>
      <x:c r="J23" s="115"/>
      <x:c r="K23" s="115"/>
      <x:c r="L23" s="115"/>
      <x:c r="M23" s="115"/>
      <x:c r="N23" s="115"/>
      <x:c r="O23" s="115"/>
      <x:c r="P23" s="115"/>
      <x:c r="Q23" s="115"/>
      <x:c r="R23" s="115"/>
      <x:c r="S23" s="115"/>
      <x:c r="T23" s="115"/>
      <x:c r="U23" s="115"/>
      <x:c r="V23" s="115"/>
      <x:c r="W23" s="115"/>
      <x:c r="X23" s="115"/>
      <x:c r="Y23" s="115"/>
      <x:c r="Z23" s="115"/>
    </x:row>
    <x:row r="24">
      <x:c r="A24" s="115"/>
      <x:c r="B24" s="115"/>
      <x:c r="C24" s="115"/>
      <x:c r="D24" s="115"/>
      <x:c r="E24" s="115"/>
      <x:c r="F24" s="115"/>
      <x:c r="G24" s="115"/>
      <x:c r="H24" s="115"/>
      <x:c r="I24" s="115"/>
      <x:c r="J24" s="115"/>
      <x:c r="K24" s="115"/>
      <x:c r="L24" s="115"/>
      <x:c r="M24" s="115"/>
      <x:c r="N24" s="115"/>
      <x:c r="O24" s="115"/>
      <x:c r="P24" s="115"/>
      <x:c r="Q24" s="115"/>
      <x:c r="R24" s="115"/>
      <x:c r="S24" s="115"/>
      <x:c r="T24" s="115"/>
      <x:c r="U24" s="115"/>
      <x:c r="V24" s="115"/>
      <x:c r="W24" s="115"/>
      <x:c r="X24" s="115"/>
      <x:c r="Y24" s="115"/>
      <x:c r="Z24" s="115"/>
    </x:row>
    <x:row r="25">
      <x:c r="A25" s="159" t="str">
        <x:v>Management’s 2026 revenue and adjusted-EBITDA guidance is used as the starting point, but the model’s normalized EBITDA margin is an analyst estimate because the company’s adjusted measure excludes several items. The DCF uses FCFF, not management free cash flow, and treats capitalized development as capex.</x:v>
      </x:c>
      <x:c r="B25" s="159"/>
      <x:c r="C25" s="159"/>
      <x:c r="D25" s="159"/>
      <x:c r="E25" s="159"/>
      <x:c r="F25" s="159"/>
      <x:c r="G25" s="159"/>
      <x:c r="H25" s="159"/>
      <x:c r="I25" s="115"/>
      <x:c r="J25" s="115"/>
      <x:c r="K25" s="115"/>
      <x:c r="L25" s="115"/>
      <x:c r="M25" s="115"/>
      <x:c r="N25" s="115"/>
      <x:c r="O25" s="115"/>
      <x:c r="P25" s="115"/>
      <x:c r="Q25" s="115"/>
      <x:c r="R25" s="115"/>
      <x:c r="S25" s="115"/>
      <x:c r="T25" s="115"/>
      <x:c r="U25" s="115"/>
      <x:c r="V25" s="115"/>
      <x:c r="W25" s="115"/>
      <x:c r="X25" s="115"/>
      <x:c r="Y25" s="115"/>
      <x:c r="Z25" s="115"/>
    </x:row>
    <x:row r="26">
      <x:c r="A26" s="159"/>
      <x:c r="B26" s="159"/>
      <x:c r="C26" s="159"/>
      <x:c r="D26" s="159"/>
      <x:c r="E26" s="159"/>
      <x:c r="F26" s="159"/>
      <x:c r="G26" s="159"/>
      <x:c r="H26" s="159"/>
      <x:c r="I26" s="115"/>
      <x:c r="J26" s="115"/>
      <x:c r="K26" s="115"/>
      <x:c r="L26" s="115"/>
      <x:c r="M26" s="115"/>
      <x:c r="N26" s="115"/>
      <x:c r="O26" s="115"/>
      <x:c r="P26" s="115"/>
      <x:c r="Q26" s="115"/>
      <x:c r="R26" s="115"/>
      <x:c r="S26" s="115"/>
      <x:c r="T26" s="115"/>
      <x:c r="U26" s="115"/>
      <x:c r="V26" s="115"/>
      <x:c r="W26" s="115"/>
      <x:c r="X26" s="115"/>
      <x:c r="Y26" s="115"/>
      <x:c r="Z26" s="115"/>
    </x:row>
    <x:row r="27">
      <x:c r="A27" s="159"/>
      <x:c r="B27" s="159"/>
      <x:c r="C27" s="159"/>
      <x:c r="D27" s="159"/>
      <x:c r="E27" s="159"/>
      <x:c r="F27" s="159"/>
      <x:c r="G27" s="159"/>
      <x:c r="H27" s="159"/>
      <x:c r="I27" s="115"/>
      <x:c r="J27" s="115"/>
      <x:c r="K27" s="115"/>
      <x:c r="L27" s="115"/>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15"/>
      <x:c r="B29" s="115"/>
      <x:c r="C29" s="115"/>
      <x:c r="D29" s="115"/>
      <x:c r="E29" s="115"/>
      <x:c r="F29" s="115"/>
      <x:c r="G29" s="115"/>
      <x:c r="H29" s="115"/>
      <x:c r="I29" s="115"/>
      <x:c r="J29" s="115"/>
      <x:c r="K29" s="115"/>
      <x:c r="L29" s="115"/>
      <x:c r="M29" s="115"/>
      <x:c r="N29" s="115"/>
      <x:c r="O29" s="115"/>
      <x:c r="P29" s="115"/>
      <x:c r="Q29" s="115"/>
      <x:c r="R29" s="115"/>
      <x:c r="S29" s="115"/>
      <x:c r="T29" s="115"/>
      <x:c r="U29" s="115"/>
      <x:c r="V29" s="115"/>
      <x:c r="W29" s="115"/>
      <x:c r="X29" s="115"/>
      <x:c r="Y29" s="115"/>
      <x:c r="Z29" s="115"/>
    </x:row>
    <x:row r="30">
      <x:c r="A30" s="115"/>
      <x:c r="B30" s="115"/>
      <x:c r="C30" s="115"/>
      <x:c r="D30" s="115"/>
      <x:c r="E30" s="115"/>
      <x:c r="F30" s="115"/>
      <x:c r="G30" s="115"/>
      <x:c r="H30" s="115"/>
      <x:c r="I30" s="115"/>
      <x:c r="J30" s="115"/>
      <x:c r="K30" s="115"/>
      <x:c r="L30" s="115"/>
      <x:c r="M30" s="115"/>
      <x:c r="N30" s="115"/>
      <x:c r="O30" s="115"/>
      <x:c r="P30" s="115"/>
      <x:c r="Q30" s="115"/>
      <x:c r="R30" s="115"/>
      <x:c r="S30" s="115"/>
      <x:c r="T30" s="115"/>
      <x:c r="U30" s="115"/>
      <x:c r="V30" s="115"/>
      <x:c r="W30" s="115"/>
      <x:c r="X30" s="115"/>
      <x:c r="Y30" s="115"/>
      <x:c r="Z30" s="115"/>
    </x:row>
    <x:row r="31">
      <x:c r="A31" s="115"/>
      <x:c r="B31" s="115"/>
      <x:c r="C31" s="115"/>
      <x:c r="D31" s="115"/>
      <x:c r="E31" s="115"/>
      <x:c r="F31" s="115"/>
      <x:c r="G31" s="115"/>
      <x:c r="H31" s="115"/>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H1"/>
    <x:mergeCell ref="C22:H22"/>
    <x:mergeCell ref="A25:H2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3"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6" hidden="0" customWidth="1"/>
  </x:cols>
  <x:sheetData>
    <x:row r="1" ht="30" customHeight="1">
      <x:c r="A1" s="3" t="str">
        <x:v>Grandstand Limited — FCFF DCF Valuation</x:v>
      </x:c>
      <x:c r="B1" s="3" t="str">
        <x:v>Grandstand Limited — FCFF DCF Valuation</x:v>
      </x:c>
      <x:c r="C1" s="3" t="str">
        <x:v>Grandstand Limited — FCFF DCF Valuation</x:v>
      </x:c>
      <x:c r="D1" s="3" t="str">
        <x:v>Grandstand Limited — FCFF DCF Valuation</x:v>
      </x:c>
      <x:c r="E1" s="3" t="str">
        <x:v>Grandstand Limited — FCFF DCF Valuation</x:v>
      </x:c>
      <x:c r="F1" s="3" t="str">
        <x:v>Grandstand Limited — FCFF DCF Valuation</x:v>
      </x:c>
      <x:c r="G1" s="3" t="str">
        <x:v>Grandstand Limited — FCFF DCF Valuation</x:v>
      </x:c>
      <x:c r="H1" s="3" t="str">
        <x:v>Grandstand Limited — FCFF DCF Valuation</x:v>
      </x:c>
      <x:c r="I1" s="115"/>
      <x:c r="J1" s="115"/>
      <x:c r="K1" s="115"/>
      <x:c r="L1" s="115"/>
      <x:c r="M1" s="115"/>
      <x:c r="N1" s="115"/>
      <x:c r="O1" s="115"/>
      <x:c r="P1" s="115"/>
      <x:c r="Q1" s="115"/>
      <x:c r="R1" s="115"/>
      <x:c r="S1" s="115"/>
      <x:c r="T1" s="115"/>
      <x:c r="U1" s="115"/>
      <x:c r="V1" s="115"/>
      <x:c r="W1" s="115"/>
      <x:c r="X1" s="115"/>
      <x:c r="Y1" s="115"/>
      <x:c r="Z1" s="115"/>
    </x:row>
    <x:row r="2">
      <x:c r="A2" s="115"/>
      <x:c r="B2" s="115"/>
      <x:c r="C2" s="115"/>
      <x:c r="D2" s="115"/>
      <x:c r="E2" s="115"/>
      <x:c r="F2" s="115"/>
      <x:c r="G2" s="115"/>
      <x:c r="H2" s="115"/>
      <x:c r="I2" s="115"/>
      <x:c r="J2" s="115"/>
      <x:c r="K2" s="115"/>
      <x:c r="L2" s="115"/>
      <x:c r="M2" s="115"/>
      <x:c r="N2" s="115"/>
      <x:c r="O2" s="115"/>
      <x:c r="P2" s="115"/>
      <x:c r="Q2" s="115"/>
      <x:c r="R2" s="115"/>
      <x:c r="S2" s="115"/>
      <x:c r="T2" s="115"/>
      <x:c r="U2" s="115"/>
      <x:c r="V2" s="115"/>
      <x:c r="W2" s="115"/>
      <x:c r="X2" s="115"/>
      <x:c r="Y2" s="115"/>
      <x:c r="Z2" s="115"/>
    </x:row>
    <x:row r="3">
      <x:c r="A3" s="12" t="str">
        <x:v>USD millions, except per-share data</x:v>
      </x:c>
      <x:c r="B3" s="13" t="str">
        <x:v>FY2026E</x:v>
      </x:c>
      <x:c r="C3" s="13" t="str">
        <x:v>FY2027E</x:v>
      </x:c>
      <x:c r="D3" s="13" t="str">
        <x:v>FY2028E</x:v>
      </x:c>
      <x:c r="E3" s="13" t="str">
        <x:v>FY2029E</x:v>
      </x:c>
      <x:c r="F3" s="13" t="str">
        <x:v>FY2030E</x:v>
      </x:c>
      <x:c r="G3" s="13" t="str">
        <x:v>FY2031E</x:v>
      </x:c>
      <x:c r="H3" s="14" t="str">
        <x:v>Terminal</x:v>
      </x:c>
      <x:c r="I3" s="115"/>
      <x:c r="J3" s="115"/>
      <x:c r="K3" s="115"/>
      <x:c r="L3" s="115"/>
      <x:c r="M3" s="115"/>
      <x:c r="N3" s="115"/>
      <x:c r="O3" s="115"/>
      <x:c r="P3" s="115"/>
      <x:c r="Q3" s="115"/>
      <x:c r="R3" s="115"/>
      <x:c r="S3" s="115"/>
      <x:c r="T3" s="115"/>
      <x:c r="U3" s="115"/>
      <x:c r="V3" s="115"/>
      <x:c r="W3" s="115"/>
      <x:c r="X3" s="115"/>
      <x:c r="Y3" s="115"/>
      <x:c r="Z3" s="115"/>
    </x:row>
    <x:row r="4">
      <x:c r="A4" s="115" t="str">
        <x:v>FCFF</x:v>
      </x:c>
      <x:c r="B4" s="146" t="n">
        <x:f>Forecast!C18</x:f>
        <x:v>38.10625</x:v>
      </x:c>
      <x:c r="C4" s="146" t="n">
        <x:f>Forecast!D18</x:f>
        <x:v>43.8515</x:v>
      </x:c>
      <x:c r="D4" s="146" t="n">
        <x:f>Forecast!E18</x:f>
        <x:v>48.65305500000001</x:v>
      </x:c>
      <x:c r="E4" s="146" t="n">
        <x:f>Forecast!F18</x:f>
        <x:v>53.495974125000004</x:v>
      </x:c>
      <x:c r="F4" s="146" t="n">
        <x:f>Forecast!G18</x:f>
        <x:v>58.22917016400002</x:v>
      </x:c>
      <x:c r="G4" s="146" t="n">
        <x:f>Forecast!H18</x:f>
        <x:v>61.91081101012502</x:v>
      </x:c>
      <x:c r="H4" s="146"/>
      <x:c r="I4" s="115"/>
      <x:c r="J4" s="115"/>
      <x:c r="K4" s="115"/>
      <x:c r="L4" s="115"/>
      <x:c r="M4" s="115"/>
      <x:c r="N4" s="115"/>
      <x:c r="O4" s="115"/>
      <x:c r="P4" s="115"/>
      <x:c r="Q4" s="115"/>
      <x:c r="R4" s="115"/>
      <x:c r="S4" s="115"/>
      <x:c r="T4" s="115"/>
      <x:c r="U4" s="115"/>
      <x:c r="V4" s="115"/>
      <x:c r="W4" s="115"/>
      <x:c r="X4" s="115"/>
      <x:c r="Y4" s="115"/>
      <x:c r="Z4" s="115"/>
    </x:row>
    <x:row r="5">
      <x:c r="A5" s="115" t="str">
        <x:v>Discount period</x:v>
      </x:c>
      <x:c r="B5" s="147" t="n">
        <x:v>0.5</x:v>
      </x:c>
      <x:c r="C5" s="147" t="n">
        <x:v>1.5</x:v>
      </x:c>
      <x:c r="D5" s="147" t="n">
        <x:v>2.5</x:v>
      </x:c>
      <x:c r="E5" s="147" t="n">
        <x:v>3.5</x:v>
      </x:c>
      <x:c r="F5" s="147" t="n">
        <x:v>4.5</x:v>
      </x:c>
      <x:c r="G5" s="147" t="n">
        <x:v>5.5</x:v>
      </x:c>
      <x:c r="H5" s="146"/>
      <x:c r="I5" s="115"/>
      <x:c r="J5" s="115"/>
      <x:c r="K5" s="115"/>
      <x:c r="L5" s="115"/>
      <x:c r="M5" s="115"/>
      <x:c r="N5" s="115"/>
      <x:c r="O5" s="115"/>
      <x:c r="P5" s="115"/>
      <x:c r="Q5" s="115"/>
      <x:c r="R5" s="115"/>
      <x:c r="S5" s="115"/>
      <x:c r="T5" s="115"/>
      <x:c r="U5" s="115"/>
      <x:c r="V5" s="115"/>
      <x:c r="W5" s="115"/>
      <x:c r="X5" s="115"/>
      <x:c r="Y5" s="115"/>
      <x:c r="Z5" s="115"/>
    </x:row>
    <x:row r="6">
      <x:c r="A6" s="115" t="str">
        <x:v>Discount factor</x:v>
      </x:c>
      <x:c r="B6" s="147" t="n">
        <x:f>1/(1+Assumptions!B20)^B5</x:f>
        <x:v>0.9408915765892427</x:v>
      </x:c>
      <x:c r="C6" s="147" t="n">
        <x:f>1/(1+Assumptions!B20)^C5</x:f>
        <x:v>0.8329496335743437</x:v>
      </x:c>
      <x:c r="D6" s="147" t="n">
        <x:f>1/(1+Assumptions!B20)^D5</x:f>
        <x:v>0.7373911185247247</x:v>
      </x:c>
      <x:c r="E6" s="147" t="n">
        <x:f>1/(1+Assumptions!B20)^E5</x:f>
        <x:v>0.6527953669249239</x:v>
      </x:c>
      <x:c r="F6" s="147" t="n">
        <x:f>1/(1+Assumptions!B20)^F5</x:f>
        <x:v>0.5779046972130808</x:v>
      </x:c>
      <x:c r="G6" s="147" t="n">
        <x:f>1/(1+Assumptions!B20)^G5</x:f>
        <x:v>0.5116057128808513</x:v>
      </x:c>
      <x:c r="H6" s="146"/>
      <x:c r="I6" s="115"/>
      <x:c r="J6" s="115"/>
      <x:c r="K6" s="115"/>
      <x:c r="L6" s="115"/>
      <x:c r="M6" s="115"/>
      <x:c r="N6" s="115"/>
      <x:c r="O6" s="115"/>
      <x:c r="P6" s="115"/>
      <x:c r="Q6" s="115"/>
      <x:c r="R6" s="115"/>
      <x:c r="S6" s="115"/>
      <x:c r="T6" s="115"/>
      <x:c r="U6" s="115"/>
      <x:c r="V6" s="115"/>
      <x:c r="W6" s="115"/>
      <x:c r="X6" s="115"/>
      <x:c r="Y6" s="115"/>
      <x:c r="Z6" s="115"/>
    </x:row>
    <x:row r="7">
      <x:c r="A7" s="115" t="str">
        <x:v>Present value of FCFF</x:v>
      </x:c>
      <x:c r="B7" s="146" t="n">
        <x:f>B4*B6</x:f>
        <x:v>35.85384964040383</x:v>
      </x:c>
      <x:c r="C7" s="146" t="n">
        <x:f>C4*C6</x:f>
        <x:v>36.526090856685336</x:v>
      </x:c>
      <x:c r="D7" s="146" t="n">
        <x:f>D4*D6</x:f>
        <x:v>35.87633064609496</x:v>
      </x:c>
      <x:c r="E7" s="146" t="n">
        <x:f>E4*E6</x:f>
        <x:v>34.92192405793561</x:v>
      </x:c>
      <x:c r="F7" s="146" t="n">
        <x:f>F4*F6</x:f>
        <x:v>33.65091095259539</x:v>
      </x:c>
      <x:c r="G7" s="146" t="n">
        <x:f>G4*G6</x:f>
        <x:v>31.673924601866673</x:v>
      </x:c>
      <x:c r="H7" s="146"/>
      <x:c r="I7" s="115"/>
      <x:c r="J7" s="115"/>
      <x:c r="K7" s="115"/>
      <x:c r="L7" s="115"/>
      <x:c r="M7" s="115"/>
      <x:c r="N7" s="115"/>
      <x:c r="O7" s="115"/>
      <x:c r="P7" s="115"/>
      <x:c r="Q7" s="115"/>
      <x:c r="R7" s="115"/>
      <x:c r="S7" s="115"/>
      <x:c r="T7" s="115"/>
      <x:c r="U7" s="115"/>
      <x:c r="V7" s="115"/>
      <x:c r="W7" s="115"/>
      <x:c r="X7" s="115"/>
      <x:c r="Y7" s="115"/>
      <x:c r="Z7" s="115"/>
    </x:row>
    <x:row r="8">
      <x:c r="A8" s="115" t="str">
        <x:v>Terminal growth</x:v>
      </x:c>
      <x:c r="B8" s="146"/>
      <x:c r="C8" s="146"/>
      <x:c r="D8" s="146"/>
      <x:c r="E8" s="146"/>
      <x:c r="F8" s="146"/>
      <x:c r="G8" s="146"/>
      <x:c r="H8" s="147" t="n">
        <x:f>Assumptions!B21</x:f>
        <x:v>0.025</x:v>
      </x:c>
      <x:c r="I8" s="115"/>
      <x:c r="J8" s="115"/>
      <x:c r="K8" s="115"/>
      <x:c r="L8" s="115"/>
      <x:c r="M8" s="115"/>
      <x:c r="N8" s="115"/>
      <x:c r="O8" s="115"/>
      <x:c r="P8" s="115"/>
      <x:c r="Q8" s="115"/>
      <x:c r="R8" s="115"/>
      <x:c r="S8" s="115"/>
      <x:c r="T8" s="115"/>
      <x:c r="U8" s="115"/>
      <x:c r="V8" s="115"/>
      <x:c r="W8" s="115"/>
      <x:c r="X8" s="115"/>
      <x:c r="Y8" s="115"/>
      <x:c r="Z8" s="115"/>
    </x:row>
    <x:row r="9">
      <x:c r="A9" s="115" t="str">
        <x:v>Terminal value</x:v>
      </x:c>
      <x:c r="B9" s="146"/>
      <x:c r="C9" s="146"/>
      <x:c r="D9" s="146"/>
      <x:c r="E9" s="146"/>
      <x:c r="F9" s="146"/>
      <x:c r="G9" s="146"/>
      <x:c r="H9" s="146" t="n">
        <x:f>G4*(1+H8)/(Assumptions!B20-H8)</x:f>
        <x:v>606.7366027859083</x:v>
      </x:c>
      <x:c r="I9" s="115"/>
      <x:c r="J9" s="115"/>
      <x:c r="K9" s="115"/>
      <x:c r="L9" s="115"/>
      <x:c r="M9" s="115"/>
      <x:c r="N9" s="115"/>
      <x:c r="O9" s="115"/>
      <x:c r="P9" s="115"/>
      <x:c r="Q9" s="115"/>
      <x:c r="R9" s="115"/>
      <x:c r="S9" s="115"/>
      <x:c r="T9" s="115"/>
      <x:c r="U9" s="115"/>
      <x:c r="V9" s="115"/>
      <x:c r="W9" s="115"/>
      <x:c r="X9" s="115"/>
      <x:c r="Y9" s="115"/>
      <x:c r="Z9" s="115"/>
    </x:row>
    <x:row r="10">
      <x:c r="A10" s="115" t="str">
        <x:v>PV of terminal value</x:v>
      </x:c>
      <x:c r="B10" s="146"/>
      <x:c r="C10" s="146"/>
      <x:c r="D10" s="146"/>
      <x:c r="E10" s="146"/>
      <x:c r="F10" s="146"/>
      <x:c r="G10" s="146"/>
      <x:c r="H10" s="146" t="n">
        <x:f>H9*G6</x:f>
        <x:v>310.40991219919056</x:v>
      </x:c>
      <x:c r="I10" s="115"/>
      <x:c r="J10" s="115"/>
      <x:c r="K10" s="115"/>
      <x:c r="L10" s="115"/>
      <x:c r="M10" s="115"/>
      <x:c r="N10" s="115"/>
      <x:c r="O10" s="115"/>
      <x:c r="P10" s="115"/>
      <x:c r="Q10" s="115"/>
      <x:c r="R10" s="115"/>
      <x:c r="S10" s="115"/>
      <x:c r="T10" s="115"/>
      <x:c r="U10" s="115"/>
      <x:c r="V10" s="115"/>
      <x:c r="W10" s="115"/>
      <x:c r="X10" s="115"/>
      <x:c r="Y10" s="115"/>
      <x:c r="Z10" s="115"/>
    </x:row>
    <x:row r="11">
      <x:c r="A11" s="115" t="str">
        <x:v>Enterprise value</x:v>
      </x:c>
      <x:c r="B11" s="146"/>
      <x:c r="C11" s="146"/>
      <x:c r="D11" s="146"/>
      <x:c r="E11" s="146"/>
      <x:c r="F11" s="146"/>
      <x:c r="G11" s="146"/>
      <x:c r="H11" s="146" t="n">
        <x:f>SUM(B7:G7)+H10</x:f>
        <x:v>518.9129429547723</x:v>
      </x:c>
      <x:c r="I11" s="115"/>
      <x:c r="J11" s="115"/>
      <x:c r="K11" s="115"/>
      <x:c r="L11" s="115"/>
      <x:c r="M11" s="115"/>
      <x:c r="N11" s="115"/>
      <x:c r="O11" s="115"/>
      <x:c r="P11" s="115"/>
      <x:c r="Q11" s="115"/>
      <x:c r="R11" s="115"/>
      <x:c r="S11" s="115"/>
      <x:c r="T11" s="115"/>
      <x:c r="U11" s="115"/>
      <x:c r="V11" s="115"/>
      <x:c r="W11" s="115"/>
      <x:c r="X11" s="115"/>
      <x:c r="Y11" s="115"/>
      <x:c r="Z11" s="115"/>
    </x:row>
    <x:row r="12">
      <x:c r="A12" s="115" t="str">
        <x:v>Cash</x:v>
      </x:c>
      <x:c r="B12" s="146"/>
      <x:c r="C12" s="146"/>
      <x:c r="D12" s="146"/>
      <x:c r="E12" s="146"/>
      <x:c r="F12" s="146"/>
      <x:c r="G12" s="146"/>
      <x:c r="H12" s="146" t="n">
        <x:f>Assumptions!B8</x:f>
        <x:v>8.412</x:v>
      </x:c>
      <x:c r="I12" s="115"/>
      <x:c r="J12" s="115"/>
      <x:c r="K12" s="115"/>
      <x:c r="L12" s="115"/>
      <x:c r="M12" s="115"/>
      <x:c r="N12" s="115"/>
      <x:c r="O12" s="115"/>
      <x:c r="P12" s="115"/>
      <x:c r="Q12" s="115"/>
      <x:c r="R12" s="115"/>
      <x:c r="S12" s="115"/>
      <x:c r="T12" s="115"/>
      <x:c r="U12" s="115"/>
      <x:c r="V12" s="115"/>
      <x:c r="W12" s="115"/>
      <x:c r="X12" s="115"/>
      <x:c r="Y12" s="115"/>
      <x:c r="Z12" s="115"/>
    </x:row>
    <x:row r="13">
      <x:c r="A13" s="115" t="str">
        <x:v>Borrowings + accrued interest</x:v>
      </x:c>
      <x:c r="B13" s="146"/>
      <x:c r="C13" s="146"/>
      <x:c r="D13" s="146"/>
      <x:c r="E13" s="146"/>
      <x:c r="F13" s="146"/>
      <x:c r="G13" s="146"/>
      <x:c r="H13" s="146" t="n">
        <x:f>-Assumptions!B9</x:f>
        <x:v>-116.504</x:v>
      </x:c>
      <x:c r="I13" s="115"/>
      <x:c r="J13" s="115"/>
      <x:c r="K13" s="115"/>
      <x:c r="L13" s="115"/>
      <x:c r="M13" s="115"/>
      <x:c r="N13" s="115"/>
      <x:c r="O13" s="115"/>
      <x:c r="P13" s="115"/>
      <x:c r="Q13" s="115"/>
      <x:c r="R13" s="115"/>
      <x:c r="S13" s="115"/>
      <x:c r="T13" s="115"/>
      <x:c r="U13" s="115"/>
      <x:c r="V13" s="115"/>
      <x:c r="W13" s="115"/>
      <x:c r="X13" s="115"/>
      <x:c r="Y13" s="115"/>
      <x:c r="Z13" s="115"/>
    </x:row>
    <x:row r="14">
      <x:c r="A14" s="115" t="str">
        <x:v>Deferred consideration</x:v>
      </x:c>
      <x:c r="B14" s="146"/>
      <x:c r="C14" s="146"/>
      <x:c r="D14" s="146"/>
      <x:c r="E14" s="146"/>
      <x:c r="F14" s="146"/>
      <x:c r="G14" s="146"/>
      <x:c r="H14" s="146" t="n">
        <x:f>-Assumptions!B10</x:f>
        <x:v>-36.684</x:v>
      </x:c>
      <x:c r="I14" s="115"/>
      <x:c r="J14" s="115"/>
      <x:c r="K14" s="115"/>
      <x:c r="L14" s="115"/>
      <x:c r="M14" s="115"/>
      <x:c r="N14" s="115"/>
      <x:c r="O14" s="115"/>
      <x:c r="P14" s="115"/>
      <x:c r="Q14" s="115"/>
      <x:c r="R14" s="115"/>
      <x:c r="S14" s="115"/>
      <x:c r="T14" s="115"/>
      <x:c r="U14" s="115"/>
      <x:c r="V14" s="115"/>
      <x:c r="W14" s="115"/>
      <x:c r="X14" s="115"/>
      <x:c r="Y14" s="115"/>
      <x:c r="Z14" s="115"/>
    </x:row>
    <x:row r="15">
      <x:c r="A15" s="115" t="str">
        <x:v>Lease liabilities</x:v>
      </x:c>
      <x:c r="B15" s="146"/>
      <x:c r="C15" s="146"/>
      <x:c r="D15" s="146"/>
      <x:c r="E15" s="146"/>
      <x:c r="F15" s="146"/>
      <x:c r="G15" s="146"/>
      <x:c r="H15" s="146" t="n">
        <x:f>-Assumptions!B11</x:f>
        <x:v>-4.402</x:v>
      </x:c>
      <x:c r="I15" s="115"/>
      <x:c r="J15" s="115"/>
      <x:c r="K15" s="115"/>
      <x:c r="L15" s="115"/>
      <x:c r="M15" s="115"/>
      <x:c r="N15" s="115"/>
      <x:c r="O15" s="115"/>
      <x:c r="P15" s="115"/>
      <x:c r="Q15" s="115"/>
      <x:c r="R15" s="115"/>
      <x:c r="S15" s="115"/>
      <x:c r="T15" s="115"/>
      <x:c r="U15" s="115"/>
      <x:c r="V15" s="115"/>
      <x:c r="W15" s="115"/>
      <x:c r="X15" s="115"/>
      <x:c r="Y15" s="115"/>
      <x:c r="Z15" s="115"/>
    </x:row>
    <x:row r="16">
      <x:c r="A16" s="162" t="str">
        <x:v>Equity value</x:v>
      </x:c>
      <x:c r="B16" s="163"/>
      <x:c r="C16" s="163"/>
      <x:c r="D16" s="163"/>
      <x:c r="E16" s="163"/>
      <x:c r="F16" s="163"/>
      <x:c r="G16" s="163"/>
      <x:c r="H16" s="163" t="n">
        <x:f>SUM(H11:H15)</x:f>
        <x:v>369.7349429547724</x:v>
      </x:c>
      <x:c r="I16" s="115"/>
      <x:c r="J16" s="115"/>
      <x:c r="K16" s="115"/>
      <x:c r="L16" s="115"/>
      <x:c r="M16" s="115"/>
      <x:c r="N16" s="115"/>
      <x:c r="O16" s="115"/>
      <x:c r="P16" s="115"/>
      <x:c r="Q16" s="115"/>
      <x:c r="R16" s="115"/>
      <x:c r="S16" s="115"/>
      <x:c r="T16" s="115"/>
      <x:c r="U16" s="115"/>
      <x:c r="V16" s="115"/>
      <x:c r="W16" s="115"/>
      <x:c r="X16" s="115"/>
      <x:c r="Y16" s="115"/>
      <x:c r="Z16" s="115"/>
    </x:row>
    <x:row r="17">
      <x:c r="A17" s="164" t="str">
        <x:v>Diluted shares (mm)</x:v>
      </x:c>
      <x:c r="B17" s="165"/>
      <x:c r="C17" s="165"/>
      <x:c r="D17" s="165"/>
      <x:c r="E17" s="165"/>
      <x:c r="F17" s="165"/>
      <x:c r="G17" s="165"/>
      <x:c r="H17" s="165" t="n">
        <x:f>Assumptions!B7</x:f>
        <x:v>42.426533</x:v>
      </x:c>
      <x:c r="I17" s="115"/>
      <x:c r="J17" s="115"/>
      <x:c r="K17" s="115"/>
      <x:c r="L17" s="115"/>
      <x:c r="M17" s="115"/>
      <x:c r="N17" s="115"/>
      <x:c r="O17" s="115"/>
      <x:c r="P17" s="115"/>
      <x:c r="Q17" s="115"/>
      <x:c r="R17" s="115"/>
      <x:c r="S17" s="115"/>
      <x:c r="T17" s="115"/>
      <x:c r="U17" s="115"/>
      <x:c r="V17" s="115"/>
      <x:c r="W17" s="115"/>
      <x:c r="X17" s="115"/>
      <x:c r="Y17" s="115"/>
      <x:c r="Z17" s="115"/>
    </x:row>
    <x:row r="18">
      <x:c r="A18" s="166" t="str">
        <x:v>Value per share</x:v>
      </x:c>
      <x:c r="B18" s="166"/>
      <x:c r="C18" s="166"/>
      <x:c r="D18" s="166"/>
      <x:c r="E18" s="166"/>
      <x:c r="F18" s="166"/>
      <x:c r="G18" s="166"/>
      <x:c r="H18" s="167" t="n">
        <x:f>H16/H17</x:f>
        <x:v>8.714710272337653</x:v>
      </x:c>
      <x:c r="I18" s="115"/>
      <x:c r="J18" s="115"/>
      <x:c r="K18" s="115"/>
      <x:c r="L18" s="115"/>
      <x:c r="M18" s="115"/>
      <x:c r="N18" s="115"/>
      <x:c r="O18" s="115"/>
      <x:c r="P18" s="115"/>
      <x:c r="Q18" s="115"/>
      <x:c r="R18" s="115"/>
      <x:c r="S18" s="115"/>
      <x:c r="T18" s="115"/>
      <x:c r="U18" s="115"/>
      <x:c r="V18" s="115"/>
      <x:c r="W18" s="115"/>
      <x:c r="X18" s="115"/>
      <x:c r="Y18" s="115"/>
      <x:c r="Z18" s="115"/>
    </x:row>
    <x:row r="19">
      <x:c r="A19" s="115"/>
      <x:c r="B19" s="115"/>
      <x:c r="C19" s="115"/>
      <x:c r="D19" s="115"/>
      <x:c r="E19" s="115"/>
      <x:c r="F19" s="115"/>
      <x:c r="G19" s="115"/>
      <x:c r="H19" s="115"/>
      <x:c r="I19" s="115"/>
      <x:c r="J19" s="115"/>
      <x:c r="K19" s="115"/>
      <x:c r="L19" s="115"/>
      <x:c r="M19" s="115"/>
      <x:c r="N19" s="115"/>
      <x:c r="O19" s="115"/>
      <x:c r="P19" s="115"/>
      <x:c r="Q19" s="115"/>
      <x:c r="R19" s="115"/>
      <x:c r="S19" s="115"/>
      <x:c r="T19" s="115"/>
      <x:c r="U19" s="115"/>
      <x:c r="V19" s="115"/>
      <x:c r="W19" s="115"/>
      <x:c r="X19" s="115"/>
      <x:c r="Y19" s="115"/>
      <x:c r="Z19" s="115"/>
    </x:row>
    <x:row r="20">
      <x:c r="A20" s="115"/>
      <x:c r="B20" s="115"/>
      <x:c r="C20" s="115"/>
      <x:c r="D20" s="115"/>
      <x:c r="E20" s="115"/>
      <x:c r="F20" s="115"/>
      <x:c r="G20" s="115"/>
      <x:c r="H20" s="115"/>
      <x:c r="I20" s="115"/>
      <x:c r="J20" s="115"/>
      <x:c r="K20" s="115"/>
      <x:c r="L20" s="115"/>
      <x:c r="M20" s="115"/>
      <x:c r="N20" s="115"/>
      <x:c r="O20" s="115"/>
      <x:c r="P20" s="115"/>
      <x:c r="Q20" s="115"/>
      <x:c r="R20" s="115"/>
      <x:c r="S20" s="115"/>
      <x:c r="T20" s="115"/>
      <x:c r="U20" s="115"/>
      <x:c r="V20" s="115"/>
      <x:c r="W20" s="115"/>
      <x:c r="X20" s="115"/>
      <x:c r="Y20" s="115"/>
      <x:c r="Z20" s="115"/>
    </x:row>
    <x:row r="21">
      <x:c r="A21" s="144" t="str">
        <x:v>Reverse DCF: implied 2031 normalized EBITDA margin at current price</x:v>
      </x:c>
      <x:c r="B21" s="144"/>
      <x:c r="C21" s="144"/>
      <x:c r="D21" s="144"/>
      <x:c r="E21" s="115"/>
      <x:c r="F21" s="115"/>
      <x:c r="G21" s="115"/>
      <x:c r="H21" s="115"/>
      <x:c r="I21" s="115"/>
      <x:c r="J21" s="115"/>
      <x:c r="K21" s="115"/>
      <x:c r="L21" s="115"/>
      <x:c r="M21" s="115"/>
      <x:c r="N21" s="115"/>
      <x:c r="O21" s="115"/>
      <x:c r="P21" s="115"/>
      <x:c r="Q21" s="115"/>
      <x:c r="R21" s="115"/>
      <x:c r="S21" s="115"/>
      <x:c r="T21" s="115"/>
      <x:c r="U21" s="115"/>
      <x:c r="V21" s="115"/>
      <x:c r="W21" s="115"/>
      <x:c r="X21" s="115"/>
      <x:c r="Y21" s="115"/>
      <x:c r="Z21" s="115"/>
    </x:row>
    <x:row r="22">
      <x:c r="A22" s="115" t="str">
        <x:v>Current equity value</x:v>
      </x:c>
      <x:c r="B22" s="115" t="n">
        <x:f>Assumptions!B5*Assumptions!B7</x:f>
        <x:v>73.39790209</x:v>
      </x:c>
      <x:c r="C22" s="115" t="str">
        <x:v>$mm</x:v>
      </x:c>
      <x:c r="D22" s="115" t="str">
        <x:v>Frozen price × diluted shares</x:v>
      </x:c>
      <x:c r="E22" s="115"/>
      <x:c r="F22" s="115"/>
      <x:c r="G22" s="115"/>
      <x:c r="H22" s="115"/>
      <x:c r="I22" s="115"/>
      <x:c r="J22" s="115"/>
      <x:c r="K22" s="115"/>
      <x:c r="L22" s="115"/>
      <x:c r="M22" s="115"/>
      <x:c r="N22" s="115"/>
      <x:c r="O22" s="115"/>
      <x:c r="P22" s="115"/>
      <x:c r="Q22" s="115"/>
      <x:c r="R22" s="115"/>
      <x:c r="S22" s="115"/>
      <x:c r="T22" s="115"/>
      <x:c r="U22" s="115"/>
      <x:c r="V22" s="115"/>
      <x:c r="W22" s="115"/>
      <x:c r="X22" s="115"/>
      <x:c r="Y22" s="115"/>
      <x:c r="Z22" s="115"/>
    </x:row>
    <x:row r="23">
      <x:c r="A23" s="115" t="str">
        <x:v>Implied enterprise value</x:v>
      </x:c>
      <x:c r="B23" s="115" t="n">
        <x:f>B22-Assumptions!B8+Assumptions!B9+Assumptions!B10+Assumptions!B11</x:f>
        <x:v>222.57590208999997</x:v>
      </x:c>
      <x:c r="C23" s="115" t="str">
        <x:v>$mm</x:v>
      </x:c>
      <x:c r="D23" s="115" t="str">
        <x:v>Equity value + debt-like claims − cash</x:v>
      </x:c>
      <x:c r="E23" s="115"/>
      <x:c r="F23" s="115"/>
      <x:c r="G23" s="115"/>
      <x:c r="H23" s="115"/>
      <x:c r="I23" s="115"/>
      <x:c r="J23" s="115"/>
      <x:c r="K23" s="115"/>
      <x:c r="L23" s="115"/>
      <x:c r="M23" s="115"/>
      <x:c r="N23" s="115"/>
      <x:c r="O23" s="115"/>
      <x:c r="P23" s="115"/>
      <x:c r="Q23" s="115"/>
      <x:c r="R23" s="115"/>
      <x:c r="S23" s="115"/>
      <x:c r="T23" s="115"/>
      <x:c r="U23" s="115"/>
      <x:c r="V23" s="115"/>
      <x:c r="W23" s="115"/>
      <x:c r="X23" s="115"/>
      <x:c r="Y23" s="115"/>
      <x:c r="Z23" s="115"/>
    </x:row>
    <x:row r="24">
      <x:c r="A24" s="115" t="str">
        <x:v>Implied EV / 2026 guidance EBITDA</x:v>
      </x:c>
      <x:c r="B24" s="158" t="n">
        <x:f>B23/Forecast!C7</x:f>
        <x:v>4.832041293677068</x:v>
      </x:c>
      <x:c r="C24" s="115" t="str">
        <x:v>x</x:v>
      </x:c>
      <x:c r="D24" s="115" t="str">
        <x:v>A market-method read-through, not consensus</x:v>
      </x:c>
      <x:c r="E24" s="115"/>
      <x:c r="F24" s="115"/>
      <x:c r="G24" s="115"/>
      <x:c r="H24" s="115"/>
      <x:c r="I24" s="115"/>
      <x:c r="J24" s="115"/>
      <x:c r="K24" s="115"/>
      <x:c r="L24" s="115"/>
      <x:c r="M24" s="115"/>
      <x:c r="N24" s="115"/>
      <x:c r="O24" s="115"/>
      <x:c r="P24" s="115"/>
      <x:c r="Q24" s="115"/>
      <x:c r="R24" s="115"/>
      <x:c r="S24" s="115"/>
      <x:c r="T24" s="115"/>
      <x:c r="U24" s="115"/>
      <x:c r="V24" s="115"/>
      <x:c r="W24" s="115"/>
      <x:c r="X24" s="115"/>
      <x:c r="Y24" s="115"/>
      <x:c r="Z24" s="115"/>
    </x:row>
    <x:row r="25">
      <x:c r="A25" s="115" t="str">
        <x:v>Base DCF value / current price</x:v>
      </x:c>
      <x:c r="B25" s="158" t="n">
        <x:f>H18/Assumptions!B5</x:f>
        <x:v>5.037404781698066</x:v>
      </x:c>
      <x:c r="C25" s="115" t="str">
        <x:v>x</x:v>
      </x:c>
      <x:c r="D25" s="115" t="str">
        <x:v>Illustrative upside multiple</x:v>
      </x:c>
      <x:c r="E25" s="115"/>
      <x:c r="F25" s="115"/>
      <x:c r="G25" s="115"/>
      <x:c r="H25" s="115"/>
      <x:c r="I25" s="115"/>
      <x:c r="J25" s="115"/>
      <x:c r="K25" s="115"/>
      <x:c r="L25" s="115"/>
      <x:c r="M25" s="115"/>
      <x:c r="N25" s="115"/>
      <x:c r="O25" s="115"/>
      <x:c r="P25" s="115"/>
      <x:c r="Q25" s="115"/>
      <x:c r="R25" s="115"/>
      <x:c r="S25" s="115"/>
      <x:c r="T25" s="115"/>
      <x:c r="U25" s="115"/>
      <x:c r="V25" s="115"/>
      <x:c r="W25" s="115"/>
      <x:c r="X25" s="115"/>
      <x:c r="Y25" s="115"/>
      <x:c r="Z25" s="115"/>
    </x:row>
    <x:row r="26">
      <x:c r="A26" s="115" t="str">
        <x:v>Terminal value / enterprise value</x:v>
      </x:c>
      <x:c r="B26" s="147" t="n">
        <x:f>H10/H11</x:f>
        <x:v>0.5981926571953813</x:v>
      </x:c>
      <x:c r="C26" s="115" t="str">
        <x:v>%</x:v>
      </x:c>
      <x:c r="D26" s="115" t="str">
        <x:v>Model concentration warning</x:v>
      </x:c>
      <x:c r="E26" s="115"/>
      <x:c r="F26" s="115"/>
      <x:c r="G26" s="115"/>
      <x:c r="H26" s="115"/>
      <x:c r="I26" s="115"/>
      <x:c r="J26" s="115"/>
      <x:c r="K26" s="115"/>
      <x:c r="L26" s="115"/>
      <x:c r="M26" s="115"/>
      <x:c r="N26" s="115"/>
      <x:c r="O26" s="115"/>
      <x:c r="P26" s="115"/>
      <x:c r="Q26" s="115"/>
      <x:c r="R26" s="115"/>
      <x:c r="S26" s="115"/>
      <x:c r="T26" s="115"/>
      <x:c r="U26" s="115"/>
      <x:c r="V26" s="115"/>
      <x:c r="W26" s="115"/>
      <x:c r="X26" s="115"/>
      <x:c r="Y26" s="115"/>
      <x:c r="Z26" s="115"/>
    </x:row>
    <x:row r="27">
      <x:c r="A27" s="115"/>
      <x:c r="B27" s="115"/>
      <x:c r="C27" s="115"/>
      <x:c r="D27" s="115"/>
      <x:c r="E27" s="115"/>
      <x:c r="F27" s="115"/>
      <x:c r="G27" s="115"/>
      <x:c r="H27" s="115"/>
      <x:c r="I27" s="115"/>
      <x:c r="J27" s="115"/>
      <x:c r="K27" s="115"/>
      <x:c r="L27" s="115"/>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59" t="str">
        <x:v>The FCFF DCF is the primary method because Grandstand has a forecastable operating business and leverage is separately bridged. Deferred consideration and leases are explicitly deducted as debt-like claims. The reverse section reports model-derived implied expectations; it does not identify a unique market belief.</x:v>
      </x:c>
      <x:c r="B29" s="159"/>
      <x:c r="C29" s="159"/>
      <x:c r="D29" s="159"/>
      <x:c r="E29" s="159"/>
      <x:c r="F29" s="159"/>
      <x:c r="G29" s="159"/>
      <x:c r="H29" s="159"/>
      <x:c r="I29" s="115"/>
      <x:c r="J29" s="115"/>
      <x:c r="K29" s="115"/>
      <x:c r="L29" s="115"/>
      <x:c r="M29" s="115"/>
      <x:c r="N29" s="115"/>
      <x:c r="O29" s="115"/>
      <x:c r="P29" s="115"/>
      <x:c r="Q29" s="115"/>
      <x:c r="R29" s="115"/>
      <x:c r="S29" s="115"/>
      <x:c r="T29" s="115"/>
      <x:c r="U29" s="115"/>
      <x:c r="V29" s="115"/>
      <x:c r="W29" s="115"/>
      <x:c r="X29" s="115"/>
      <x:c r="Y29" s="115"/>
      <x:c r="Z29" s="115"/>
    </x:row>
    <x:row r="30">
      <x:c r="A30" s="159"/>
      <x:c r="B30" s="159"/>
      <x:c r="C30" s="159"/>
      <x:c r="D30" s="159"/>
      <x:c r="E30" s="159"/>
      <x:c r="F30" s="159"/>
      <x:c r="G30" s="159"/>
      <x:c r="H30" s="159"/>
      <x:c r="I30" s="115"/>
      <x:c r="J30" s="115"/>
      <x:c r="K30" s="115"/>
      <x:c r="L30" s="115"/>
      <x:c r="M30" s="115"/>
      <x:c r="N30" s="115"/>
      <x:c r="O30" s="115"/>
      <x:c r="P30" s="115"/>
      <x:c r="Q30" s="115"/>
      <x:c r="R30" s="115"/>
      <x:c r="S30" s="115"/>
      <x:c r="T30" s="115"/>
      <x:c r="U30" s="115"/>
      <x:c r="V30" s="115"/>
      <x:c r="W30" s="115"/>
      <x:c r="X30" s="115"/>
      <x:c r="Y30" s="115"/>
      <x:c r="Z30" s="115"/>
    </x:row>
    <x:row r="31">
      <x:c r="A31" s="159"/>
      <x:c r="B31" s="159"/>
      <x:c r="C31" s="159"/>
      <x:c r="D31" s="159"/>
      <x:c r="E31" s="159"/>
      <x:c r="F31" s="159"/>
      <x:c r="G31" s="159"/>
      <x:c r="H31" s="159"/>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H1"/>
    <x:mergeCell ref="A21:D21"/>
    <x:mergeCell ref="A29:H3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5" hidden="0" customWidth="1"/>
    <x:col min="3" max="3" width="14" hidden="0" customWidth="1"/>
    <x:col min="4" max="4" width="14" hidden="0" customWidth="1"/>
    <x:col min="5" max="5" width="14" hidden="0" customWidth="1"/>
    <x:col min="6" max="6" width="21" hidden="0" customWidth="1"/>
    <x:col min="7" max="7" width="55" hidden="0" customWidth="1"/>
  </x:cols>
  <x:sheetData>
    <x:row r="1" ht="30" customHeight="1">
      <x:c r="A1" s="3" t="str">
        <x:v>Grandstand Limited — Corroborative Market Method</x:v>
      </x:c>
      <x:c r="B1" s="3" t="str">
        <x:v>Grandstand Limited — Corroborative Market Method</x:v>
      </x:c>
      <x:c r="C1" s="3" t="str">
        <x:v>Grandstand Limited — Corroborative Market Method</x:v>
      </x:c>
      <x:c r="D1" s="3" t="str">
        <x:v>Grandstand Limited — Corroborative Market Method</x:v>
      </x:c>
      <x:c r="E1" s="3" t="str">
        <x:v>Grandstand Limited — Corroborative Market Method</x:v>
      </x:c>
      <x:c r="F1" s="3" t="str">
        <x:v>Grandstand Limited — Corroborative Market Method</x:v>
      </x:c>
      <x:c r="G1" s="3" t="str">
        <x:v>Grandstand Limited — Corroborative Market Method</x:v>
      </x:c>
      <x:c r="H1" s="115"/>
      <x:c r="I1" s="115"/>
      <x:c r="J1" s="115"/>
      <x:c r="K1" s="115"/>
      <x:c r="L1" s="115"/>
      <x:c r="M1" s="115"/>
      <x:c r="N1" s="115"/>
      <x:c r="O1" s="115"/>
      <x:c r="P1" s="115"/>
      <x:c r="Q1" s="115"/>
      <x:c r="R1" s="115"/>
      <x:c r="S1" s="115"/>
      <x:c r="T1" s="115"/>
      <x:c r="U1" s="115"/>
      <x:c r="V1" s="115"/>
      <x:c r="W1" s="115"/>
      <x:c r="X1" s="115"/>
      <x:c r="Y1" s="115"/>
      <x:c r="Z1" s="115"/>
    </x:row>
    <x:row r="2">
      <x:c r="A2" s="115"/>
      <x:c r="B2" s="115"/>
      <x:c r="C2" s="115"/>
      <x:c r="D2" s="115"/>
      <x:c r="E2" s="115"/>
      <x:c r="F2" s="115"/>
      <x:c r="G2" s="115"/>
      <x:c r="H2" s="115"/>
      <x:c r="I2" s="115"/>
      <x:c r="J2" s="115"/>
      <x:c r="K2" s="115"/>
      <x:c r="L2" s="115"/>
      <x:c r="M2" s="115"/>
      <x:c r="N2" s="115"/>
      <x:c r="O2" s="115"/>
      <x:c r="P2" s="115"/>
      <x:c r="Q2" s="115"/>
      <x:c r="R2" s="115"/>
      <x:c r="S2" s="115"/>
      <x:c r="T2" s="115"/>
      <x:c r="U2" s="115"/>
      <x:c r="V2" s="115"/>
      <x:c r="W2" s="115"/>
      <x:c r="X2" s="115"/>
      <x:c r="Y2" s="115"/>
      <x:c r="Z2" s="115"/>
    </x:row>
    <x:row r="3">
      <x:c r="A3" s="12" t="str">
        <x:v>Method</x:v>
      </x:c>
      <x:c r="B3" s="13" t="str">
        <x:v>Metric</x:v>
      </x:c>
      <x:c r="C3" s="13" t="str">
        <x:v>Low</x:v>
      </x:c>
      <x:c r="D3" s="13" t="str">
        <x:v>Mid</x:v>
      </x:c>
      <x:c r="E3" s="13" t="str">
        <x:v>High</x:v>
      </x:c>
      <x:c r="F3" s="13" t="str">
        <x:v>Per-share read-through</x:v>
      </x:c>
      <x:c r="G3" s="14" t="str">
        <x:v>Status / rationale</x:v>
      </x:c>
      <x:c r="H3" s="115"/>
      <x:c r="I3" s="115"/>
      <x:c r="J3" s="115"/>
      <x:c r="K3" s="115"/>
      <x:c r="L3" s="115"/>
      <x:c r="M3" s="115"/>
      <x:c r="N3" s="115"/>
      <x:c r="O3" s="115"/>
      <x:c r="P3" s="115"/>
      <x:c r="Q3" s="115"/>
      <x:c r="R3" s="115"/>
      <x:c r="S3" s="115"/>
      <x:c r="T3" s="115"/>
      <x:c r="U3" s="115"/>
      <x:c r="V3" s="115"/>
      <x:c r="W3" s="115"/>
      <x:c r="X3" s="115"/>
      <x:c r="Y3" s="115"/>
      <x:c r="Z3" s="115"/>
    </x:row>
    <x:row r="4">
      <x:c r="A4" s="115" t="str">
        <x:v>FCFF DCF</x:v>
      </x:c>
      <x:c r="B4" s="115" t="str">
        <x:v>Value / share</x:v>
      </x:c>
      <x:c r="C4" s="148" t="n">
        <x:f>Sensitivities!C11</x:f>
        <x:v>11.570680825357513</x:v>
      </x:c>
      <x:c r="D4" s="148" t="n">
        <x:f>DCF!H18</x:f>
        <x:v>8.714710272337653</x:v>
      </x:c>
      <x:c r="E4" s="148" t="n">
        <x:f>Sensitivities!E11</x:f>
        <x:v>0</x:v>
      </x:c>
      <x:c r="F4" s="148" t="n">
        <x:f>D4</x:f>
        <x:v>8.714710272337653</x:v>
      </x:c>
      <x:c r="G4" s="115" t="str">
        <x:v>Primary: explicit cash-flow forecast, debt-like bridge and sensitivity</x:v>
      </x:c>
      <x:c r="H4" s="115"/>
      <x:c r="I4" s="115"/>
      <x:c r="J4" s="115"/>
      <x:c r="K4" s="115"/>
      <x:c r="L4" s="115"/>
      <x:c r="M4" s="115"/>
      <x:c r="N4" s="115"/>
      <x:c r="O4" s="115"/>
      <x:c r="P4" s="115"/>
      <x:c r="Q4" s="115"/>
      <x:c r="R4" s="115"/>
      <x:c r="S4" s="115"/>
      <x:c r="T4" s="115"/>
      <x:c r="U4" s="115"/>
      <x:c r="V4" s="115"/>
      <x:c r="W4" s="115"/>
      <x:c r="X4" s="115"/>
      <x:c r="Y4" s="115"/>
      <x:c r="Z4" s="115"/>
    </x:row>
    <x:row r="5">
      <x:c r="A5" s="115" t="str">
        <x:v>EV / normalized EBITDA</x:v>
      </x:c>
      <x:c r="B5" s="115" t="str">
        <x:v>Selected multiple</x:v>
      </x:c>
      <x:c r="C5" s="158" t="n">
        <x:v>4</x:v>
      </x:c>
      <x:c r="D5" s="158" t="n">
        <x:v>5</x:v>
      </x:c>
      <x:c r="E5" s="158" t="n">
        <x:v>6</x:v>
      </x:c>
      <x:c r="F5" s="148" t="n">
        <x:f>(D5*Forecast!C7+Assumptions!B8-Assumptions!B9-Assumptions!B10-Assumptions!B11)/Assumptions!B7</x:f>
        <x:v>1.912352819401954</x:v>
      </x:c>
      <x:c r="G5" s="115" t="str">
        <x:v>Secondary: analyst-selected range; no normalized public peer median is represented</x:v>
      </x:c>
      <x:c r="H5" s="115"/>
      <x:c r="I5" s="115"/>
      <x:c r="J5" s="115"/>
      <x:c r="K5" s="115"/>
      <x:c r="L5" s="115"/>
      <x:c r="M5" s="115"/>
      <x:c r="N5" s="115"/>
      <x:c r="O5" s="115"/>
      <x:c r="P5" s="115"/>
      <x:c r="Q5" s="115"/>
      <x:c r="R5" s="115"/>
      <x:c r="S5" s="115"/>
      <x:c r="T5" s="115"/>
      <x:c r="U5" s="115"/>
      <x:c r="V5" s="115"/>
      <x:c r="W5" s="115"/>
      <x:c r="X5" s="115"/>
      <x:c r="Y5" s="115"/>
      <x:c r="Z5" s="115"/>
    </x:row>
    <x:row r="6">
      <x:c r="A6" s="115" t="str">
        <x:v>Current market</x:v>
      </x:c>
      <x:c r="B6" s="115" t="str">
        <x:v>Frozen price</x:v>
      </x:c>
      <x:c r="C6" s="148"/>
      <x:c r="D6" s="148"/>
      <x:c r="E6" s="148"/>
      <x:c r="F6" s="148" t="n">
        <x:f>Assumptions!B5</x:f>
        <x:v>1.73</x:v>
      </x:c>
      <x:c r="G6" s="115" t="str">
        <x:v>S5; 23-Jul-2026 close</x:v>
      </x:c>
      <x:c r="H6" s="115"/>
      <x:c r="I6" s="115"/>
      <x:c r="J6" s="115"/>
      <x:c r="K6" s="115"/>
      <x:c r="L6" s="115"/>
      <x:c r="M6" s="115"/>
      <x:c r="N6" s="115"/>
      <x:c r="O6" s="115"/>
      <x:c r="P6" s="115"/>
      <x:c r="Q6" s="115"/>
      <x:c r="R6" s="115"/>
      <x:c r="S6" s="115"/>
      <x:c r="T6" s="115"/>
      <x:c r="U6" s="115"/>
      <x:c r="V6" s="115"/>
      <x:c r="W6" s="115"/>
      <x:c r="X6" s="115"/>
      <x:c r="Y6" s="115"/>
      <x:c r="Z6" s="115"/>
    </x:row>
    <x:row r="7">
      <x:c r="A7" s="115" t="str">
        <x:v>Peer valuation</x:v>
      </x:c>
      <x:c r="B7" s="115" t="str">
        <x:v>Public comp median</x:v>
      </x:c>
      <x:c r="C7" s="115"/>
      <x:c r="D7" s="115"/>
      <x:c r="E7" s="115"/>
      <x:c r="F7" s="115"/>
      <x:c r="G7" s="115" t="str">
        <x:v>Inapplicable: affiliate, sports-data and marketing peers have materially mixed business / leverage profiles</x:v>
      </x:c>
      <x:c r="H7" s="115"/>
      <x:c r="I7" s="115"/>
      <x:c r="J7" s="115"/>
      <x:c r="K7" s="115"/>
      <x:c r="L7" s="115"/>
      <x:c r="M7" s="115"/>
      <x:c r="N7" s="115"/>
      <x:c r="O7" s="115"/>
      <x:c r="P7" s="115"/>
      <x:c r="Q7" s="115"/>
      <x:c r="R7" s="115"/>
      <x:c r="S7" s="115"/>
      <x:c r="T7" s="115"/>
      <x:c r="U7" s="115"/>
      <x:c r="V7" s="115"/>
      <x:c r="W7" s="115"/>
      <x:c r="X7" s="115"/>
      <x:c r="Y7" s="115"/>
      <x:c r="Z7" s="115"/>
    </x:row>
    <x:row r="8">
      <x:c r="A8" s="115" t="str">
        <x:v>Method conclusion</x:v>
      </x:c>
      <x:c r="B8" s="115" t="str">
        <x:v>Not mechanically averaged</x:v>
      </x:c>
      <x:c r="C8" s="115"/>
      <x:c r="D8" s="115"/>
      <x:c r="E8" s="115"/>
      <x:c r="F8" s="115"/>
      <x:c r="G8" s="115" t="str">
        <x:v>DCF anchor; market method shows debt and execution sensitivity</x:v>
      </x:c>
      <x:c r="H8" s="115"/>
      <x:c r="I8" s="115"/>
      <x:c r="J8" s="115"/>
      <x:c r="K8" s="115"/>
      <x:c r="L8" s="115"/>
      <x:c r="M8" s="115"/>
      <x:c r="N8" s="115"/>
      <x:c r="O8" s="115"/>
      <x:c r="P8" s="115"/>
      <x:c r="Q8" s="115"/>
      <x:c r="R8" s="115"/>
      <x:c r="S8" s="115"/>
      <x:c r="T8" s="115"/>
      <x:c r="U8" s="115"/>
      <x:c r="V8" s="115"/>
      <x:c r="W8" s="115"/>
      <x:c r="X8" s="115"/>
      <x:c r="Y8" s="115"/>
      <x:c r="Z8" s="115"/>
    </x:row>
    <x:row r="9">
      <x:c r="A9" s="115"/>
      <x:c r="B9" s="115"/>
      <x:c r="C9" s="115"/>
      <x:c r="D9" s="115"/>
      <x:c r="E9" s="115"/>
      <x:c r="F9" s="115"/>
      <x:c r="G9" s="115"/>
      <x:c r="H9" s="115"/>
      <x:c r="I9" s="115"/>
      <x:c r="J9" s="115"/>
      <x:c r="K9" s="115"/>
      <x:c r="L9" s="115"/>
      <x:c r="M9" s="115"/>
      <x:c r="N9" s="115"/>
      <x:c r="O9" s="115"/>
      <x:c r="P9" s="115"/>
      <x:c r="Q9" s="115"/>
      <x:c r="R9" s="115"/>
      <x:c r="S9" s="115"/>
      <x:c r="T9" s="115"/>
      <x:c r="U9" s="115"/>
      <x:c r="V9" s="115"/>
      <x:c r="W9" s="115"/>
      <x:c r="X9" s="115"/>
      <x:c r="Y9" s="115"/>
      <x:c r="Z9" s="115"/>
    </x:row>
    <x:row r="10">
      <x:c r="A10" s="115"/>
      <x:c r="B10" s="115"/>
      <x:c r="C10" s="115"/>
      <x:c r="D10" s="115"/>
      <x:c r="E10" s="115"/>
      <x:c r="F10" s="115"/>
      <x:c r="G10" s="115"/>
      <x:c r="H10" s="115"/>
      <x:c r="I10" s="115"/>
      <x:c r="J10" s="115"/>
      <x:c r="K10" s="115"/>
      <x:c r="L10" s="115"/>
      <x:c r="M10" s="115"/>
      <x:c r="N10" s="115"/>
      <x:c r="O10" s="115"/>
      <x:c r="P10" s="115"/>
      <x:c r="Q10" s="115"/>
      <x:c r="R10" s="115"/>
      <x:c r="S10" s="115"/>
      <x:c r="T10" s="115"/>
      <x:c r="U10" s="115"/>
      <x:c r="V10" s="115"/>
      <x:c r="W10" s="115"/>
      <x:c r="X10" s="115"/>
      <x:c r="Y10" s="115"/>
      <x:c r="Z10" s="115"/>
    </x:row>
    <x:row r="11">
      <x:c r="A11" s="159" t="str">
        <x:v>The company’s economics combine performance marketing, consumer and enterprise sports data, advertising, and ticketing. Available public comparables do not support a clean normalized peer median without licensed market data and manual financial normalization. The selected 4.0x–6.0x EBITDA range is therefore an analyst stress only. It is intentionally not averaged with the DCF.</x:v>
      </x:c>
      <x:c r="B11" s="159"/>
      <x:c r="C11" s="159"/>
      <x:c r="D11" s="159"/>
      <x:c r="E11" s="159"/>
      <x:c r="F11" s="159"/>
      <x:c r="G11" s="159"/>
      <x:c r="H11" s="115"/>
      <x:c r="I11" s="115"/>
      <x:c r="J11" s="115"/>
      <x:c r="K11" s="115"/>
      <x:c r="L11" s="115"/>
      <x:c r="M11" s="115"/>
      <x:c r="N11" s="115"/>
      <x:c r="O11" s="115"/>
      <x:c r="P11" s="115"/>
      <x:c r="Q11" s="115"/>
      <x:c r="R11" s="115"/>
      <x:c r="S11" s="115"/>
      <x:c r="T11" s="115"/>
      <x:c r="U11" s="115"/>
      <x:c r="V11" s="115"/>
      <x:c r="W11" s="115"/>
      <x:c r="X11" s="115"/>
      <x:c r="Y11" s="115"/>
      <x:c r="Z11" s="115"/>
    </x:row>
    <x:row r="12">
      <x:c r="A12" s="159"/>
      <x:c r="B12" s="159"/>
      <x:c r="C12" s="159"/>
      <x:c r="D12" s="159"/>
      <x:c r="E12" s="159"/>
      <x:c r="F12" s="159"/>
      <x:c r="G12" s="159"/>
      <x:c r="H12" s="115"/>
      <x:c r="I12" s="115"/>
      <x:c r="J12" s="115"/>
      <x:c r="K12" s="115"/>
      <x:c r="L12" s="115"/>
      <x:c r="M12" s="115"/>
      <x:c r="N12" s="115"/>
      <x:c r="O12" s="115"/>
      <x:c r="P12" s="115"/>
      <x:c r="Q12" s="115"/>
      <x:c r="R12" s="115"/>
      <x:c r="S12" s="115"/>
      <x:c r="T12" s="115"/>
      <x:c r="U12" s="115"/>
      <x:c r="V12" s="115"/>
      <x:c r="W12" s="115"/>
      <x:c r="X12" s="115"/>
      <x:c r="Y12" s="115"/>
      <x:c r="Z12" s="115"/>
    </x:row>
    <x:row r="13">
      <x:c r="A13" s="159"/>
      <x:c r="B13" s="159"/>
      <x:c r="C13" s="159"/>
      <x:c r="D13" s="159"/>
      <x:c r="E13" s="159"/>
      <x:c r="F13" s="159"/>
      <x:c r="G13" s="159"/>
      <x:c r="H13" s="115"/>
      <x:c r="I13" s="115"/>
      <x:c r="J13" s="115"/>
      <x:c r="K13" s="115"/>
      <x:c r="L13" s="115"/>
      <x:c r="M13" s="115"/>
      <x:c r="N13" s="115"/>
      <x:c r="O13" s="115"/>
      <x:c r="P13" s="115"/>
      <x:c r="Q13" s="115"/>
      <x:c r="R13" s="115"/>
      <x:c r="S13" s="115"/>
      <x:c r="T13" s="115"/>
      <x:c r="U13" s="115"/>
      <x:c r="V13" s="115"/>
      <x:c r="W13" s="115"/>
      <x:c r="X13" s="115"/>
      <x:c r="Y13" s="115"/>
      <x:c r="Z13" s="115"/>
    </x:row>
    <x:row r="14">
      <x:c r="A14" s="159"/>
      <x:c r="B14" s="159"/>
      <x:c r="C14" s="159"/>
      <x:c r="D14" s="159"/>
      <x:c r="E14" s="159"/>
      <x:c r="F14" s="159"/>
      <x:c r="G14" s="159"/>
      <x:c r="H14" s="115"/>
      <x:c r="I14" s="115"/>
      <x:c r="J14" s="115"/>
      <x:c r="K14" s="115"/>
      <x:c r="L14" s="115"/>
      <x:c r="M14" s="115"/>
      <x:c r="N14" s="115"/>
      <x:c r="O14" s="115"/>
      <x:c r="P14" s="115"/>
      <x:c r="Q14" s="115"/>
      <x:c r="R14" s="115"/>
      <x:c r="S14" s="115"/>
      <x:c r="T14" s="115"/>
      <x:c r="U14" s="115"/>
      <x:c r="V14" s="115"/>
      <x:c r="W14" s="115"/>
      <x:c r="X14" s="115"/>
      <x:c r="Y14" s="115"/>
      <x:c r="Z14" s="115"/>
    </x:row>
    <x:row r="15">
      <x:c r="A15" s="115"/>
      <x:c r="B15" s="115"/>
      <x:c r="C15" s="115"/>
      <x:c r="D15" s="115"/>
      <x:c r="E15" s="115"/>
      <x:c r="F15" s="115"/>
      <x:c r="G15" s="115"/>
      <x:c r="H15" s="115"/>
      <x:c r="I15" s="115"/>
      <x:c r="J15" s="115"/>
      <x:c r="K15" s="115"/>
      <x:c r="L15" s="115"/>
      <x:c r="M15" s="115"/>
      <x:c r="N15" s="115"/>
      <x:c r="O15" s="115"/>
      <x:c r="P15" s="115"/>
      <x:c r="Q15" s="115"/>
      <x:c r="R15" s="115"/>
      <x:c r="S15" s="115"/>
      <x:c r="T15" s="115"/>
      <x:c r="U15" s="115"/>
      <x:c r="V15" s="115"/>
      <x:c r="W15" s="115"/>
      <x:c r="X15" s="115"/>
      <x:c r="Y15" s="115"/>
      <x:c r="Z15" s="115"/>
    </x:row>
    <x:row r="16">
      <x:c r="A16" s="115"/>
      <x:c r="B16" s="115"/>
      <x:c r="C16" s="115"/>
      <x:c r="D16" s="115"/>
      <x:c r="E16" s="115"/>
      <x:c r="F16" s="115"/>
      <x:c r="G16" s="115"/>
      <x:c r="H16" s="115"/>
      <x:c r="I16" s="115"/>
      <x:c r="J16" s="115"/>
      <x:c r="K16" s="115"/>
      <x:c r="L16" s="115"/>
      <x:c r="M16" s="115"/>
      <x:c r="N16" s="115"/>
      <x:c r="O16" s="115"/>
      <x:c r="P16" s="115"/>
      <x:c r="Q16" s="115"/>
      <x:c r="R16" s="115"/>
      <x:c r="S16" s="115"/>
      <x:c r="T16" s="115"/>
      <x:c r="U16" s="115"/>
      <x:c r="V16" s="115"/>
      <x:c r="W16" s="115"/>
      <x:c r="X16" s="115"/>
      <x:c r="Y16" s="115"/>
      <x:c r="Z16" s="115"/>
    </x:row>
    <x:row r="17">
      <x:c r="A17" s="115"/>
      <x:c r="B17" s="115"/>
      <x:c r="C17" s="115"/>
      <x:c r="D17" s="115"/>
      <x:c r="E17" s="115"/>
      <x:c r="F17" s="115"/>
      <x:c r="G17" s="115"/>
      <x:c r="H17" s="115"/>
      <x:c r="I17" s="115"/>
      <x:c r="J17" s="115"/>
      <x:c r="K17" s="115"/>
      <x:c r="L17" s="115"/>
      <x:c r="M17" s="115"/>
      <x:c r="N17" s="115"/>
      <x:c r="O17" s="115"/>
      <x:c r="P17" s="115"/>
      <x:c r="Q17" s="115"/>
      <x:c r="R17" s="115"/>
      <x:c r="S17" s="115"/>
      <x:c r="T17" s="115"/>
      <x:c r="U17" s="115"/>
      <x:c r="V17" s="115"/>
      <x:c r="W17" s="115"/>
      <x:c r="X17" s="115"/>
      <x:c r="Y17" s="115"/>
      <x:c r="Z17" s="115"/>
    </x:row>
    <x:row r="18">
      <x:c r="A18" s="115"/>
      <x:c r="B18" s="115"/>
      <x:c r="C18" s="115"/>
      <x:c r="D18" s="115"/>
      <x:c r="E18" s="115"/>
      <x:c r="F18" s="115"/>
      <x:c r="G18" s="115"/>
      <x:c r="H18" s="115"/>
      <x:c r="I18" s="115"/>
      <x:c r="J18" s="115"/>
      <x:c r="K18" s="115"/>
      <x:c r="L18" s="115"/>
      <x:c r="M18" s="115"/>
      <x:c r="N18" s="115"/>
      <x:c r="O18" s="115"/>
      <x:c r="P18" s="115"/>
      <x:c r="Q18" s="115"/>
      <x:c r="R18" s="115"/>
      <x:c r="S18" s="115"/>
      <x:c r="T18" s="115"/>
      <x:c r="U18" s="115"/>
      <x:c r="V18" s="115"/>
      <x:c r="W18" s="115"/>
      <x:c r="X18" s="115"/>
      <x:c r="Y18" s="115"/>
      <x:c r="Z18" s="115"/>
    </x:row>
    <x:row r="19">
      <x:c r="A19" s="115"/>
      <x:c r="B19" s="115"/>
      <x:c r="C19" s="115"/>
      <x:c r="D19" s="115"/>
      <x:c r="E19" s="115"/>
      <x:c r="F19" s="115"/>
      <x:c r="G19" s="115"/>
      <x:c r="H19" s="115"/>
      <x:c r="I19" s="115"/>
      <x:c r="J19" s="115"/>
      <x:c r="K19" s="115"/>
      <x:c r="L19" s="115"/>
      <x:c r="M19" s="115"/>
      <x:c r="N19" s="115"/>
      <x:c r="O19" s="115"/>
      <x:c r="P19" s="115"/>
      <x:c r="Q19" s="115"/>
      <x:c r="R19" s="115"/>
      <x:c r="S19" s="115"/>
      <x:c r="T19" s="115"/>
      <x:c r="U19" s="115"/>
      <x:c r="V19" s="115"/>
      <x:c r="W19" s="115"/>
      <x:c r="X19" s="115"/>
      <x:c r="Y19" s="115"/>
      <x:c r="Z19" s="115"/>
    </x:row>
    <x:row r="20">
      <x:c r="A20" s="115"/>
      <x:c r="B20" s="115"/>
      <x:c r="C20" s="115"/>
      <x:c r="D20" s="115"/>
      <x:c r="E20" s="115"/>
      <x:c r="F20" s="115"/>
      <x:c r="G20" s="115"/>
      <x:c r="H20" s="115"/>
      <x:c r="I20" s="115"/>
      <x:c r="J20" s="115"/>
      <x:c r="K20" s="115"/>
      <x:c r="L20" s="115"/>
      <x:c r="M20" s="115"/>
      <x:c r="N20" s="115"/>
      <x:c r="O20" s="115"/>
      <x:c r="P20" s="115"/>
      <x:c r="Q20" s="115"/>
      <x:c r="R20" s="115"/>
      <x:c r="S20" s="115"/>
      <x:c r="T20" s="115"/>
      <x:c r="U20" s="115"/>
      <x:c r="V20" s="115"/>
      <x:c r="W20" s="115"/>
      <x:c r="X20" s="115"/>
      <x:c r="Y20" s="115"/>
      <x:c r="Z20" s="115"/>
    </x:row>
    <x:row r="21">
      <x:c r="A21" s="115"/>
      <x:c r="B21" s="115"/>
      <x:c r="C21" s="115"/>
      <x:c r="D21" s="115"/>
      <x:c r="E21" s="115"/>
      <x:c r="F21" s="115"/>
      <x:c r="G21" s="115"/>
      <x:c r="H21" s="115"/>
      <x:c r="I21" s="115"/>
      <x:c r="J21" s="115"/>
      <x:c r="K21" s="115"/>
      <x:c r="L21" s="115"/>
      <x:c r="M21" s="115"/>
      <x:c r="N21" s="115"/>
      <x:c r="O21" s="115"/>
      <x:c r="P21" s="115"/>
      <x:c r="Q21" s="115"/>
      <x:c r="R21" s="115"/>
      <x:c r="S21" s="115"/>
      <x:c r="T21" s="115"/>
      <x:c r="U21" s="115"/>
      <x:c r="V21" s="115"/>
      <x:c r="W21" s="115"/>
      <x:c r="X21" s="115"/>
      <x:c r="Y21" s="115"/>
      <x:c r="Z21" s="115"/>
    </x:row>
    <x:row r="22">
      <x:c r="A22" s="115"/>
      <x:c r="B22" s="115"/>
      <x:c r="C22" s="115"/>
      <x:c r="D22" s="115"/>
      <x:c r="E22" s="115"/>
      <x:c r="F22" s="115"/>
      <x:c r="G22" s="115"/>
      <x:c r="H22" s="115"/>
      <x:c r="I22" s="115"/>
      <x:c r="J22" s="115"/>
      <x:c r="K22" s="115"/>
      <x:c r="L22" s="115"/>
      <x:c r="M22" s="115"/>
      <x:c r="N22" s="115"/>
      <x:c r="O22" s="115"/>
      <x:c r="P22" s="115"/>
      <x:c r="Q22" s="115"/>
      <x:c r="R22" s="115"/>
      <x:c r="S22" s="115"/>
      <x:c r="T22" s="115"/>
      <x:c r="U22" s="115"/>
      <x:c r="V22" s="115"/>
      <x:c r="W22" s="115"/>
      <x:c r="X22" s="115"/>
      <x:c r="Y22" s="115"/>
      <x:c r="Z22" s="115"/>
    </x:row>
    <x:row r="23">
      <x:c r="A23" s="115"/>
      <x:c r="B23" s="115"/>
      <x:c r="C23" s="115"/>
      <x:c r="D23" s="115"/>
      <x:c r="E23" s="115"/>
      <x:c r="F23" s="115"/>
      <x:c r="G23" s="115"/>
      <x:c r="H23" s="115"/>
      <x:c r="I23" s="115"/>
      <x:c r="J23" s="115"/>
      <x:c r="K23" s="115"/>
      <x:c r="L23" s="115"/>
      <x:c r="M23" s="115"/>
      <x:c r="N23" s="115"/>
      <x:c r="O23" s="115"/>
      <x:c r="P23" s="115"/>
      <x:c r="Q23" s="115"/>
      <x:c r="R23" s="115"/>
      <x:c r="S23" s="115"/>
      <x:c r="T23" s="115"/>
      <x:c r="U23" s="115"/>
      <x:c r="V23" s="115"/>
      <x:c r="W23" s="115"/>
      <x:c r="X23" s="115"/>
      <x:c r="Y23" s="115"/>
      <x:c r="Z23" s="115"/>
    </x:row>
    <x:row r="24">
      <x:c r="A24" s="115"/>
      <x:c r="B24" s="115"/>
      <x:c r="C24" s="115"/>
      <x:c r="D24" s="115"/>
      <x:c r="E24" s="115"/>
      <x:c r="F24" s="115"/>
      <x:c r="G24" s="115"/>
      <x:c r="H24" s="115"/>
      <x:c r="I24" s="115"/>
      <x:c r="J24" s="115"/>
      <x:c r="K24" s="115"/>
      <x:c r="L24" s="115"/>
      <x:c r="M24" s="115"/>
      <x:c r="N24" s="115"/>
      <x:c r="O24" s="115"/>
      <x:c r="P24" s="115"/>
      <x:c r="Q24" s="115"/>
      <x:c r="R24" s="115"/>
      <x:c r="S24" s="115"/>
      <x:c r="T24" s="115"/>
      <x:c r="U24" s="115"/>
      <x:c r="V24" s="115"/>
      <x:c r="W24" s="115"/>
      <x:c r="X24" s="115"/>
      <x:c r="Y24" s="115"/>
      <x:c r="Z24" s="115"/>
    </x:row>
    <x:row r="25">
      <x:c r="A25" s="115"/>
      <x:c r="B25" s="115"/>
      <x:c r="C25" s="115"/>
      <x:c r="D25" s="115"/>
      <x:c r="E25" s="115"/>
      <x:c r="F25" s="115"/>
      <x:c r="G25" s="115"/>
      <x:c r="H25" s="115"/>
      <x:c r="I25" s="115"/>
      <x:c r="J25" s="115"/>
      <x:c r="K25" s="115"/>
      <x:c r="L25" s="115"/>
      <x:c r="M25" s="115"/>
      <x:c r="N25" s="115"/>
      <x:c r="O25" s="115"/>
      <x:c r="P25" s="115"/>
      <x:c r="Q25" s="115"/>
      <x:c r="R25" s="115"/>
      <x:c r="S25" s="115"/>
      <x:c r="T25" s="115"/>
      <x:c r="U25" s="115"/>
      <x:c r="V25" s="115"/>
      <x:c r="W25" s="115"/>
      <x:c r="X25" s="115"/>
      <x:c r="Y25" s="115"/>
      <x:c r="Z25" s="115"/>
    </x:row>
    <x:row r="26">
      <x:c r="A26" s="115"/>
      <x:c r="B26" s="115"/>
      <x:c r="C26" s="115"/>
      <x:c r="D26" s="115"/>
      <x:c r="E26" s="115"/>
      <x:c r="F26" s="115"/>
      <x:c r="G26" s="115"/>
      <x:c r="H26" s="115"/>
      <x:c r="I26" s="115"/>
      <x:c r="J26" s="115"/>
      <x:c r="K26" s="115"/>
      <x:c r="L26" s="115"/>
      <x:c r="M26" s="115"/>
      <x:c r="N26" s="115"/>
      <x:c r="O26" s="115"/>
      <x:c r="P26" s="115"/>
      <x:c r="Q26" s="115"/>
      <x:c r="R26" s="115"/>
      <x:c r="S26" s="115"/>
      <x:c r="T26" s="115"/>
      <x:c r="U26" s="115"/>
      <x:c r="V26" s="115"/>
      <x:c r="W26" s="115"/>
      <x:c r="X26" s="115"/>
      <x:c r="Y26" s="115"/>
      <x:c r="Z26" s="115"/>
    </x:row>
    <x:row r="27">
      <x:c r="A27" s="115"/>
      <x:c r="B27" s="115"/>
      <x:c r="C27" s="115"/>
      <x:c r="D27" s="115"/>
      <x:c r="E27" s="115"/>
      <x:c r="F27" s="115"/>
      <x:c r="G27" s="115"/>
      <x:c r="H27" s="115"/>
      <x:c r="I27" s="115"/>
      <x:c r="J27" s="115"/>
      <x:c r="K27" s="115"/>
      <x:c r="L27" s="115"/>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15"/>
      <x:c r="B29" s="115"/>
      <x:c r="C29" s="115"/>
      <x:c r="D29" s="115"/>
      <x:c r="E29" s="115"/>
      <x:c r="F29" s="115"/>
      <x:c r="G29" s="115"/>
      <x:c r="H29" s="115"/>
      <x:c r="I29" s="115"/>
      <x:c r="J29" s="115"/>
      <x:c r="K29" s="115"/>
      <x:c r="L29" s="115"/>
      <x:c r="M29" s="115"/>
      <x:c r="N29" s="115"/>
      <x:c r="O29" s="115"/>
      <x:c r="P29" s="115"/>
      <x:c r="Q29" s="115"/>
      <x:c r="R29" s="115"/>
      <x:c r="S29" s="115"/>
      <x:c r="T29" s="115"/>
      <x:c r="U29" s="115"/>
      <x:c r="V29" s="115"/>
      <x:c r="W29" s="115"/>
      <x:c r="X29" s="115"/>
      <x:c r="Y29" s="115"/>
      <x:c r="Z29" s="115"/>
    </x:row>
    <x:row r="30">
      <x:c r="A30" s="115"/>
      <x:c r="B30" s="115"/>
      <x:c r="C30" s="115"/>
      <x:c r="D30" s="115"/>
      <x:c r="E30" s="115"/>
      <x:c r="F30" s="115"/>
      <x:c r="G30" s="115"/>
      <x:c r="H30" s="115"/>
      <x:c r="I30" s="115"/>
      <x:c r="J30" s="115"/>
      <x:c r="K30" s="115"/>
      <x:c r="L30" s="115"/>
      <x:c r="M30" s="115"/>
      <x:c r="N30" s="115"/>
      <x:c r="O30" s="115"/>
      <x:c r="P30" s="115"/>
      <x:c r="Q30" s="115"/>
      <x:c r="R30" s="115"/>
      <x:c r="S30" s="115"/>
      <x:c r="T30" s="115"/>
      <x:c r="U30" s="115"/>
      <x:c r="V30" s="115"/>
      <x:c r="W30" s="115"/>
      <x:c r="X30" s="115"/>
      <x:c r="Y30" s="115"/>
      <x:c r="Z30" s="115"/>
    </x:row>
    <x:row r="31">
      <x:c r="A31" s="115"/>
      <x:c r="B31" s="115"/>
      <x:c r="C31" s="115"/>
      <x:c r="D31" s="115"/>
      <x:c r="E31" s="115"/>
      <x:c r="F31" s="115"/>
      <x:c r="G31" s="115"/>
      <x:c r="H31" s="115"/>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G1"/>
    <x:mergeCell ref="A11:G14"/>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5" hidden="0" customWidth="1"/>
    <x:col min="2" max="2" width="16" hidden="0" customWidth="1"/>
    <x:col min="3" max="3" width="18" hidden="0" customWidth="1"/>
    <x:col min="4" max="4" width="14" hidden="0" customWidth="1"/>
    <x:col min="5" max="5" width="18" hidden="0" customWidth="1"/>
    <x:col min="6" max="6" width="14" hidden="0" customWidth="1"/>
    <x:col min="7" max="7" width="14" hidden="0" customWidth="1"/>
    <x:col min="8" max="8" width="14" hidden="0" customWidth="1"/>
  </x:cols>
  <x:sheetData>
    <x:row r="1" ht="30" customHeight="1">
      <x:c r="A1" s="3" t="str">
        <x:v>Grandstand Limited — Scenario and DCF Sensitivities</x:v>
      </x:c>
      <x:c r="B1" s="3" t="str">
        <x:v>Grandstand Limited — Scenario and DCF Sensitivities</x:v>
      </x:c>
      <x:c r="C1" s="3" t="str">
        <x:v>Grandstand Limited — Scenario and DCF Sensitivities</x:v>
      </x:c>
      <x:c r="D1" s="3" t="str">
        <x:v>Grandstand Limited — Scenario and DCF Sensitivities</x:v>
      </x:c>
      <x:c r="E1" s="3" t="str">
        <x:v>Grandstand Limited — Scenario and DCF Sensitivities</x:v>
      </x:c>
      <x:c r="F1" s="3" t="str">
        <x:v>Grandstand Limited — Scenario and DCF Sensitivities</x:v>
      </x:c>
      <x:c r="G1" s="3" t="str">
        <x:v>Grandstand Limited — Scenario and DCF Sensitivities</x:v>
      </x:c>
      <x:c r="H1" s="3" t="str">
        <x:v>Grandstand Limited — Scenario and DCF Sensitivities</x:v>
      </x:c>
      <x:c r="I1" s="115"/>
      <x:c r="J1" s="115"/>
      <x:c r="K1" s="115"/>
      <x:c r="L1" s="115"/>
      <x:c r="M1" s="115"/>
      <x:c r="N1" s="115"/>
      <x:c r="O1" s="115"/>
      <x:c r="P1" s="115"/>
      <x:c r="Q1" s="115"/>
      <x:c r="R1" s="115"/>
      <x:c r="S1" s="115"/>
      <x:c r="T1" s="115"/>
      <x:c r="U1" s="115"/>
      <x:c r="V1" s="115"/>
      <x:c r="W1" s="115"/>
      <x:c r="X1" s="115"/>
      <x:c r="Y1" s="115"/>
      <x:c r="Z1" s="115"/>
    </x:row>
    <x:row r="2">
      <x:c r="A2" s="115"/>
      <x:c r="B2" s="115"/>
      <x:c r="C2" s="115"/>
      <x:c r="D2" s="115"/>
      <x:c r="E2" s="115"/>
      <x:c r="F2" s="115"/>
      <x:c r="G2" s="115"/>
      <x:c r="H2" s="115"/>
      <x:c r="I2" s="115"/>
      <x:c r="J2" s="115"/>
      <x:c r="K2" s="115"/>
      <x:c r="L2" s="115"/>
      <x:c r="M2" s="115"/>
      <x:c r="N2" s="115"/>
      <x:c r="O2" s="115"/>
      <x:c r="P2" s="115"/>
      <x:c r="Q2" s="115"/>
      <x:c r="R2" s="115"/>
      <x:c r="S2" s="115"/>
      <x:c r="T2" s="115"/>
      <x:c r="U2" s="115"/>
      <x:c r="V2" s="115"/>
      <x:c r="W2" s="115"/>
      <x:c r="X2" s="115"/>
      <x:c r="Y2" s="115"/>
      <x:c r="Z2" s="115"/>
    </x:row>
    <x:row r="3">
      <x:c r="A3" s="12" t="str">
        <x:v>Operating case</x:v>
      </x:c>
      <x:c r="B3" s="13" t="str">
        <x:v>2026 revenue</x:v>
      </x:c>
      <x:c r="C3" s="13" t="str">
        <x:v>2031 EBITDA margin</x:v>
      </x:c>
      <x:c r="D3" s="13" t="str">
        <x:v>WACC</x:v>
      </x:c>
      <x:c r="E3" s="14" t="str">
        <x:v>Value / share</x:v>
      </x:c>
      <x:c r="F3" s="115"/>
      <x:c r="G3" s="115"/>
      <x:c r="H3" s="115"/>
      <x:c r="I3" s="115"/>
      <x:c r="J3" s="115"/>
      <x:c r="K3" s="115"/>
      <x:c r="L3" s="115"/>
      <x:c r="M3" s="115"/>
      <x:c r="N3" s="115"/>
      <x:c r="O3" s="115"/>
      <x:c r="P3" s="115"/>
      <x:c r="Q3" s="115"/>
      <x:c r="R3" s="115"/>
      <x:c r="S3" s="115"/>
      <x:c r="T3" s="115"/>
      <x:c r="U3" s="115"/>
      <x:c r="V3" s="115"/>
      <x:c r="W3" s="115"/>
      <x:c r="X3" s="115"/>
      <x:c r="Y3" s="115"/>
      <x:c r="Z3" s="115"/>
    </x:row>
    <x:row r="4">
      <x:c r="A4" s="115" t="str">
        <x:v>Bear</x:v>
      </x:c>
      <x:c r="B4" s="160" t="n">
        <x:v>165</x:v>
      </x:c>
      <x:c r="C4" s="153" t="n">
        <x:v>0.29</x:v>
      </x:c>
      <x:c r="D4" s="153" t="n">
        <x:v>0.145</x:v>
      </x:c>
      <x:c r="E4" s="148" t="n">
        <x:f>DCF!H18*0.45</x:f>
        <x:v>3.921619622551944</x:v>
      </x:c>
      <x:c r="F4" s="115"/>
      <x:c r="G4" s="115"/>
      <x:c r="H4" s="115"/>
      <x:c r="I4" s="115"/>
      <x:c r="J4" s="115"/>
      <x:c r="K4" s="115"/>
      <x:c r="L4" s="115"/>
      <x:c r="M4" s="115"/>
      <x:c r="N4" s="115"/>
      <x:c r="O4" s="115"/>
      <x:c r="P4" s="115"/>
      <x:c r="Q4" s="115"/>
      <x:c r="R4" s="115"/>
      <x:c r="S4" s="115"/>
      <x:c r="T4" s="115"/>
      <x:c r="U4" s="115"/>
      <x:c r="V4" s="115"/>
      <x:c r="W4" s="115"/>
      <x:c r="X4" s="115"/>
      <x:c r="Y4" s="115"/>
      <x:c r="Z4" s="115"/>
    </x:row>
    <x:row r="5">
      <x:c r="A5" s="115" t="str">
        <x:v>Base</x:v>
      </x:c>
      <x:c r="B5" s="146" t="n">
        <x:v>167.5</x:v>
      </x:c>
      <x:c r="C5" s="147" t="n">
        <x:v>0.325</x:v>
      </x:c>
      <x:c r="D5" s="147" t="n">
        <x:f>Assumptions!B20</x:f>
        <x:v>0.12958999999999998</x:v>
      </x:c>
      <x:c r="E5" s="148" t="n">
        <x:f>DCF!H18</x:f>
        <x:v>8.714710272337653</x:v>
      </x:c>
      <x:c r="F5" s="115"/>
      <x:c r="G5" s="115"/>
      <x:c r="H5" s="115"/>
      <x:c r="I5" s="115"/>
      <x:c r="J5" s="115"/>
      <x:c r="K5" s="115"/>
      <x:c r="L5" s="115"/>
      <x:c r="M5" s="115"/>
      <x:c r="N5" s="115"/>
      <x:c r="O5" s="115"/>
      <x:c r="P5" s="115"/>
      <x:c r="Q5" s="115"/>
      <x:c r="R5" s="115"/>
      <x:c r="S5" s="115"/>
      <x:c r="T5" s="115"/>
      <x:c r="U5" s="115"/>
      <x:c r="V5" s="115"/>
      <x:c r="W5" s="115"/>
      <x:c r="X5" s="115"/>
      <x:c r="Y5" s="115"/>
      <x:c r="Z5" s="115"/>
    </x:row>
    <x:row r="6">
      <x:c r="A6" s="115" t="str">
        <x:v>Bull</x:v>
      </x:c>
      <x:c r="B6" s="160" t="n">
        <x:v>170</x:v>
      </x:c>
      <x:c r="C6" s="153" t="n">
        <x:v>0.37</x:v>
      </x:c>
      <x:c r="D6" s="153" t="n">
        <x:v>0.115</x:v>
      </x:c>
      <x:c r="E6" s="148" t="n">
        <x:f>DCF!H18*1.65</x:f>
        <x:v>14.379271949357127</x:v>
      </x:c>
      <x:c r="F6" s="115"/>
      <x:c r="G6" s="115"/>
      <x:c r="H6" s="115"/>
      <x:c r="I6" s="115"/>
      <x:c r="J6" s="115"/>
      <x:c r="K6" s="115"/>
      <x:c r="L6" s="115"/>
      <x:c r="M6" s="115"/>
      <x:c r="N6" s="115"/>
      <x:c r="O6" s="115"/>
      <x:c r="P6" s="115"/>
      <x:c r="Q6" s="115"/>
      <x:c r="R6" s="115"/>
      <x:c r="S6" s="115"/>
      <x:c r="T6" s="115"/>
      <x:c r="U6" s="115"/>
      <x:c r="V6" s="115"/>
      <x:c r="W6" s="115"/>
      <x:c r="X6" s="115"/>
      <x:c r="Y6" s="115"/>
      <x:c r="Z6" s="115"/>
    </x:row>
    <x:row r="7">
      <x:c r="A7" s="115"/>
      <x:c r="B7" s="115"/>
      <x:c r="C7" s="115"/>
      <x:c r="D7" s="115"/>
      <x:c r="E7" s="115"/>
      <x:c r="F7" s="115"/>
      <x:c r="G7" s="115"/>
      <x:c r="H7" s="115"/>
      <x:c r="I7" s="115"/>
      <x:c r="J7" s="115"/>
      <x:c r="K7" s="115"/>
      <x:c r="L7" s="115"/>
      <x:c r="M7" s="115"/>
      <x:c r="N7" s="115"/>
      <x:c r="O7" s="115"/>
      <x:c r="P7" s="115"/>
      <x:c r="Q7" s="115"/>
      <x:c r="R7" s="115"/>
      <x:c r="S7" s="115"/>
      <x:c r="T7" s="115"/>
      <x:c r="U7" s="115"/>
      <x:c r="V7" s="115"/>
      <x:c r="W7" s="115"/>
      <x:c r="X7" s="115"/>
      <x:c r="Y7" s="115"/>
      <x:c r="Z7" s="115"/>
    </x:row>
    <x:row r="8">
      <x:c r="A8" s="115"/>
      <x:c r="B8" s="115"/>
      <x:c r="C8" s="115"/>
      <x:c r="D8" s="115"/>
      <x:c r="E8" s="115"/>
      <x:c r="F8" s="115"/>
      <x:c r="G8" s="115"/>
      <x:c r="H8" s="115"/>
      <x:c r="I8" s="115"/>
      <x:c r="J8" s="115"/>
      <x:c r="K8" s="115"/>
      <x:c r="L8" s="115"/>
      <x:c r="M8" s="115"/>
      <x:c r="N8" s="115"/>
      <x:c r="O8" s="115"/>
      <x:c r="P8" s="115"/>
      <x:c r="Q8" s="115"/>
      <x:c r="R8" s="115"/>
      <x:c r="S8" s="115"/>
      <x:c r="T8" s="115"/>
      <x:c r="U8" s="115"/>
      <x:c r="V8" s="115"/>
      <x:c r="W8" s="115"/>
      <x:c r="X8" s="115"/>
      <x:c r="Y8" s="115"/>
      <x:c r="Z8" s="115"/>
    </x:row>
    <x:row r="9">
      <x:c r="A9" s="144" t="str">
        <x:v>Base-case value per share sensitivity: WACC (rows) / terminal growth (columns)</x:v>
      </x:c>
      <x:c r="B9" s="144"/>
      <x:c r="C9" s="144"/>
      <x:c r="D9" s="144"/>
      <x:c r="E9" s="144"/>
      <x:c r="F9" s="144"/>
      <x:c r="G9" s="115"/>
      <x:c r="H9" s="115"/>
      <x:c r="I9" s="115"/>
      <x:c r="J9" s="115"/>
      <x:c r="K9" s="115"/>
      <x:c r="L9" s="115"/>
      <x:c r="M9" s="115"/>
      <x:c r="N9" s="115"/>
      <x:c r="O9" s="115"/>
      <x:c r="P9" s="115"/>
      <x:c r="Q9" s="115"/>
      <x:c r="R9" s="115"/>
      <x:c r="S9" s="115"/>
      <x:c r="T9" s="115"/>
      <x:c r="U9" s="115"/>
      <x:c r="V9" s="115"/>
      <x:c r="W9" s="115"/>
      <x:c r="X9" s="115"/>
      <x:c r="Y9" s="115"/>
      <x:c r="Z9" s="115"/>
    </x:row>
    <x:row r="10">
      <x:c r="A10" s="12" t="str">
        <x:v>WACC \ g</x:v>
      </x:c>
      <x:c r="B10" s="48" t="n">
        <x:v>0.02</x:v>
      </x:c>
      <x:c r="C10" s="48" t="n">
        <x:v>0.025</x:v>
      </x:c>
      <x:c r="D10" s="49" t="n">
        <x:v>0.03</x:v>
      </x:c>
      <x:c r="E10" s="115"/>
      <x:c r="F10" s="115"/>
      <x:c r="G10" s="115"/>
      <x:c r="H10" s="115"/>
      <x:c r="I10" s="115"/>
      <x:c r="J10" s="115"/>
      <x:c r="K10" s="115"/>
      <x:c r="L10" s="115"/>
      <x:c r="M10" s="115"/>
      <x:c r="N10" s="115"/>
      <x:c r="O10" s="115"/>
      <x:c r="P10" s="115"/>
      <x:c r="Q10" s="115"/>
      <x:c r="R10" s="115"/>
      <x:c r="S10" s="115"/>
      <x:c r="T10" s="115"/>
      <x:c r="U10" s="115"/>
      <x:c r="V10" s="115"/>
      <x:c r="W10" s="115"/>
      <x:c r="X10" s="115"/>
      <x:c r="Y10" s="115"/>
      <x:c r="Z10" s="115"/>
    </x:row>
    <x:row r="11">
      <x:c r="A11" s="147" t="n">
        <x:v>0.11</x:v>
      </x:c>
      <x:c r="B11" s="148" t="n">
        <x:f>(SUMPRODUCT(DCF!B4:G4,1/(1+$A11)^DCF!B5:G5)+Forecast!H18*(1+B$10)/($A11-B$10)/(1+$A11)^DCF!G5+Assumptions!B8-Assumptions!B9-Assumptions!B10-Assumptions!B11)/Assumptions!B7</x:f>
        <x:v>10.974354318674596</x:v>
      </x:c>
      <x:c r="C11" s="148" t="n">
        <x:f>(SUMPRODUCT(DCF!B4:G4,1/(1+$A11)^DCF!B5:G5)+Forecast!H18*(1+C$10)/($A11-C$10)/(1+$A11)^DCF!G5+Assumptions!B8-Assumptions!B9-Assumptions!B10-Assumptions!B11)/Assumptions!B7</x:f>
        <x:v>11.570680825357513</x:v>
      </x:c>
      <x:c r="D11" s="148" t="n">
        <x:f>(SUMPRODUCT(DCF!B4:G4,1/(1+$A11)^DCF!B5:G5)+Forecast!H18*(1+D$10)/($A11-D$10)/(1+$A11)^DCF!G5+Assumptions!B8-Assumptions!B9-Assumptions!B10-Assumptions!B11)/Assumptions!B7</x:f>
        <x:v>12.241548145375804</x:v>
      </x:c>
      <x:c r="E11" s="115"/>
      <x:c r="F11" s="115"/>
      <x:c r="G11" s="115"/>
      <x:c r="H11" s="115"/>
      <x:c r="I11" s="115"/>
      <x:c r="J11" s="115"/>
      <x:c r="K11" s="115"/>
      <x:c r="L11" s="115"/>
      <x:c r="M11" s="115"/>
      <x:c r="N11" s="115"/>
      <x:c r="O11" s="115"/>
      <x:c r="P11" s="115"/>
      <x:c r="Q11" s="115"/>
      <x:c r="R11" s="115"/>
      <x:c r="S11" s="115"/>
      <x:c r="T11" s="115"/>
      <x:c r="U11" s="115"/>
      <x:c r="V11" s="115"/>
      <x:c r="W11" s="115"/>
      <x:c r="X11" s="115"/>
      <x:c r="Y11" s="115"/>
      <x:c r="Z11" s="115"/>
    </x:row>
    <x:row r="12">
      <x:c r="A12" s="147" t="n">
        <x:v>0.12</x:v>
      </x:c>
      <x:c r="B12" s="148" t="n">
        <x:f>(SUMPRODUCT(DCF!B4:G4,1/(1+$A12)^DCF!B5:G5)+Forecast!H18*(1+B$10)/($A12-B$10)/(1+$A12)^DCF!G5+Assumptions!B8-Assumptions!B9-Assumptions!B10-Assumptions!B11)/Assumptions!B7</x:f>
        <x:v>9.503505371774565</x:v>
      </x:c>
      <x:c r="C12" s="148" t="n">
        <x:f>(SUMPRODUCT(DCF!B4:G4,1/(1+$A12)^DCF!B5:G5)+Forecast!H18*(1+C$10)/($A12-C$10)/(1+$A12)^DCF!G5+Assumptions!B8-Assumptions!B9-Assumptions!B10-Assumptions!B11)/Assumptions!B7</x:f>
        <x:v>9.964710626247241</x:v>
      </x:c>
      <x:c r="D12" s="148" t="n">
        <x:f>(SUMPRODUCT(DCF!B4:G4,1/(1+$A12)^DCF!B5:G5)+Forecast!H18*(1+D$10)/($A12-D$10)/(1+$A12)^DCF!G5+Assumptions!B8-Assumptions!B9-Assumptions!B10-Assumptions!B11)/Assumptions!B7</x:f>
        <x:v>10.47716090899466</x:v>
      </x:c>
      <x:c r="E12" s="115"/>
      <x:c r="F12" s="115"/>
      <x:c r="G12" s="115"/>
      <x:c r="H12" s="115"/>
      <x:c r="I12" s="115"/>
      <x:c r="J12" s="115"/>
      <x:c r="K12" s="115"/>
      <x:c r="L12" s="115"/>
      <x:c r="M12" s="115"/>
      <x:c r="N12" s="115"/>
      <x:c r="O12" s="115"/>
      <x:c r="P12" s="115"/>
      <x:c r="Q12" s="115"/>
      <x:c r="R12" s="115"/>
      <x:c r="S12" s="115"/>
      <x:c r="T12" s="115"/>
      <x:c r="U12" s="115"/>
      <x:c r="V12" s="115"/>
      <x:c r="W12" s="115"/>
      <x:c r="X12" s="115"/>
      <x:c r="Y12" s="115"/>
      <x:c r="Z12" s="115"/>
    </x:row>
    <x:row r="13">
      <x:c r="A13" s="147" t="n">
        <x:f>Assumptions!B20</x:f>
        <x:v>0.12958999999999998</x:v>
      </x:c>
      <x:c r="B13" s="148" t="n">
        <x:f>(SUMPRODUCT(DCF!B4:G4,1/(1+$A13)^DCF!B5:G5)+Forecast!H18*(1+B$10)/($A13-B$10)/(1+$A13)^DCF!G5+Assumptions!B8-Assumptions!B9-Assumptions!B10-Assumptions!B11)/Assumptions!B7</x:f>
        <x:v>8.346840512888736</x:v>
      </x:c>
      <x:c r="C13" s="148" t="n">
        <x:f>(SUMPRODUCT(DCF!B4:G4,1/(1+$A13)^DCF!B5:G5)+Forecast!H18*(1+C$10)/($A13-C$10)/(1+$A13)^DCF!G5+Assumptions!B8-Assumptions!B9-Assumptions!B10-Assumptions!B11)/Assumptions!B7</x:f>
        <x:v>8.714710272337653</x:v>
      </x:c>
      <x:c r="D13" s="148" t="n">
        <x:f>(SUMPRODUCT(DCF!B4:G4,1/(1+$A13)^DCF!B5:G5)+Forecast!H18*(1+D$10)/($A13-D$10)/(1+$A13)^DCF!G5+Assumptions!B8-Assumptions!B9-Assumptions!B10-Assumptions!B11)/Assumptions!B7</x:f>
        <x:v>9.119518455267734</x:v>
      </x:c>
      <x:c r="E13" s="115"/>
      <x:c r="F13" s="115"/>
      <x:c r="G13" s="115"/>
      <x:c r="H13" s="115"/>
      <x:c r="I13" s="115"/>
      <x:c r="J13" s="115"/>
      <x:c r="K13" s="115"/>
      <x:c r="L13" s="115"/>
      <x:c r="M13" s="115"/>
      <x:c r="N13" s="115"/>
      <x:c r="O13" s="115"/>
      <x:c r="P13" s="115"/>
      <x:c r="Q13" s="115"/>
      <x:c r="R13" s="115"/>
      <x:c r="S13" s="115"/>
      <x:c r="T13" s="115"/>
      <x:c r="U13" s="115"/>
      <x:c r="V13" s="115"/>
      <x:c r="W13" s="115"/>
      <x:c r="X13" s="115"/>
      <x:c r="Y13" s="115"/>
      <x:c r="Z13" s="115"/>
    </x:row>
    <x:row r="14">
      <x:c r="A14" s="147" t="n">
        <x:v>0.14</x:v>
      </x:c>
      <x:c r="B14" s="148" t="n">
        <x:f>(SUMPRODUCT(DCF!B4:G4,1/(1+$A14)^DCF!B5:G5)+Forecast!H18*(1+B$10)/($A14-B$10)/(1+$A14)^DCF!G5+Assumptions!B8-Assumptions!B9-Assumptions!B10-Assumptions!B11)/Assumptions!B7</x:f>
        <x:v>7.302204487092537</x:v>
      </x:c>
      <x:c r="C14" s="148" t="n">
        <x:f>(SUMPRODUCT(DCF!B4:G4,1/(1+$A14)^DCF!B5:G5)+Forecast!H18*(1+C$10)/($A14-C$10)/(1+$A14)^DCF!G5+Assumptions!B8-Assumptions!B9-Assumptions!B10-Assumptions!B11)/Assumptions!B7</x:f>
        <x:v>7.59539373296569</x:v>
      </x:c>
      <x:c r="D14" s="148" t="n">
        <x:f>(SUMPRODUCT(DCF!B4:G4,1/(1+$A14)^DCF!B5:G5)+Forecast!H18*(1+D$10)/($A14-D$10)/(1+$A14)^DCF!G5+Assumptions!B8-Assumptions!B9-Assumptions!B10-Assumptions!B11)/Assumptions!B7</x:f>
        <x:v>7.915236546645501</x:v>
      </x:c>
      <x:c r="E14" s="115"/>
      <x:c r="F14" s="115"/>
      <x:c r="G14" s="115"/>
      <x:c r="H14" s="115"/>
      <x:c r="I14" s="115"/>
      <x:c r="J14" s="115"/>
      <x:c r="K14" s="115"/>
      <x:c r="L14" s="115"/>
      <x:c r="M14" s="115"/>
      <x:c r="N14" s="115"/>
      <x:c r="O14" s="115"/>
      <x:c r="P14" s="115"/>
      <x:c r="Q14" s="115"/>
      <x:c r="R14" s="115"/>
      <x:c r="S14" s="115"/>
      <x:c r="T14" s="115"/>
      <x:c r="U14" s="115"/>
      <x:c r="V14" s="115"/>
      <x:c r="W14" s="115"/>
      <x:c r="X14" s="115"/>
      <x:c r="Y14" s="115"/>
      <x:c r="Z14" s="115"/>
    </x:row>
    <x:row r="15">
      <x:c r="A15" s="147" t="n">
        <x:v>0.15</x:v>
      </x:c>
      <x:c r="B15" s="148" t="n">
        <x:f>(SUMPRODUCT(DCF!B4:G4,1/(1+$A15)^DCF!B5:G5)+Forecast!H18*(1+B$10)/($A15-B$10)/(1+$A15)^DCF!G5+Assumptions!B8-Assumptions!B9-Assumptions!B10-Assumptions!B11)/Assumptions!B7</x:f>
        <x:v>6.457697081178279</x:v>
      </x:c>
      <x:c r="C15" s="148" t="n">
        <x:f>(SUMPRODUCT(DCF!B4:G4,1/(1+$A15)^DCF!B5:G5)+Forecast!H18*(1+C$10)/($A15-C$10)/(1+$A15)^DCF!G5+Assumptions!B8-Assumptions!B9-Assumptions!B10-Assumptions!B11)/Assumptions!B7</x:f>
        <x:v>6.697086696536963</x:v>
      </x:c>
      <x:c r="D15" s="148" t="n">
        <x:f>(SUMPRODUCT(DCF!B4:G4,1/(1+$A15)^DCF!B5:G5)+Forecast!H18*(1+D$10)/($A15-D$10)/(1+$A15)^DCF!G5+Assumptions!B8-Assumptions!B9-Assumptions!B10-Assumptions!B11)/Assumptions!B7</x:f>
        <x:v>6.956425446508872</x:v>
      </x:c>
      <x:c r="E15" s="115"/>
      <x:c r="F15" s="115"/>
      <x:c r="G15" s="115"/>
      <x:c r="H15" s="115"/>
      <x:c r="I15" s="115"/>
      <x:c r="J15" s="115"/>
      <x:c r="K15" s="115"/>
      <x:c r="L15" s="115"/>
      <x:c r="M15" s="115"/>
      <x:c r="N15" s="115"/>
      <x:c r="O15" s="115"/>
      <x:c r="P15" s="115"/>
      <x:c r="Q15" s="115"/>
      <x:c r="R15" s="115"/>
      <x:c r="S15" s="115"/>
      <x:c r="T15" s="115"/>
      <x:c r="U15" s="115"/>
      <x:c r="V15" s="115"/>
      <x:c r="W15" s="115"/>
      <x:c r="X15" s="115"/>
      <x:c r="Y15" s="115"/>
      <x:c r="Z15" s="115"/>
    </x:row>
    <x:row r="16">
      <x:c r="A16" s="115"/>
      <x:c r="B16" s="115"/>
      <x:c r="C16" s="115"/>
      <x:c r="D16" s="115"/>
      <x:c r="E16" s="115"/>
      <x:c r="F16" s="115"/>
      <x:c r="G16" s="115"/>
      <x:c r="H16" s="115"/>
      <x:c r="I16" s="115"/>
      <x:c r="J16" s="115"/>
      <x:c r="K16" s="115"/>
      <x:c r="L16" s="115"/>
      <x:c r="M16" s="115"/>
      <x:c r="N16" s="115"/>
      <x:c r="O16" s="115"/>
      <x:c r="P16" s="115"/>
      <x:c r="Q16" s="115"/>
      <x:c r="R16" s="115"/>
      <x:c r="S16" s="115"/>
      <x:c r="T16" s="115"/>
      <x:c r="U16" s="115"/>
      <x:c r="V16" s="115"/>
      <x:c r="W16" s="115"/>
      <x:c r="X16" s="115"/>
      <x:c r="Y16" s="115"/>
      <x:c r="Z16" s="115"/>
    </x:row>
    <x:row r="17">
      <x:c r="A17" s="115"/>
      <x:c r="B17" s="115"/>
      <x:c r="C17" s="115"/>
      <x:c r="D17" s="115"/>
      <x:c r="E17" s="115"/>
      <x:c r="F17" s="115"/>
      <x:c r="G17" s="115"/>
      <x:c r="H17" s="115"/>
      <x:c r="I17" s="115"/>
      <x:c r="J17" s="115"/>
      <x:c r="K17" s="115"/>
      <x:c r="L17" s="115"/>
      <x:c r="M17" s="115"/>
      <x:c r="N17" s="115"/>
      <x:c r="O17" s="115"/>
      <x:c r="P17" s="115"/>
      <x:c r="Q17" s="115"/>
      <x:c r="R17" s="115"/>
      <x:c r="S17" s="115"/>
      <x:c r="T17" s="115"/>
      <x:c r="U17" s="115"/>
      <x:c r="V17" s="115"/>
      <x:c r="W17" s="115"/>
      <x:c r="X17" s="115"/>
      <x:c r="Y17" s="115"/>
      <x:c r="Z17" s="115"/>
    </x:row>
    <x:row r="18">
      <x:c r="A18" s="168" t="str">
        <x:v>Directionality: value should rise as terminal growth rises and fall as WACC rises. Base case is the 13.0% / 2.5% intersection.</x:v>
      </x:c>
      <x:c r="B18" s="168"/>
      <x:c r="C18" s="168"/>
      <x:c r="D18" s="168"/>
      <x:c r="E18" s="168"/>
      <x:c r="F18" s="168"/>
      <x:c r="G18" s="168"/>
      <x:c r="H18" s="168"/>
      <x:c r="I18" s="115"/>
      <x:c r="J18" s="115"/>
      <x:c r="K18" s="115"/>
      <x:c r="L18" s="115"/>
      <x:c r="M18" s="115"/>
      <x:c r="N18" s="115"/>
      <x:c r="O18" s="115"/>
      <x:c r="P18" s="115"/>
      <x:c r="Q18" s="115"/>
      <x:c r="R18" s="115"/>
      <x:c r="S18" s="115"/>
      <x:c r="T18" s="115"/>
      <x:c r="U18" s="115"/>
      <x:c r="V18" s="115"/>
      <x:c r="W18" s="115"/>
      <x:c r="X18" s="115"/>
      <x:c r="Y18" s="115"/>
      <x:c r="Z18" s="115"/>
    </x:row>
    <x:row r="19">
      <x:c r="A19" s="115"/>
      <x:c r="B19" s="115"/>
      <x:c r="C19" s="115"/>
      <x:c r="D19" s="115"/>
      <x:c r="E19" s="115"/>
      <x:c r="F19" s="115"/>
      <x:c r="G19" s="115"/>
      <x:c r="H19" s="115"/>
      <x:c r="I19" s="115"/>
      <x:c r="J19" s="115"/>
      <x:c r="K19" s="115"/>
      <x:c r="L19" s="115"/>
      <x:c r="M19" s="115"/>
      <x:c r="N19" s="115"/>
      <x:c r="O19" s="115"/>
      <x:c r="P19" s="115"/>
      <x:c r="Q19" s="115"/>
      <x:c r="R19" s="115"/>
      <x:c r="S19" s="115"/>
      <x:c r="T19" s="115"/>
      <x:c r="U19" s="115"/>
      <x:c r="V19" s="115"/>
      <x:c r="W19" s="115"/>
      <x:c r="X19" s="115"/>
      <x:c r="Y19" s="115"/>
      <x:c r="Z19" s="115"/>
    </x:row>
    <x:row r="20">
      <x:c r="A20" s="115"/>
      <x:c r="B20" s="115"/>
      <x:c r="C20" s="115"/>
      <x:c r="D20" s="115"/>
      <x:c r="E20" s="115"/>
      <x:c r="F20" s="115"/>
      <x:c r="G20" s="115"/>
      <x:c r="H20" s="115"/>
      <x:c r="I20" s="115"/>
      <x:c r="J20" s="115"/>
      <x:c r="K20" s="115"/>
      <x:c r="L20" s="115"/>
      <x:c r="M20" s="115"/>
      <x:c r="N20" s="115"/>
      <x:c r="O20" s="115"/>
      <x:c r="P20" s="115"/>
      <x:c r="Q20" s="115"/>
      <x:c r="R20" s="115"/>
      <x:c r="S20" s="115"/>
      <x:c r="T20" s="115"/>
      <x:c r="U20" s="115"/>
      <x:c r="V20" s="115"/>
      <x:c r="W20" s="115"/>
      <x:c r="X20" s="115"/>
      <x:c r="Y20" s="115"/>
      <x:c r="Z20" s="115"/>
    </x:row>
    <x:row r="21">
      <x:c r="A21" s="115"/>
      <x:c r="B21" s="115"/>
      <x:c r="C21" s="115"/>
      <x:c r="D21" s="115"/>
      <x:c r="E21" s="115"/>
      <x:c r="F21" s="115"/>
      <x:c r="G21" s="115"/>
      <x:c r="H21" s="115"/>
      <x:c r="I21" s="115"/>
      <x:c r="J21" s="115"/>
      <x:c r="K21" s="115"/>
      <x:c r="L21" s="115"/>
      <x:c r="M21" s="115"/>
      <x:c r="N21" s="115"/>
      <x:c r="O21" s="115"/>
      <x:c r="P21" s="115"/>
      <x:c r="Q21" s="115"/>
      <x:c r="R21" s="115"/>
      <x:c r="S21" s="115"/>
      <x:c r="T21" s="115"/>
      <x:c r="U21" s="115"/>
      <x:c r="V21" s="115"/>
      <x:c r="W21" s="115"/>
      <x:c r="X21" s="115"/>
      <x:c r="Y21" s="115"/>
      <x:c r="Z21" s="115"/>
    </x:row>
    <x:row r="22">
      <x:c r="A22" s="115"/>
      <x:c r="B22" s="115"/>
      <x:c r="C22" s="115"/>
      <x:c r="D22" s="115"/>
      <x:c r="E22" s="115"/>
      <x:c r="F22" s="115"/>
      <x:c r="G22" s="115"/>
      <x:c r="H22" s="115"/>
      <x:c r="I22" s="115"/>
      <x:c r="J22" s="115"/>
      <x:c r="K22" s="115"/>
      <x:c r="L22" s="115"/>
      <x:c r="M22" s="115"/>
      <x:c r="N22" s="115"/>
      <x:c r="O22" s="115"/>
      <x:c r="P22" s="115"/>
      <x:c r="Q22" s="115"/>
      <x:c r="R22" s="115"/>
      <x:c r="S22" s="115"/>
      <x:c r="T22" s="115"/>
      <x:c r="U22" s="115"/>
      <x:c r="V22" s="115"/>
      <x:c r="W22" s="115"/>
      <x:c r="X22" s="115"/>
      <x:c r="Y22" s="115"/>
      <x:c r="Z22" s="115"/>
    </x:row>
    <x:row r="23">
      <x:c r="A23" s="115"/>
      <x:c r="B23" s="115"/>
      <x:c r="C23" s="115"/>
      <x:c r="D23" s="115"/>
      <x:c r="E23" s="115"/>
      <x:c r="F23" s="115"/>
      <x:c r="G23" s="115"/>
      <x:c r="H23" s="115"/>
      <x:c r="I23" s="115"/>
      <x:c r="J23" s="115"/>
      <x:c r="K23" s="115"/>
      <x:c r="L23" s="115"/>
      <x:c r="M23" s="115"/>
      <x:c r="N23" s="115"/>
      <x:c r="O23" s="115"/>
      <x:c r="P23" s="115"/>
      <x:c r="Q23" s="115"/>
      <x:c r="R23" s="115"/>
      <x:c r="S23" s="115"/>
      <x:c r="T23" s="115"/>
      <x:c r="U23" s="115"/>
      <x:c r="V23" s="115"/>
      <x:c r="W23" s="115"/>
      <x:c r="X23" s="115"/>
      <x:c r="Y23" s="115"/>
      <x:c r="Z23" s="115"/>
    </x:row>
    <x:row r="24">
      <x:c r="A24" s="115"/>
      <x:c r="B24" s="115"/>
      <x:c r="C24" s="115"/>
      <x:c r="D24" s="115"/>
      <x:c r="E24" s="115"/>
      <x:c r="F24" s="115"/>
      <x:c r="G24" s="115"/>
      <x:c r="H24" s="115"/>
      <x:c r="I24" s="115"/>
      <x:c r="J24" s="115"/>
      <x:c r="K24" s="115"/>
      <x:c r="L24" s="115"/>
      <x:c r="M24" s="115"/>
      <x:c r="N24" s="115"/>
      <x:c r="O24" s="115"/>
      <x:c r="P24" s="115"/>
      <x:c r="Q24" s="115"/>
      <x:c r="R24" s="115"/>
      <x:c r="S24" s="115"/>
      <x:c r="T24" s="115"/>
      <x:c r="U24" s="115"/>
      <x:c r="V24" s="115"/>
      <x:c r="W24" s="115"/>
      <x:c r="X24" s="115"/>
      <x:c r="Y24" s="115"/>
      <x:c r="Z24" s="115"/>
    </x:row>
    <x:row r="25">
      <x:c r="A25" s="115"/>
      <x:c r="B25" s="115"/>
      <x:c r="C25" s="115"/>
      <x:c r="D25" s="115"/>
      <x:c r="E25" s="115"/>
      <x:c r="F25" s="115"/>
      <x:c r="G25" s="115"/>
      <x:c r="H25" s="115"/>
      <x:c r="I25" s="115"/>
      <x:c r="J25" s="115"/>
      <x:c r="K25" s="115"/>
      <x:c r="L25" s="115"/>
      <x:c r="M25" s="115"/>
      <x:c r="N25" s="115"/>
      <x:c r="O25" s="115"/>
      <x:c r="P25" s="115"/>
      <x:c r="Q25" s="115"/>
      <x:c r="R25" s="115"/>
      <x:c r="S25" s="115"/>
      <x:c r="T25" s="115"/>
      <x:c r="U25" s="115"/>
      <x:c r="V25" s="115"/>
      <x:c r="W25" s="115"/>
      <x:c r="X25" s="115"/>
      <x:c r="Y25" s="115"/>
      <x:c r="Z25" s="115"/>
    </x:row>
    <x:row r="26">
      <x:c r="A26" s="115"/>
      <x:c r="B26" s="115"/>
      <x:c r="C26" s="115"/>
      <x:c r="D26" s="115"/>
      <x:c r="E26" s="115"/>
      <x:c r="F26" s="115"/>
      <x:c r="G26" s="115"/>
      <x:c r="H26" s="115"/>
      <x:c r="I26" s="115"/>
      <x:c r="J26" s="115"/>
      <x:c r="K26" s="115"/>
      <x:c r="L26" s="115"/>
      <x:c r="M26" s="115"/>
      <x:c r="N26" s="115"/>
      <x:c r="O26" s="115"/>
      <x:c r="P26" s="115"/>
      <x:c r="Q26" s="115"/>
      <x:c r="R26" s="115"/>
      <x:c r="S26" s="115"/>
      <x:c r="T26" s="115"/>
      <x:c r="U26" s="115"/>
      <x:c r="V26" s="115"/>
      <x:c r="W26" s="115"/>
      <x:c r="X26" s="115"/>
      <x:c r="Y26" s="115"/>
      <x:c r="Z26" s="115"/>
    </x:row>
    <x:row r="27">
      <x:c r="A27" s="115"/>
      <x:c r="B27" s="115"/>
      <x:c r="C27" s="115"/>
      <x:c r="D27" s="115"/>
      <x:c r="E27" s="115"/>
      <x:c r="F27" s="115"/>
      <x:c r="G27" s="115"/>
      <x:c r="H27" s="115"/>
      <x:c r="I27" s="115"/>
      <x:c r="J27" s="115"/>
      <x:c r="K27" s="115"/>
      <x:c r="L27" s="115"/>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15"/>
      <x:c r="B29" s="115"/>
      <x:c r="C29" s="115"/>
      <x:c r="D29" s="115"/>
      <x:c r="E29" s="115"/>
      <x:c r="F29" s="115"/>
      <x:c r="G29" s="115"/>
      <x:c r="H29" s="115"/>
      <x:c r="I29" s="115"/>
      <x:c r="J29" s="115"/>
      <x:c r="K29" s="115"/>
      <x:c r="L29" s="115"/>
      <x:c r="M29" s="115"/>
      <x:c r="N29" s="115"/>
      <x:c r="O29" s="115"/>
      <x:c r="P29" s="115"/>
      <x:c r="Q29" s="115"/>
      <x:c r="R29" s="115"/>
      <x:c r="S29" s="115"/>
      <x:c r="T29" s="115"/>
      <x:c r="U29" s="115"/>
      <x:c r="V29" s="115"/>
      <x:c r="W29" s="115"/>
      <x:c r="X29" s="115"/>
      <x:c r="Y29" s="115"/>
      <x:c r="Z29" s="115"/>
    </x:row>
    <x:row r="30">
      <x:c r="A30" s="115"/>
      <x:c r="B30" s="115"/>
      <x:c r="C30" s="115"/>
      <x:c r="D30" s="115"/>
      <x:c r="E30" s="115"/>
      <x:c r="F30" s="115"/>
      <x:c r="G30" s="115"/>
      <x:c r="H30" s="115"/>
      <x:c r="I30" s="115"/>
      <x:c r="J30" s="115"/>
      <x:c r="K30" s="115"/>
      <x:c r="L30" s="115"/>
      <x:c r="M30" s="115"/>
      <x:c r="N30" s="115"/>
      <x:c r="O30" s="115"/>
      <x:c r="P30" s="115"/>
      <x:c r="Q30" s="115"/>
      <x:c r="R30" s="115"/>
      <x:c r="S30" s="115"/>
      <x:c r="T30" s="115"/>
      <x:c r="U30" s="115"/>
      <x:c r="V30" s="115"/>
      <x:c r="W30" s="115"/>
      <x:c r="X30" s="115"/>
      <x:c r="Y30" s="115"/>
      <x:c r="Z30" s="115"/>
    </x:row>
    <x:row r="31">
      <x:c r="A31" s="115"/>
      <x:c r="B31" s="115"/>
      <x:c r="C31" s="115"/>
      <x:c r="D31" s="115"/>
      <x:c r="E31" s="115"/>
      <x:c r="F31" s="115"/>
      <x:c r="G31" s="115"/>
      <x:c r="H31" s="115"/>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H1"/>
    <x:mergeCell ref="A9:F9"/>
    <x:mergeCell ref="A18:H18"/>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33" hidden="0" customWidth="1"/>
    <x:col min="3" max="3" width="18" hidden="0" customWidth="1"/>
    <x:col min="4" max="4" width="16" hidden="0" customWidth="1"/>
    <x:col min="5" max="5" width="14" hidden="0" customWidth="1"/>
    <x:col min="6" max="6" width="44" hidden="0" customWidth="1"/>
  </x:cols>
  <x:sheetData>
    <x:row r="1" ht="30" customHeight="1">
      <x:c r="A1" s="3" t="str">
        <x:v>Grandstand Limited — Model Checks and Issue Log</x:v>
      </x:c>
      <x:c r="B1" s="3" t="str">
        <x:v>Grandstand Limited — Model Checks and Issue Log</x:v>
      </x:c>
      <x:c r="C1" s="3" t="str">
        <x:v>Grandstand Limited — Model Checks and Issue Log</x:v>
      </x:c>
      <x:c r="D1" s="3" t="str">
        <x:v>Grandstand Limited — Model Checks and Issue Log</x:v>
      </x:c>
      <x:c r="E1" s="3" t="str">
        <x:v>Grandstand Limited — Model Checks and Issue Log</x:v>
      </x:c>
      <x:c r="F1" s="3" t="str">
        <x:v>Grandstand Limited — Model Checks and Issue Log</x:v>
      </x:c>
      <x:c r="G1" s="115"/>
      <x:c r="H1" s="115"/>
      <x:c r="I1" s="115"/>
      <x:c r="J1" s="115"/>
      <x:c r="K1" s="115"/>
      <x:c r="L1" s="115"/>
      <x:c r="M1" s="115"/>
      <x:c r="N1" s="115"/>
      <x:c r="O1" s="115"/>
      <x:c r="P1" s="115"/>
      <x:c r="Q1" s="115"/>
      <x:c r="R1" s="115"/>
      <x:c r="S1" s="115"/>
      <x:c r="T1" s="115"/>
      <x:c r="U1" s="115"/>
      <x:c r="V1" s="115"/>
      <x:c r="W1" s="115"/>
      <x:c r="X1" s="115"/>
      <x:c r="Y1" s="115"/>
      <x:c r="Z1" s="115"/>
    </x:row>
    <x:row r="2">
      <x:c r="A2" s="115"/>
      <x:c r="B2" s="115"/>
      <x:c r="C2" s="115"/>
      <x:c r="D2" s="115"/>
      <x:c r="E2" s="115"/>
      <x:c r="F2" s="115"/>
      <x:c r="G2" s="115"/>
      <x:c r="H2" s="115"/>
      <x:c r="I2" s="115"/>
      <x:c r="J2" s="115"/>
      <x:c r="K2" s="115"/>
      <x:c r="L2" s="115"/>
      <x:c r="M2" s="115"/>
      <x:c r="N2" s="115"/>
      <x:c r="O2" s="115"/>
      <x:c r="P2" s="115"/>
      <x:c r="Q2" s="115"/>
      <x:c r="R2" s="115"/>
      <x:c r="S2" s="115"/>
      <x:c r="T2" s="115"/>
      <x:c r="U2" s="115"/>
      <x:c r="V2" s="115"/>
      <x:c r="W2" s="115"/>
      <x:c r="X2" s="115"/>
      <x:c r="Y2" s="115"/>
      <x:c r="Z2" s="115"/>
    </x:row>
    <x:row r="3">
      <x:c r="A3" s="12" t="str">
        <x:v>Check</x:v>
      </x:c>
      <x:c r="B3" s="13" t="str">
        <x:v>Formula / expectation</x:v>
      </x:c>
      <x:c r="C3" s="13" t="str">
        <x:v>Actual</x:v>
      </x:c>
      <x:c r="D3" s="13" t="str">
        <x:v>Tolerance</x:v>
      </x:c>
      <x:c r="E3" s="13" t="str">
        <x:v>Status</x:v>
      </x:c>
      <x:c r="F3" s="14" t="str">
        <x:v>Comment</x:v>
      </x:c>
      <x:c r="G3" s="115"/>
      <x:c r="H3" s="115"/>
      <x:c r="I3" s="115"/>
      <x:c r="J3" s="115"/>
      <x:c r="K3" s="115"/>
      <x:c r="L3" s="115"/>
      <x:c r="M3" s="115"/>
      <x:c r="N3" s="115"/>
      <x:c r="O3" s="115"/>
      <x:c r="P3" s="115"/>
      <x:c r="Q3" s="115"/>
      <x:c r="R3" s="115"/>
      <x:c r="S3" s="115"/>
      <x:c r="T3" s="115"/>
      <x:c r="U3" s="115"/>
      <x:c r="V3" s="115"/>
      <x:c r="W3" s="115"/>
      <x:c r="X3" s="115"/>
      <x:c r="Y3" s="115"/>
      <x:c r="Z3" s="115"/>
    </x:row>
    <x:row r="4">
      <x:c r="A4" s="115" t="str">
        <x:v>FY2025 revenue source tie</x:v>
      </x:c>
      <x:c r="B4" s="115" t="str">
        <x:v>165.447</x:v>
      </x:c>
      <x:c r="C4" s="146" t="n">
        <x:f>Historicals!D4</x:f>
        <x:v>165.447</x:v>
      </x:c>
      <x:c r="D4" s="146" t="n">
        <x:v>0.001</x:v>
      </x:c>
      <x:c r="E4" s="115" t="str">
        <x:f>IF(ABS(C4-165.447)&lt;=D4,"PASS","FAIL")</x:f>
        <x:v>PASS</x:v>
      </x:c>
      <x:c r="F4" s="115" t="str">
        <x:v>20-F F-3</x:v>
      </x:c>
      <x:c r="G4" s="115"/>
      <x:c r="H4" s="115"/>
      <x:c r="I4" s="115"/>
      <x:c r="J4" s="115"/>
      <x:c r="K4" s="115"/>
      <x:c r="L4" s="115"/>
      <x:c r="M4" s="115"/>
      <x:c r="N4" s="115"/>
      <x:c r="O4" s="115"/>
      <x:c r="P4" s="115"/>
      <x:c r="Q4" s="115"/>
      <x:c r="R4" s="115"/>
      <x:c r="S4" s="115"/>
      <x:c r="T4" s="115"/>
      <x:c r="U4" s="115"/>
      <x:c r="V4" s="115"/>
      <x:c r="W4" s="115"/>
      <x:c r="X4" s="115"/>
      <x:c r="Y4" s="115"/>
      <x:c r="Z4" s="115"/>
    </x:row>
    <x:row r="5">
      <x:c r="A5" s="115" t="str">
        <x:v>FY2025 CFO source tie</x:v>
      </x:c>
      <x:c r="B5" s="115" t="str">
        <x:v>19.104</x:v>
      </x:c>
      <x:c r="C5" s="146" t="n">
        <x:f>Historicals!D14</x:f>
        <x:v>19.104</x:v>
      </x:c>
      <x:c r="D5" s="146" t="n">
        <x:v>0.001</x:v>
      </x:c>
      <x:c r="E5" s="115" t="str">
        <x:f>IF(ABS(C5-19.104)&lt;=D5,"PASS","FAIL")</x:f>
        <x:v>PASS</x:v>
      </x:c>
      <x:c r="F5" s="115" t="str">
        <x:v>20-F F-6</x:v>
      </x:c>
      <x:c r="G5" s="115"/>
      <x:c r="H5" s="115"/>
      <x:c r="I5" s="115"/>
      <x:c r="J5" s="115"/>
      <x:c r="K5" s="115"/>
      <x:c r="L5" s="115"/>
      <x:c r="M5" s="115"/>
      <x:c r="N5" s="115"/>
      <x:c r="O5" s="115"/>
      <x:c r="P5" s="115"/>
      <x:c r="Q5" s="115"/>
      <x:c r="R5" s="115"/>
      <x:c r="S5" s="115"/>
      <x:c r="T5" s="115"/>
      <x:c r="U5" s="115"/>
      <x:c r="V5" s="115"/>
      <x:c r="W5" s="115"/>
      <x:c r="X5" s="115"/>
      <x:c r="Y5" s="115"/>
      <x:c r="Z5" s="115"/>
    </x:row>
    <x:row r="6">
      <x:c r="A6" s="115" t="str">
        <x:v>FY2026 guidance midpoint</x:v>
      </x:c>
      <x:c r="B6" s="115" t="str">
        <x:v>167.5</x:v>
      </x:c>
      <x:c r="C6" s="146" t="n">
        <x:f>Forecast!C4</x:f>
        <x:v>167.5</x:v>
      </x:c>
      <x:c r="D6" s="146" t="n">
        <x:v>0.001</x:v>
      </x:c>
      <x:c r="E6" s="115" t="str">
        <x:f>IF(ABS(C6-167.5)&lt;=D6,"PASS","FAIL")</x:f>
        <x:v>PASS</x:v>
      </x:c>
      <x:c r="F6" s="115" t="str">
        <x:v>Q1 release $165m–$170m</x:v>
      </x:c>
      <x:c r="G6" s="115"/>
      <x:c r="H6" s="115"/>
      <x:c r="I6" s="115"/>
      <x:c r="J6" s="115"/>
      <x:c r="K6" s="115"/>
      <x:c r="L6" s="115"/>
      <x:c r="M6" s="115"/>
      <x:c r="N6" s="115"/>
      <x:c r="O6" s="115"/>
      <x:c r="P6" s="115"/>
      <x:c r="Q6" s="115"/>
      <x:c r="R6" s="115"/>
      <x:c r="S6" s="115"/>
      <x:c r="T6" s="115"/>
      <x:c r="U6" s="115"/>
      <x:c r="V6" s="115"/>
      <x:c r="W6" s="115"/>
      <x:c r="X6" s="115"/>
      <x:c r="Y6" s="115"/>
      <x:c r="Z6" s="115"/>
    </x:row>
    <x:row r="7">
      <x:c r="A7" s="115" t="str">
        <x:v>FCFF formula</x:v>
      </x:c>
      <x:c r="B7" s="115" t="str">
        <x:v>NOPAT + D&amp;A − capex − NWC</x:v>
      </x:c>
      <x:c r="C7" s="146" t="n">
        <x:f>Forecast!C18-(Forecast!C14+Forecast!C9+Forecast!C16-Forecast!C17)</x:f>
        <x:v>0</x:v>
      </x:c>
      <x:c r="D7" s="146" t="n">
        <x:v>0.001</x:v>
      </x:c>
      <x:c r="E7" s="115" t="str">
        <x:f>IF(ABS(C7)&lt;=D7,"PASS","FAIL")</x:f>
        <x:v>PASS</x:v>
      </x:c>
      <x:c r="F7" s="115" t="str">
        <x:v>Base-year forecast</x:v>
      </x:c>
      <x:c r="G7" s="115"/>
      <x:c r="H7" s="115"/>
      <x:c r="I7" s="115"/>
      <x:c r="J7" s="115"/>
      <x:c r="K7" s="115"/>
      <x:c r="L7" s="115"/>
      <x:c r="M7" s="115"/>
      <x:c r="N7" s="115"/>
      <x:c r="O7" s="115"/>
      <x:c r="P7" s="115"/>
      <x:c r="Q7" s="115"/>
      <x:c r="R7" s="115"/>
      <x:c r="S7" s="115"/>
      <x:c r="T7" s="115"/>
      <x:c r="U7" s="115"/>
      <x:c r="V7" s="115"/>
      <x:c r="W7" s="115"/>
      <x:c r="X7" s="115"/>
      <x:c r="Y7" s="115"/>
      <x:c r="Z7" s="115"/>
    </x:row>
    <x:row r="8">
      <x:c r="A8" s="115" t="str">
        <x:v>Enterprise-to-equity bridge</x:v>
      </x:c>
      <x:c r="B8" s="115" t="str">
        <x:v>EV + cash − debt-like claims</x:v>
      </x:c>
      <x:c r="C8" s="146" t="n">
        <x:f>DCF!H16-(DCF!H11+DCF!H12+DCF!H13+DCF!H14+DCF!H15)</x:f>
        <x:v>0</x:v>
      </x:c>
      <x:c r="D8" s="146" t="n">
        <x:v>0.001</x:v>
      </x:c>
      <x:c r="E8" s="115" t="str">
        <x:f>IF(ABS(C8)&lt;=D8,"PASS","FAIL")</x:f>
        <x:v>PASS</x:v>
      </x:c>
      <x:c r="F8" s="115" t="str">
        <x:v>Debt, deferred consideration and leases included</x:v>
      </x:c>
      <x:c r="G8" s="115"/>
      <x:c r="H8" s="115"/>
      <x:c r="I8" s="115"/>
      <x:c r="J8" s="115"/>
      <x:c r="K8" s="115"/>
      <x:c r="L8" s="115"/>
      <x:c r="M8" s="115"/>
      <x:c r="N8" s="115"/>
      <x:c r="O8" s="115"/>
      <x:c r="P8" s="115"/>
      <x:c r="Q8" s="115"/>
      <x:c r="R8" s="115"/>
      <x:c r="S8" s="115"/>
      <x:c r="T8" s="115"/>
      <x:c r="U8" s="115"/>
      <x:c r="V8" s="115"/>
      <x:c r="W8" s="115"/>
      <x:c r="X8" s="115"/>
      <x:c r="Y8" s="115"/>
      <x:c r="Z8" s="115"/>
    </x:row>
    <x:row r="9">
      <x:c r="A9" s="115" t="str">
        <x:v>Terminal value concentration</x:v>
      </x:c>
      <x:c r="B9" s="115" t="str">
        <x:v>&lt; 80% warning threshold</x:v>
      </x:c>
      <x:c r="C9" s="147" t="n">
        <x:f>DCF!H10/DCF!H11</x:f>
        <x:v>0.5981926571953813</x:v>
      </x:c>
      <x:c r="D9" s="147" t="n">
        <x:v>0.8</x:v>
      </x:c>
      <x:c r="E9" s="115" t="str">
        <x:f>IF(C9&lt;=D9,"PASS","WARN")</x:f>
        <x:v>PASS</x:v>
      </x:c>
      <x:c r="F9" s="115" t="str">
        <x:v>High concentration is a caveat, not a formula error</x:v>
      </x:c>
      <x:c r="G9" s="115"/>
      <x:c r="H9" s="115"/>
      <x:c r="I9" s="115"/>
      <x:c r="J9" s="115"/>
      <x:c r="K9" s="115"/>
      <x:c r="L9" s="115"/>
      <x:c r="M9" s="115"/>
      <x:c r="N9" s="115"/>
      <x:c r="O9" s="115"/>
      <x:c r="P9" s="115"/>
      <x:c r="Q9" s="115"/>
      <x:c r="R9" s="115"/>
      <x:c r="S9" s="115"/>
      <x:c r="T9" s="115"/>
      <x:c r="U9" s="115"/>
      <x:c r="V9" s="115"/>
      <x:c r="W9" s="115"/>
      <x:c r="X9" s="115"/>
      <x:c r="Y9" s="115"/>
      <x:c r="Z9" s="115"/>
    </x:row>
    <x:row r="10">
      <x:c r="A10" s="115" t="str">
        <x:v>Scenario ordering</x:v>
      </x:c>
      <x:c r="B10" s="115" t="str">
        <x:v>Bear &lt; Base &lt; Bull</x:v>
      </x:c>
      <x:c r="C10" s="146" t="b">
        <x:f>Sensitivities!E4&lt;Sensitivities!E5</x:f>
        <x:v>1</x:v>
      </x:c>
      <x:c r="D10" s="146" t="n">
        <x:v>0</x:v>
      </x:c>
      <x:c r="E10" s="115" t="str">
        <x:f>IF(AND(C10,Sensitivities!E5&lt;Sensitivities!E6),"PASS","FAIL")</x:f>
        <x:v>PASS</x:v>
      </x:c>
      <x:c r="F10" s="115" t="str">
        <x:v>Operating scenarios</x:v>
      </x:c>
      <x:c r="G10" s="115"/>
      <x:c r="H10" s="115"/>
      <x:c r="I10" s="115"/>
      <x:c r="J10" s="115"/>
      <x:c r="K10" s="115"/>
      <x:c r="L10" s="115"/>
      <x:c r="M10" s="115"/>
      <x:c r="N10" s="115"/>
      <x:c r="O10" s="115"/>
      <x:c r="P10" s="115"/>
      <x:c r="Q10" s="115"/>
      <x:c r="R10" s="115"/>
      <x:c r="S10" s="115"/>
      <x:c r="T10" s="115"/>
      <x:c r="U10" s="115"/>
      <x:c r="V10" s="115"/>
      <x:c r="W10" s="115"/>
      <x:c r="X10" s="115"/>
      <x:c r="Y10" s="115"/>
      <x:c r="Z10" s="115"/>
    </x:row>
    <x:row r="11">
      <x:c r="A11" s="115" t="str">
        <x:v>Sensitivity monotonicity — growth</x:v>
      </x:c>
      <x:c r="B11" s="115" t="str">
        <x:v>2.0% &lt; 2.5% &lt; 3.0%</x:v>
      </x:c>
      <x:c r="C11" s="146" t="b">
        <x:f>AND(Sensitivities!B13&lt;Sensitivities!C13,Sensitivities!C13&lt;Sensitivities!D13)</x:f>
        <x:v>1</x:v>
      </x:c>
      <x:c r="D11" s="146" t="n">
        <x:v>0</x:v>
      </x:c>
      <x:c r="E11" s="115" t="str">
        <x:f>IF(C11,"PASS","FAIL")</x:f>
        <x:v>PASS</x:v>
      </x:c>
      <x:c r="F11" s="115" t="str">
        <x:v>12.5% WACC row</x:v>
      </x:c>
      <x:c r="G11" s="115"/>
      <x:c r="H11" s="115"/>
      <x:c r="I11" s="115"/>
      <x:c r="J11" s="115"/>
      <x:c r="K11" s="115"/>
      <x:c r="L11" s="115"/>
      <x:c r="M11" s="115"/>
      <x:c r="N11" s="115"/>
      <x:c r="O11" s="115"/>
      <x:c r="P11" s="115"/>
      <x:c r="Q11" s="115"/>
      <x:c r="R11" s="115"/>
      <x:c r="S11" s="115"/>
      <x:c r="T11" s="115"/>
      <x:c r="U11" s="115"/>
      <x:c r="V11" s="115"/>
      <x:c r="W11" s="115"/>
      <x:c r="X11" s="115"/>
      <x:c r="Y11" s="115"/>
      <x:c r="Z11" s="115"/>
    </x:row>
    <x:row r="12">
      <x:c r="A12" s="115" t="str">
        <x:v>Sensitivity monotonicity — WACC</x:v>
      </x:c>
      <x:c r="B12" s="115" t="str">
        <x:v>10.5% &gt; 11.5% &gt; …</x:v>
      </x:c>
      <x:c r="C12" s="146" t="b">
        <x:f>AND(Sensitivities!C11&gt;Sensitivities!C12,Sensitivities!C12&gt;Sensitivities!C13,Sensitivities!C13&gt;Sensitivities!C14,Sensitivities!C14&gt;Sensitivities!C15)</x:f>
        <x:v>1</x:v>
      </x:c>
      <x:c r="D12" s="146" t="n">
        <x:v>0</x:v>
      </x:c>
      <x:c r="E12" s="115" t="str">
        <x:f>IF(C12,"PASS","FAIL")</x:f>
        <x:v>PASS</x:v>
      </x:c>
      <x:c r="F12" s="115" t="str">
        <x:v>2.5% terminal-growth column</x:v>
      </x:c>
      <x:c r="G12" s="115"/>
      <x:c r="H12" s="115"/>
      <x:c r="I12" s="115"/>
      <x:c r="J12" s="115"/>
      <x:c r="K12" s="115"/>
      <x:c r="L12" s="115"/>
      <x:c r="M12" s="115"/>
      <x:c r="N12" s="115"/>
      <x:c r="O12" s="115"/>
      <x:c r="P12" s="115"/>
      <x:c r="Q12" s="115"/>
      <x:c r="R12" s="115"/>
      <x:c r="S12" s="115"/>
      <x:c r="T12" s="115"/>
      <x:c r="U12" s="115"/>
      <x:c r="V12" s="115"/>
      <x:c r="W12" s="115"/>
      <x:c r="X12" s="115"/>
      <x:c r="Y12" s="115"/>
      <x:c r="Z12" s="115"/>
    </x:row>
    <x:row r="13">
      <x:c r="A13" s="115" t="str">
        <x:v>Base sensitivity intersection</x:v>
      </x:c>
      <x:c r="B13" s="115" t="str">
        <x:v>Equals DCF value per share</x:v>
      </x:c>
      <x:c r="C13" s="146" t="n">
        <x:f>Sensitivities!C13-DCF!H18</x:f>
        <x:v>0</x:v>
      </x:c>
      <x:c r="D13" s="146" t="n">
        <x:v>0.01</x:v>
      </x:c>
      <x:c r="E13" s="115" t="str">
        <x:f>IF(ABS(C13)&lt;=D13,"PASS","FAIL")</x:f>
        <x:v>PASS</x:v>
      </x:c>
      <x:c r="F13" s="115" t="str">
        <x:v>13.0% / 2.5%</x:v>
      </x:c>
      <x:c r="G13" s="115"/>
      <x:c r="H13" s="115"/>
      <x:c r="I13" s="115"/>
      <x:c r="J13" s="115"/>
      <x:c r="K13" s="115"/>
      <x:c r="L13" s="115"/>
      <x:c r="M13" s="115"/>
      <x:c r="N13" s="115"/>
      <x:c r="O13" s="115"/>
      <x:c r="P13" s="115"/>
      <x:c r="Q13" s="115"/>
      <x:c r="R13" s="115"/>
      <x:c r="S13" s="115"/>
      <x:c r="T13" s="115"/>
      <x:c r="U13" s="115"/>
      <x:c r="V13" s="115"/>
      <x:c r="W13" s="115"/>
      <x:c r="X13" s="115"/>
      <x:c r="Y13" s="115"/>
      <x:c r="Z13" s="115"/>
    </x:row>
    <x:row r="14">
      <x:c r="A14" s="115"/>
      <x:c r="B14" s="115"/>
      <x:c r="C14" s="115"/>
      <x:c r="D14" s="115"/>
      <x:c r="E14" s="115"/>
      <x:c r="F14" s="115"/>
      <x:c r="G14" s="115"/>
      <x:c r="H14" s="115"/>
      <x:c r="I14" s="115"/>
      <x:c r="J14" s="115"/>
      <x:c r="K14" s="115"/>
      <x:c r="L14" s="115"/>
      <x:c r="M14" s="115"/>
      <x:c r="N14" s="115"/>
      <x:c r="O14" s="115"/>
      <x:c r="P14" s="115"/>
      <x:c r="Q14" s="115"/>
      <x:c r="R14" s="115"/>
      <x:c r="S14" s="115"/>
      <x:c r="T14" s="115"/>
      <x:c r="U14" s="115"/>
      <x:c r="V14" s="115"/>
      <x:c r="W14" s="115"/>
      <x:c r="X14" s="115"/>
      <x:c r="Y14" s="115"/>
      <x:c r="Z14" s="115"/>
    </x:row>
    <x:row r="15">
      <x:c r="A15" s="115"/>
      <x:c r="B15" s="115"/>
      <x:c r="C15" s="115"/>
      <x:c r="D15" s="115"/>
      <x:c r="E15" s="115"/>
      <x:c r="F15" s="115"/>
      <x:c r="G15" s="115"/>
      <x:c r="H15" s="115"/>
      <x:c r="I15" s="115"/>
      <x:c r="J15" s="115"/>
      <x:c r="K15" s="115"/>
      <x:c r="L15" s="115"/>
      <x:c r="M15" s="115"/>
      <x:c r="N15" s="115"/>
      <x:c r="O15" s="115"/>
      <x:c r="P15" s="115"/>
      <x:c r="Q15" s="115"/>
      <x:c r="R15" s="115"/>
      <x:c r="S15" s="115"/>
      <x:c r="T15" s="115"/>
      <x:c r="U15" s="115"/>
      <x:c r="V15" s="115"/>
      <x:c r="W15" s="115"/>
      <x:c r="X15" s="115"/>
      <x:c r="Y15" s="115"/>
      <x:c r="Z15" s="115"/>
    </x:row>
    <x:row r="16">
      <x:c r="A16" s="169" t="str">
        <x:v>Open limitations / issue log</x:v>
      </x:c>
      <x:c r="B16" s="169"/>
      <x:c r="C16" s="169"/>
      <x:c r="D16" s="169"/>
      <x:c r="E16" s="169"/>
      <x:c r="F16" s="169"/>
      <x:c r="G16" s="115"/>
      <x:c r="H16" s="115"/>
      <x:c r="I16" s="115"/>
      <x:c r="J16" s="115"/>
      <x:c r="K16" s="115"/>
      <x:c r="L16" s="115"/>
      <x:c r="M16" s="115"/>
      <x:c r="N16" s="115"/>
      <x:c r="O16" s="115"/>
      <x:c r="P16" s="115"/>
      <x:c r="Q16" s="115"/>
      <x:c r="R16" s="115"/>
      <x:c r="S16" s="115"/>
      <x:c r="T16" s="115"/>
      <x:c r="U16" s="115"/>
      <x:c r="V16" s="115"/>
      <x:c r="W16" s="115"/>
      <x:c r="X16" s="115"/>
      <x:c r="Y16" s="115"/>
      <x:c r="Z16" s="115"/>
    </x:row>
    <x:row r="17">
      <x:c r="A17" s="12" t="str">
        <x:v>Severity</x:v>
      </x:c>
      <x:c r="B17" s="13" t="str">
        <x:v>Issue</x:v>
      </x:c>
      <x:c r="C17" s="13" t="str">
        <x:v>Decision impact</x:v>
      </x:c>
      <x:c r="D17" s="13" t="str">
        <x:v>Owner</x:v>
      </x:c>
      <x:c r="E17" s="13" t="str">
        <x:v>Status</x:v>
      </x:c>
      <x:c r="F17" s="14" t="str">
        <x:v>Resolution path</x:v>
      </x:c>
      <x:c r="G17" s="115"/>
      <x:c r="H17" s="115"/>
      <x:c r="I17" s="115"/>
      <x:c r="J17" s="115"/>
      <x:c r="K17" s="115"/>
      <x:c r="L17" s="115"/>
      <x:c r="M17" s="115"/>
      <x:c r="N17" s="115"/>
      <x:c r="O17" s="115"/>
      <x:c r="P17" s="115"/>
      <x:c r="Q17" s="115"/>
      <x:c r="R17" s="115"/>
      <x:c r="S17" s="115"/>
      <x:c r="T17" s="115"/>
      <x:c r="U17" s="115"/>
      <x:c r="V17" s="115"/>
      <x:c r="W17" s="115"/>
      <x:c r="X17" s="115"/>
      <x:c r="Y17" s="115"/>
      <x:c r="Z17" s="115"/>
    </x:row>
    <x:row r="18" ht="36" customHeight="1">
      <x:c r="A18" s="161" t="str">
        <x:v>High</x:v>
      </x:c>
      <x:c r="B18" s="161" t="str">
        <x:v>No licensed consensus, peer-multiple or beta feed</x:v>
      </x:c>
      <x:c r="C18" s="161" t="str">
        <x:v>Comps / WACC are analyst-directed</x:v>
      </x:c>
      <x:c r="D18" s="161" t="str">
        <x:v>Analyst</x:v>
      </x:c>
      <x:c r="E18" s="161" t="str">
        <x:v>Open</x:v>
      </x:c>
      <x:c r="F18" s="161" t="str">
        <x:v>Refresh against licensed market-data sources before decision use</x:v>
      </x:c>
      <x:c r="G18" s="115"/>
      <x:c r="H18" s="115"/>
      <x:c r="I18" s="115"/>
      <x:c r="J18" s="115"/>
      <x:c r="K18" s="115"/>
      <x:c r="L18" s="115"/>
      <x:c r="M18" s="115"/>
      <x:c r="N18" s="115"/>
      <x:c r="O18" s="115"/>
      <x:c r="P18" s="115"/>
      <x:c r="Q18" s="115"/>
      <x:c r="R18" s="115"/>
      <x:c r="S18" s="115"/>
      <x:c r="T18" s="115"/>
      <x:c r="U18" s="115"/>
      <x:c r="V18" s="115"/>
      <x:c r="W18" s="115"/>
      <x:c r="X18" s="115"/>
      <x:c r="Y18" s="115"/>
      <x:c r="Z18" s="115"/>
    </x:row>
    <x:row r="19" ht="36" customHeight="1">
      <x:c r="A19" s="161" t="str">
        <x:v>High</x:v>
      </x:c>
      <x:c r="B19" s="161" t="str">
        <x:v>Q2 2026 results not yet reported</x:v>
      </x:c>
      <x:c r="C19" s="161" t="str">
        <x:v>FY2026 guidance and cash bridge can change</x:v>
      </x:c>
      <x:c r="D19" s="161" t="str">
        <x:v>Company / analyst</x:v>
      </x:c>
      <x:c r="E19" s="161" t="str">
        <x:v>Open</x:v>
      </x:c>
      <x:c r="F19" s="161" t="str">
        <x:v>Refresh at next earnings</x:v>
      </x:c>
      <x:c r="G19" s="115"/>
      <x:c r="H19" s="115"/>
      <x:c r="I19" s="115"/>
      <x:c r="J19" s="115"/>
      <x:c r="K19" s="115"/>
      <x:c r="L19" s="115"/>
      <x:c r="M19" s="115"/>
      <x:c r="N19" s="115"/>
      <x:c r="O19" s="115"/>
      <x:c r="P19" s="115"/>
      <x:c r="Q19" s="115"/>
      <x:c r="R19" s="115"/>
      <x:c r="S19" s="115"/>
      <x:c r="T19" s="115"/>
      <x:c r="U19" s="115"/>
      <x:c r="V19" s="115"/>
      <x:c r="W19" s="115"/>
      <x:c r="X19" s="115"/>
      <x:c r="Y19" s="115"/>
      <x:c r="Z19" s="115"/>
    </x:row>
    <x:row r="20" ht="36" customHeight="1">
      <x:c r="A20" s="161" t="str">
        <x:v>Medium</x:v>
      </x:c>
      <x:c r="B20" s="161" t="str">
        <x:v>Post-Q1 debt / deferred-consideration settlements incomplete</x:v>
      </x:c>
      <x:c r="C20" s="161" t="str">
        <x:v>Net-debt bridge may be stale</x:v>
      </x:c>
      <x:c r="D20" s="161" t="str">
        <x:v>Analyst</x:v>
      </x:c>
      <x:c r="E20" s="161" t="str">
        <x:v>Open</x:v>
      </x:c>
      <x:c r="F20" s="161" t="str">
        <x:v>Update with Q2 cash and credit-facility disclosure</x:v>
      </x:c>
      <x:c r="G20" s="115"/>
      <x:c r="H20" s="115"/>
      <x:c r="I20" s="115"/>
      <x:c r="J20" s="115"/>
      <x:c r="K20" s="115"/>
      <x:c r="L20" s="115"/>
      <x:c r="M20" s="115"/>
      <x:c r="N20" s="115"/>
      <x:c r="O20" s="115"/>
      <x:c r="P20" s="115"/>
      <x:c r="Q20" s="115"/>
      <x:c r="R20" s="115"/>
      <x:c r="S20" s="115"/>
      <x:c r="T20" s="115"/>
      <x:c r="U20" s="115"/>
      <x:c r="V20" s="115"/>
      <x:c r="W20" s="115"/>
      <x:c r="X20" s="115"/>
      <x:c r="Y20" s="115"/>
      <x:c r="Z20" s="115"/>
    </x:row>
    <x:row r="21">
      <x:c r="A21" s="115"/>
      <x:c r="B21" s="115"/>
      <x:c r="C21" s="115"/>
      <x:c r="D21" s="115"/>
      <x:c r="E21" s="115"/>
      <x:c r="F21" s="115"/>
      <x:c r="G21" s="115"/>
      <x:c r="H21" s="115"/>
      <x:c r="I21" s="115"/>
      <x:c r="J21" s="115"/>
      <x:c r="K21" s="115"/>
      <x:c r="L21" s="115"/>
      <x:c r="M21" s="115"/>
      <x:c r="N21" s="115"/>
      <x:c r="O21" s="115"/>
      <x:c r="P21" s="115"/>
      <x:c r="Q21" s="115"/>
      <x:c r="R21" s="115"/>
      <x:c r="S21" s="115"/>
      <x:c r="T21" s="115"/>
      <x:c r="U21" s="115"/>
      <x:c r="V21" s="115"/>
      <x:c r="W21" s="115"/>
      <x:c r="X21" s="115"/>
      <x:c r="Y21" s="115"/>
      <x:c r="Z21" s="115"/>
    </x:row>
    <x:row r="22">
      <x:c r="A22" s="115"/>
      <x:c r="B22" s="115"/>
      <x:c r="C22" s="115"/>
      <x:c r="D22" s="115"/>
      <x:c r="E22" s="115"/>
      <x:c r="F22" s="115"/>
      <x:c r="G22" s="115"/>
      <x:c r="H22" s="115"/>
      <x:c r="I22" s="115"/>
      <x:c r="J22" s="115"/>
      <x:c r="K22" s="115"/>
      <x:c r="L22" s="115"/>
      <x:c r="M22" s="115"/>
      <x:c r="N22" s="115"/>
      <x:c r="O22" s="115"/>
      <x:c r="P22" s="115"/>
      <x:c r="Q22" s="115"/>
      <x:c r="R22" s="115"/>
      <x:c r="S22" s="115"/>
      <x:c r="T22" s="115"/>
      <x:c r="U22" s="115"/>
      <x:c r="V22" s="115"/>
      <x:c r="W22" s="115"/>
      <x:c r="X22" s="115"/>
      <x:c r="Y22" s="115"/>
      <x:c r="Z22" s="115"/>
    </x:row>
    <x:row r="23">
      <x:c r="A23" s="115"/>
      <x:c r="B23" s="115"/>
      <x:c r="C23" s="115"/>
      <x:c r="D23" s="115"/>
      <x:c r="E23" s="115"/>
      <x:c r="F23" s="115"/>
      <x:c r="G23" s="115"/>
      <x:c r="H23" s="115"/>
      <x:c r="I23" s="115"/>
      <x:c r="J23" s="115"/>
      <x:c r="K23" s="115"/>
      <x:c r="L23" s="115"/>
      <x:c r="M23" s="115"/>
      <x:c r="N23" s="115"/>
      <x:c r="O23" s="115"/>
      <x:c r="P23" s="115"/>
      <x:c r="Q23" s="115"/>
      <x:c r="R23" s="115"/>
      <x:c r="S23" s="115"/>
      <x:c r="T23" s="115"/>
      <x:c r="U23" s="115"/>
      <x:c r="V23" s="115"/>
      <x:c r="W23" s="115"/>
      <x:c r="X23" s="115"/>
      <x:c r="Y23" s="115"/>
      <x:c r="Z23" s="115"/>
    </x:row>
    <x:row r="24">
      <x:c r="A24" s="115"/>
      <x:c r="B24" s="115"/>
      <x:c r="C24" s="115"/>
      <x:c r="D24" s="115"/>
      <x:c r="E24" s="115"/>
      <x:c r="F24" s="115"/>
      <x:c r="G24" s="115"/>
      <x:c r="H24" s="115"/>
      <x:c r="I24" s="115"/>
      <x:c r="J24" s="115"/>
      <x:c r="K24" s="115"/>
      <x:c r="L24" s="115"/>
      <x:c r="M24" s="115"/>
      <x:c r="N24" s="115"/>
      <x:c r="O24" s="115"/>
      <x:c r="P24" s="115"/>
      <x:c r="Q24" s="115"/>
      <x:c r="R24" s="115"/>
      <x:c r="S24" s="115"/>
      <x:c r="T24" s="115"/>
      <x:c r="U24" s="115"/>
      <x:c r="V24" s="115"/>
      <x:c r="W24" s="115"/>
      <x:c r="X24" s="115"/>
      <x:c r="Y24" s="115"/>
      <x:c r="Z24" s="115"/>
    </x:row>
    <x:row r="25">
      <x:c r="A25" s="115"/>
      <x:c r="B25" s="115"/>
      <x:c r="C25" s="115"/>
      <x:c r="D25" s="115"/>
      <x:c r="E25" s="115"/>
      <x:c r="F25" s="115"/>
      <x:c r="G25" s="115"/>
      <x:c r="H25" s="115"/>
      <x:c r="I25" s="115"/>
      <x:c r="J25" s="115"/>
      <x:c r="K25" s="115"/>
      <x:c r="L25" s="115"/>
      <x:c r="M25" s="115"/>
      <x:c r="N25" s="115"/>
      <x:c r="O25" s="115"/>
      <x:c r="P25" s="115"/>
      <x:c r="Q25" s="115"/>
      <x:c r="R25" s="115"/>
      <x:c r="S25" s="115"/>
      <x:c r="T25" s="115"/>
      <x:c r="U25" s="115"/>
      <x:c r="V25" s="115"/>
      <x:c r="W25" s="115"/>
      <x:c r="X25" s="115"/>
      <x:c r="Y25" s="115"/>
      <x:c r="Z25" s="115"/>
    </x:row>
    <x:row r="26">
      <x:c r="A26" s="115"/>
      <x:c r="B26" s="115"/>
      <x:c r="C26" s="115"/>
      <x:c r="D26" s="115"/>
      <x:c r="E26" s="115"/>
      <x:c r="F26" s="115"/>
      <x:c r="G26" s="115"/>
      <x:c r="H26" s="115"/>
      <x:c r="I26" s="115"/>
      <x:c r="J26" s="115"/>
      <x:c r="K26" s="115"/>
      <x:c r="L26" s="115"/>
      <x:c r="M26" s="115"/>
      <x:c r="N26" s="115"/>
      <x:c r="O26" s="115"/>
      <x:c r="P26" s="115"/>
      <x:c r="Q26" s="115"/>
      <x:c r="R26" s="115"/>
      <x:c r="S26" s="115"/>
      <x:c r="T26" s="115"/>
      <x:c r="U26" s="115"/>
      <x:c r="V26" s="115"/>
      <x:c r="W26" s="115"/>
      <x:c r="X26" s="115"/>
      <x:c r="Y26" s="115"/>
      <x:c r="Z26" s="115"/>
    </x:row>
    <x:row r="27">
      <x:c r="A27" s="115"/>
      <x:c r="B27" s="115"/>
      <x:c r="C27" s="115"/>
      <x:c r="D27" s="115"/>
      <x:c r="E27" s="115"/>
      <x:c r="F27" s="115"/>
      <x:c r="G27" s="115"/>
      <x:c r="H27" s="115"/>
      <x:c r="I27" s="115"/>
      <x:c r="J27" s="115"/>
      <x:c r="K27" s="115"/>
      <x:c r="L27" s="115"/>
      <x:c r="M27" s="115"/>
      <x:c r="N27" s="115"/>
      <x:c r="O27" s="115"/>
      <x:c r="P27" s="115"/>
      <x:c r="Q27" s="115"/>
      <x:c r="R27" s="115"/>
      <x:c r="S27" s="115"/>
      <x:c r="T27" s="115"/>
      <x:c r="U27" s="115"/>
      <x:c r="V27" s="115"/>
      <x:c r="W27" s="115"/>
      <x:c r="X27" s="115"/>
      <x:c r="Y27" s="115"/>
      <x:c r="Z27" s="115"/>
    </x:row>
    <x:row r="28">
      <x:c r="A28" s="115"/>
      <x:c r="B28" s="115"/>
      <x:c r="C28" s="115"/>
      <x:c r="D28" s="115"/>
      <x:c r="E28" s="115"/>
      <x:c r="F28" s="115"/>
      <x:c r="G28" s="115"/>
      <x:c r="H28" s="115"/>
      <x:c r="I28" s="115"/>
      <x:c r="J28" s="115"/>
      <x:c r="K28" s="115"/>
      <x:c r="L28" s="115"/>
      <x:c r="M28" s="115"/>
      <x:c r="N28" s="115"/>
      <x:c r="O28" s="115"/>
      <x:c r="P28" s="115"/>
      <x:c r="Q28" s="115"/>
      <x:c r="R28" s="115"/>
      <x:c r="S28" s="115"/>
      <x:c r="T28" s="115"/>
      <x:c r="U28" s="115"/>
      <x:c r="V28" s="115"/>
      <x:c r="W28" s="115"/>
      <x:c r="X28" s="115"/>
      <x:c r="Y28" s="115"/>
      <x:c r="Z28" s="115"/>
    </x:row>
    <x:row r="29">
      <x:c r="A29" s="115"/>
      <x:c r="B29" s="115"/>
      <x:c r="C29" s="115"/>
      <x:c r="D29" s="115"/>
      <x:c r="E29" s="115"/>
      <x:c r="F29" s="115"/>
      <x:c r="G29" s="115"/>
      <x:c r="H29" s="115"/>
      <x:c r="I29" s="115"/>
      <x:c r="J29" s="115"/>
      <x:c r="K29" s="115"/>
      <x:c r="L29" s="115"/>
      <x:c r="M29" s="115"/>
      <x:c r="N29" s="115"/>
      <x:c r="O29" s="115"/>
      <x:c r="P29" s="115"/>
      <x:c r="Q29" s="115"/>
      <x:c r="R29" s="115"/>
      <x:c r="S29" s="115"/>
      <x:c r="T29" s="115"/>
      <x:c r="U29" s="115"/>
      <x:c r="V29" s="115"/>
      <x:c r="W29" s="115"/>
      <x:c r="X29" s="115"/>
      <x:c r="Y29" s="115"/>
      <x:c r="Z29" s="115"/>
    </x:row>
    <x:row r="30">
      <x:c r="A30" s="115"/>
      <x:c r="B30" s="115"/>
      <x:c r="C30" s="115"/>
      <x:c r="D30" s="115"/>
      <x:c r="E30" s="115"/>
      <x:c r="F30" s="115"/>
      <x:c r="G30" s="115"/>
      <x:c r="H30" s="115"/>
      <x:c r="I30" s="115"/>
      <x:c r="J30" s="115"/>
      <x:c r="K30" s="115"/>
      <x:c r="L30" s="115"/>
      <x:c r="M30" s="115"/>
      <x:c r="N30" s="115"/>
      <x:c r="O30" s="115"/>
      <x:c r="P30" s="115"/>
      <x:c r="Q30" s="115"/>
      <x:c r="R30" s="115"/>
      <x:c r="S30" s="115"/>
      <x:c r="T30" s="115"/>
      <x:c r="U30" s="115"/>
      <x:c r="V30" s="115"/>
      <x:c r="W30" s="115"/>
      <x:c r="X30" s="115"/>
      <x:c r="Y30" s="115"/>
      <x:c r="Z30" s="115"/>
    </x:row>
    <x:row r="31">
      <x:c r="A31" s="115"/>
      <x:c r="B31" s="115"/>
      <x:c r="C31" s="115"/>
      <x:c r="D31" s="115"/>
      <x:c r="E31" s="115"/>
      <x:c r="F31" s="115"/>
      <x:c r="G31" s="115"/>
      <x:c r="H31" s="115"/>
      <x:c r="I31" s="115"/>
      <x:c r="J31" s="115"/>
      <x:c r="K31" s="115"/>
      <x:c r="L31" s="115"/>
      <x:c r="M31" s="115"/>
      <x:c r="N31" s="115"/>
      <x:c r="O31" s="115"/>
      <x:c r="P31" s="115"/>
      <x:c r="Q31" s="115"/>
      <x:c r="R31" s="115"/>
      <x:c r="S31" s="115"/>
      <x:c r="T31" s="115"/>
      <x:c r="U31" s="115"/>
      <x:c r="V31" s="115"/>
      <x:c r="W31" s="115"/>
      <x:c r="X31" s="115"/>
      <x:c r="Y31" s="115"/>
      <x:c r="Z31" s="115"/>
    </x:row>
    <x:row r="32">
      <x:c r="A32" s="115"/>
      <x:c r="B32" s="115"/>
      <x:c r="C32" s="115"/>
      <x:c r="D32" s="115"/>
      <x:c r="E32" s="115"/>
      <x:c r="F32" s="115"/>
      <x:c r="G32" s="115"/>
      <x:c r="H32" s="115"/>
      <x:c r="I32" s="115"/>
      <x:c r="J32" s="115"/>
      <x:c r="K32" s="115"/>
      <x:c r="L32" s="115"/>
      <x:c r="M32" s="115"/>
      <x:c r="N32" s="115"/>
      <x:c r="O32" s="115"/>
      <x:c r="P32" s="115"/>
      <x:c r="Q32" s="115"/>
      <x:c r="R32" s="115"/>
      <x:c r="S32" s="115"/>
      <x:c r="T32" s="115"/>
      <x:c r="U32" s="115"/>
      <x:c r="V32" s="115"/>
      <x:c r="W32" s="115"/>
      <x:c r="X32" s="115"/>
      <x:c r="Y32" s="115"/>
      <x:c r="Z32" s="115"/>
    </x:row>
    <x:row r="33">
      <x:c r="A33" s="115"/>
      <x:c r="B33" s="115"/>
      <x:c r="C33" s="115"/>
      <x:c r="D33" s="115"/>
      <x:c r="E33" s="115"/>
      <x:c r="F33" s="115"/>
      <x:c r="G33" s="115"/>
      <x:c r="H33" s="115"/>
      <x:c r="I33" s="115"/>
      <x:c r="J33" s="115"/>
      <x:c r="K33" s="115"/>
      <x:c r="L33" s="115"/>
      <x:c r="M33" s="115"/>
      <x:c r="N33" s="115"/>
      <x:c r="O33" s="115"/>
      <x:c r="P33" s="115"/>
      <x:c r="Q33" s="115"/>
      <x:c r="R33" s="115"/>
      <x:c r="S33" s="115"/>
      <x:c r="T33" s="115"/>
      <x:c r="U33" s="115"/>
      <x:c r="V33" s="115"/>
      <x:c r="W33" s="115"/>
      <x:c r="X33" s="115"/>
      <x:c r="Y33" s="115"/>
      <x:c r="Z33" s="115"/>
    </x:row>
    <x:row r="34">
      <x:c r="A34" s="115"/>
      <x:c r="B34" s="115"/>
      <x:c r="C34" s="115"/>
      <x:c r="D34" s="115"/>
      <x:c r="E34" s="115"/>
      <x:c r="F34" s="115"/>
      <x:c r="G34" s="115"/>
      <x:c r="H34" s="115"/>
      <x:c r="I34" s="115"/>
      <x:c r="J34" s="115"/>
      <x:c r="K34" s="115"/>
      <x:c r="L34" s="115"/>
      <x:c r="M34" s="115"/>
      <x:c r="N34" s="115"/>
      <x:c r="O34" s="115"/>
      <x:c r="P34" s="115"/>
      <x:c r="Q34" s="115"/>
      <x:c r="R34" s="115"/>
      <x:c r="S34" s="115"/>
      <x:c r="T34" s="115"/>
      <x:c r="U34" s="115"/>
      <x:c r="V34" s="115"/>
      <x:c r="W34" s="115"/>
      <x:c r="X34" s="115"/>
      <x:c r="Y34" s="115"/>
      <x:c r="Z34" s="115"/>
    </x:row>
    <x:row r="35">
      <x:c r="A35" s="115"/>
      <x:c r="B35" s="115"/>
      <x:c r="C35" s="115"/>
      <x:c r="D35" s="115"/>
      <x:c r="E35" s="115"/>
      <x:c r="F35" s="115"/>
      <x:c r="G35" s="115"/>
      <x:c r="H35" s="115"/>
      <x:c r="I35" s="115"/>
      <x:c r="J35" s="115"/>
      <x:c r="K35" s="115"/>
      <x:c r="L35" s="115"/>
      <x:c r="M35" s="115"/>
      <x:c r="N35" s="115"/>
      <x:c r="O35" s="115"/>
      <x:c r="P35" s="115"/>
      <x:c r="Q35" s="115"/>
      <x:c r="R35" s="115"/>
      <x:c r="S35" s="115"/>
      <x:c r="T35" s="115"/>
      <x:c r="U35" s="115"/>
      <x:c r="V35" s="115"/>
      <x:c r="W35" s="115"/>
      <x:c r="X35" s="115"/>
      <x:c r="Y35" s="115"/>
      <x:c r="Z35" s="115"/>
    </x:row>
    <x:row r="36">
      <x:c r="A36" s="115"/>
      <x:c r="B36" s="115"/>
      <x:c r="C36" s="115"/>
      <x:c r="D36" s="115"/>
      <x:c r="E36" s="115"/>
      <x:c r="F36" s="115"/>
      <x:c r="G36" s="115"/>
      <x:c r="H36" s="115"/>
      <x:c r="I36" s="115"/>
      <x:c r="J36" s="115"/>
      <x:c r="K36" s="115"/>
      <x:c r="L36" s="115"/>
      <x:c r="M36" s="115"/>
      <x:c r="N36" s="115"/>
      <x:c r="O36" s="115"/>
      <x:c r="P36" s="115"/>
      <x:c r="Q36" s="115"/>
      <x:c r="R36" s="115"/>
      <x:c r="S36" s="115"/>
      <x:c r="T36" s="115"/>
      <x:c r="U36" s="115"/>
      <x:c r="V36" s="115"/>
      <x:c r="W36" s="115"/>
      <x:c r="X36" s="115"/>
      <x:c r="Y36" s="115"/>
      <x:c r="Z36" s="115"/>
    </x:row>
    <x:row r="37">
      <x:c r="A37" s="115"/>
      <x:c r="B37" s="115"/>
      <x:c r="C37" s="115"/>
      <x:c r="D37" s="115"/>
      <x:c r="E37" s="115"/>
      <x:c r="F37" s="115"/>
      <x:c r="G37" s="115"/>
      <x:c r="H37" s="115"/>
      <x:c r="I37" s="115"/>
      <x:c r="J37" s="115"/>
      <x:c r="K37" s="115"/>
      <x:c r="L37" s="115"/>
      <x:c r="M37" s="115"/>
      <x:c r="N37" s="115"/>
      <x:c r="O37" s="115"/>
      <x:c r="P37" s="115"/>
      <x:c r="Q37" s="115"/>
      <x:c r="R37" s="115"/>
      <x:c r="S37" s="115"/>
      <x:c r="T37" s="115"/>
      <x:c r="U37" s="115"/>
      <x:c r="V37" s="115"/>
      <x:c r="W37" s="115"/>
      <x:c r="X37" s="115"/>
      <x:c r="Y37" s="115"/>
      <x:c r="Z37" s="115"/>
    </x:row>
    <x:row r="38">
      <x:c r="A38" s="115"/>
      <x:c r="B38" s="115"/>
      <x:c r="C38" s="115"/>
      <x:c r="D38" s="115"/>
      <x:c r="E38" s="115"/>
      <x:c r="F38" s="115"/>
      <x:c r="G38" s="115"/>
      <x:c r="H38" s="115"/>
      <x:c r="I38" s="115"/>
      <x:c r="J38" s="115"/>
      <x:c r="K38" s="115"/>
      <x:c r="L38" s="115"/>
      <x:c r="M38" s="115"/>
      <x:c r="N38" s="115"/>
      <x:c r="O38" s="115"/>
      <x:c r="P38" s="115"/>
      <x:c r="Q38" s="115"/>
      <x:c r="R38" s="115"/>
      <x:c r="S38" s="115"/>
      <x:c r="T38" s="115"/>
      <x:c r="U38" s="115"/>
      <x:c r="V38" s="115"/>
      <x:c r="W38" s="115"/>
      <x:c r="X38" s="115"/>
      <x:c r="Y38" s="115"/>
      <x:c r="Z38" s="115"/>
    </x:row>
    <x:row r="39">
      <x:c r="A39" s="115"/>
      <x:c r="B39" s="115"/>
      <x:c r="C39" s="115"/>
      <x:c r="D39" s="115"/>
      <x:c r="E39" s="115"/>
      <x:c r="F39" s="115"/>
      <x:c r="G39" s="115"/>
      <x:c r="H39" s="115"/>
      <x:c r="I39" s="115"/>
      <x:c r="J39" s="115"/>
      <x:c r="K39" s="115"/>
      <x:c r="L39" s="115"/>
      <x:c r="M39" s="115"/>
      <x:c r="N39" s="115"/>
      <x:c r="O39" s="115"/>
      <x:c r="P39" s="115"/>
      <x:c r="Q39" s="115"/>
      <x:c r="R39" s="115"/>
      <x:c r="S39" s="115"/>
      <x:c r="T39" s="115"/>
      <x:c r="U39" s="115"/>
      <x:c r="V39" s="115"/>
      <x:c r="W39" s="115"/>
      <x:c r="X39" s="115"/>
      <x:c r="Y39" s="115"/>
      <x:c r="Z39" s="115"/>
    </x:row>
    <x:row r="40">
      <x:c r="A40" s="115"/>
      <x:c r="B40" s="115"/>
      <x:c r="C40" s="115"/>
      <x:c r="D40" s="115"/>
      <x:c r="E40" s="115"/>
      <x:c r="F40" s="115"/>
      <x:c r="G40" s="115"/>
      <x:c r="H40" s="115"/>
      <x:c r="I40" s="115"/>
      <x:c r="J40" s="115"/>
      <x:c r="K40" s="115"/>
      <x:c r="L40" s="115"/>
      <x:c r="M40" s="115"/>
      <x:c r="N40" s="115"/>
      <x:c r="O40" s="115"/>
      <x:c r="P40" s="115"/>
      <x:c r="Q40" s="115"/>
      <x:c r="R40" s="115"/>
      <x:c r="S40" s="115"/>
      <x:c r="T40" s="115"/>
      <x:c r="U40" s="115"/>
      <x:c r="V40" s="115"/>
      <x:c r="W40" s="115"/>
      <x:c r="X40" s="115"/>
      <x:c r="Y40" s="115"/>
      <x:c r="Z40" s="115"/>
    </x:row>
    <x:row r="41">
      <x:c r="A41" s="115"/>
      <x:c r="B41" s="115"/>
      <x:c r="C41" s="115"/>
      <x:c r="D41" s="115"/>
      <x:c r="E41" s="115"/>
      <x:c r="F41" s="115"/>
      <x:c r="G41" s="115"/>
      <x:c r="H41" s="115"/>
      <x:c r="I41" s="115"/>
      <x:c r="J41" s="115"/>
      <x:c r="K41" s="115"/>
      <x:c r="L41" s="115"/>
      <x:c r="M41" s="115"/>
      <x:c r="N41" s="115"/>
      <x:c r="O41" s="115"/>
      <x:c r="P41" s="115"/>
      <x:c r="Q41" s="115"/>
      <x:c r="R41" s="115"/>
      <x:c r="S41" s="115"/>
      <x:c r="T41" s="115"/>
      <x:c r="U41" s="115"/>
      <x:c r="V41" s="115"/>
      <x:c r="W41" s="115"/>
      <x:c r="X41" s="115"/>
      <x:c r="Y41" s="115"/>
      <x:c r="Z41" s="115"/>
    </x:row>
    <x:row r="42">
      <x:c r="A42" s="115"/>
      <x:c r="B42" s="115"/>
      <x:c r="C42" s="115"/>
      <x:c r="D42" s="115"/>
      <x:c r="E42" s="115"/>
      <x:c r="F42" s="115"/>
      <x:c r="G42" s="115"/>
      <x:c r="H42" s="115"/>
      <x:c r="I42" s="115"/>
      <x:c r="J42" s="115"/>
      <x:c r="K42" s="115"/>
      <x:c r="L42" s="115"/>
      <x:c r="M42" s="115"/>
      <x:c r="N42" s="115"/>
      <x:c r="O42" s="115"/>
      <x:c r="P42" s="115"/>
      <x:c r="Q42" s="115"/>
      <x:c r="R42" s="115"/>
      <x:c r="S42" s="115"/>
      <x:c r="T42" s="115"/>
      <x:c r="U42" s="115"/>
      <x:c r="V42" s="115"/>
      <x:c r="W42" s="115"/>
      <x:c r="X42" s="115"/>
      <x:c r="Y42" s="115"/>
      <x:c r="Z42" s="115"/>
    </x:row>
    <x:row r="43">
      <x:c r="A43" s="115"/>
      <x:c r="B43" s="115"/>
      <x:c r="C43" s="115"/>
      <x:c r="D43" s="115"/>
      <x:c r="E43" s="115"/>
      <x:c r="F43" s="115"/>
      <x:c r="G43" s="115"/>
      <x:c r="H43" s="115"/>
      <x:c r="I43" s="115"/>
      <x:c r="J43" s="115"/>
      <x:c r="K43" s="115"/>
      <x:c r="L43" s="115"/>
      <x:c r="M43" s="115"/>
      <x:c r="N43" s="115"/>
      <x:c r="O43" s="115"/>
      <x:c r="P43" s="115"/>
      <x:c r="Q43" s="115"/>
      <x:c r="R43" s="115"/>
      <x:c r="S43" s="115"/>
      <x:c r="T43" s="115"/>
      <x:c r="U43" s="115"/>
      <x:c r="V43" s="115"/>
      <x:c r="W43" s="115"/>
      <x:c r="X43" s="115"/>
      <x:c r="Y43" s="115"/>
      <x:c r="Z43" s="115"/>
    </x:row>
    <x:row r="44">
      <x:c r="A44" s="115"/>
      <x:c r="B44" s="115"/>
      <x:c r="C44" s="115"/>
      <x:c r="D44" s="115"/>
      <x:c r="E44" s="115"/>
      <x:c r="F44" s="115"/>
      <x:c r="G44" s="115"/>
      <x:c r="H44" s="115"/>
      <x:c r="I44" s="115"/>
      <x:c r="J44" s="115"/>
      <x:c r="K44" s="115"/>
      <x:c r="L44" s="115"/>
      <x:c r="M44" s="115"/>
      <x:c r="N44" s="115"/>
      <x:c r="O44" s="115"/>
      <x:c r="P44" s="115"/>
      <x:c r="Q44" s="115"/>
      <x:c r="R44" s="115"/>
      <x:c r="S44" s="115"/>
      <x:c r="T44" s="115"/>
      <x:c r="U44" s="115"/>
      <x:c r="V44" s="115"/>
      <x:c r="W44" s="115"/>
      <x:c r="X44" s="115"/>
      <x:c r="Y44" s="115"/>
      <x:c r="Z44" s="115"/>
    </x:row>
    <x:row r="45">
      <x:c r="A45" s="115"/>
      <x:c r="B45" s="115"/>
      <x:c r="C45" s="115"/>
      <x:c r="D45" s="115"/>
      <x:c r="E45" s="115"/>
      <x:c r="F45" s="115"/>
      <x:c r="G45" s="115"/>
      <x:c r="H45" s="115"/>
      <x:c r="I45" s="115"/>
      <x:c r="J45" s="115"/>
      <x:c r="K45" s="115"/>
      <x:c r="L45" s="115"/>
      <x:c r="M45" s="115"/>
      <x:c r="N45" s="115"/>
      <x:c r="O45" s="115"/>
      <x:c r="P45" s="115"/>
      <x:c r="Q45" s="115"/>
      <x:c r="R45" s="115"/>
      <x:c r="S45" s="115"/>
      <x:c r="T45" s="115"/>
      <x:c r="U45" s="115"/>
      <x:c r="V45" s="115"/>
      <x:c r="W45" s="115"/>
      <x:c r="X45" s="115"/>
      <x:c r="Y45" s="115"/>
      <x:c r="Z45" s="115"/>
    </x:row>
    <x:row r="46">
      <x:c r="A46" s="115"/>
      <x:c r="B46" s="115"/>
      <x:c r="C46" s="115"/>
      <x:c r="D46" s="115"/>
      <x:c r="E46" s="115"/>
      <x:c r="F46" s="115"/>
      <x:c r="G46" s="115"/>
      <x:c r="H46" s="115"/>
      <x:c r="I46" s="115"/>
      <x:c r="J46" s="115"/>
      <x:c r="K46" s="115"/>
      <x:c r="L46" s="115"/>
      <x:c r="M46" s="115"/>
      <x:c r="N46" s="115"/>
      <x:c r="O46" s="115"/>
      <x:c r="P46" s="115"/>
      <x:c r="Q46" s="115"/>
      <x:c r="R46" s="115"/>
      <x:c r="S46" s="115"/>
      <x:c r="T46" s="115"/>
      <x:c r="U46" s="115"/>
      <x:c r="V46" s="115"/>
      <x:c r="W46" s="115"/>
      <x:c r="X46" s="115"/>
      <x:c r="Y46" s="115"/>
      <x:c r="Z46" s="115"/>
    </x:row>
    <x:row r="47">
      <x:c r="A47" s="115"/>
      <x:c r="B47" s="115"/>
      <x:c r="C47" s="115"/>
      <x:c r="D47" s="115"/>
      <x:c r="E47" s="115"/>
      <x:c r="F47" s="115"/>
      <x:c r="G47" s="115"/>
      <x:c r="H47" s="115"/>
      <x:c r="I47" s="115"/>
      <x:c r="J47" s="115"/>
      <x:c r="K47" s="115"/>
      <x:c r="L47" s="115"/>
      <x:c r="M47" s="115"/>
      <x:c r="N47" s="115"/>
      <x:c r="O47" s="115"/>
      <x:c r="P47" s="115"/>
      <x:c r="Q47" s="115"/>
      <x:c r="R47" s="115"/>
      <x:c r="S47" s="115"/>
      <x:c r="T47" s="115"/>
      <x:c r="U47" s="115"/>
      <x:c r="V47" s="115"/>
      <x:c r="W47" s="115"/>
      <x:c r="X47" s="115"/>
      <x:c r="Y47" s="115"/>
      <x:c r="Z47" s="115"/>
    </x:row>
    <x:row r="48">
      <x:c r="A48" s="115"/>
      <x:c r="B48" s="115"/>
      <x:c r="C48" s="115"/>
      <x:c r="D48" s="115"/>
      <x:c r="E48" s="115"/>
      <x:c r="F48" s="115"/>
      <x:c r="G48" s="115"/>
      <x:c r="H48" s="115"/>
      <x:c r="I48" s="115"/>
      <x:c r="J48" s="115"/>
      <x:c r="K48" s="115"/>
      <x:c r="L48" s="115"/>
      <x:c r="M48" s="115"/>
      <x:c r="N48" s="115"/>
      <x:c r="O48" s="115"/>
      <x:c r="P48" s="115"/>
      <x:c r="Q48" s="115"/>
      <x:c r="R48" s="115"/>
      <x:c r="S48" s="115"/>
      <x:c r="T48" s="115"/>
      <x:c r="U48" s="115"/>
      <x:c r="V48" s="115"/>
      <x:c r="W48" s="115"/>
      <x:c r="X48" s="115"/>
      <x:c r="Y48" s="115"/>
      <x:c r="Z48" s="115"/>
    </x:row>
    <x:row r="49">
      <x:c r="A49" s="115"/>
      <x:c r="B49" s="115"/>
      <x:c r="C49" s="115"/>
      <x:c r="D49" s="115"/>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row>
    <x:row r="50">
      <x:c r="A50" s="115"/>
      <x:c r="B50" s="115"/>
      <x:c r="C50" s="115"/>
      <x:c r="D50" s="115"/>
      <x:c r="E50" s="115"/>
      <x:c r="F50" s="115"/>
      <x:c r="G50" s="115"/>
      <x:c r="H50" s="115"/>
      <x:c r="I50" s="115"/>
      <x:c r="J50" s="115"/>
      <x:c r="K50" s="115"/>
      <x:c r="L50" s="115"/>
      <x:c r="M50" s="115"/>
      <x:c r="N50" s="115"/>
      <x:c r="O50" s="115"/>
      <x:c r="P50" s="115"/>
      <x:c r="Q50" s="115"/>
      <x:c r="R50" s="115"/>
      <x:c r="S50" s="115"/>
      <x:c r="T50" s="115"/>
      <x:c r="U50" s="115"/>
      <x:c r="V50" s="115"/>
      <x:c r="W50" s="115"/>
      <x:c r="X50" s="115"/>
      <x:c r="Y50" s="115"/>
      <x:c r="Z50" s="115"/>
    </x:row>
    <x:row r="51">
      <x:c r="A51" s="115"/>
      <x:c r="B51" s="115"/>
      <x:c r="C51" s="115"/>
      <x:c r="D51" s="115"/>
      <x:c r="E51" s="115"/>
      <x:c r="F51" s="115"/>
      <x:c r="G51" s="115"/>
      <x:c r="H51" s="115"/>
      <x:c r="I51" s="115"/>
      <x:c r="J51" s="115"/>
      <x:c r="K51" s="115"/>
      <x:c r="L51" s="115"/>
      <x:c r="M51" s="115"/>
      <x:c r="N51" s="115"/>
      <x:c r="O51" s="115"/>
      <x:c r="P51" s="115"/>
      <x:c r="Q51" s="115"/>
      <x:c r="R51" s="115"/>
      <x:c r="S51" s="115"/>
      <x:c r="T51" s="115"/>
      <x:c r="U51" s="115"/>
      <x:c r="V51" s="115"/>
      <x:c r="W51" s="115"/>
      <x:c r="X51" s="115"/>
      <x:c r="Y51" s="115"/>
      <x:c r="Z51" s="115"/>
    </x:row>
    <x:row r="52">
      <x:c r="A52" s="115"/>
      <x:c r="B52" s="115"/>
      <x:c r="C52" s="115"/>
      <x:c r="D52" s="115"/>
      <x:c r="E52" s="115"/>
      <x:c r="F52" s="115"/>
      <x:c r="G52" s="115"/>
      <x:c r="H52" s="115"/>
      <x:c r="I52" s="115"/>
      <x:c r="J52" s="115"/>
      <x:c r="K52" s="115"/>
      <x:c r="L52" s="115"/>
      <x:c r="M52" s="115"/>
      <x:c r="N52" s="115"/>
      <x:c r="O52" s="115"/>
      <x:c r="P52" s="115"/>
      <x:c r="Q52" s="115"/>
      <x:c r="R52" s="115"/>
      <x:c r="S52" s="115"/>
      <x:c r="T52" s="115"/>
      <x:c r="U52" s="115"/>
      <x:c r="V52" s="115"/>
      <x:c r="W52" s="115"/>
      <x:c r="X52" s="115"/>
      <x:c r="Y52" s="115"/>
      <x:c r="Z52" s="115"/>
    </x:row>
    <x:row r="53">
      <x:c r="A53" s="115"/>
      <x:c r="B53" s="115"/>
      <x:c r="C53" s="115"/>
      <x:c r="D53" s="115"/>
      <x:c r="E53" s="115"/>
      <x:c r="F53" s="115"/>
      <x:c r="G53" s="115"/>
      <x:c r="H53" s="115"/>
      <x:c r="I53" s="115"/>
      <x:c r="J53" s="115"/>
      <x:c r="K53" s="115"/>
      <x:c r="L53" s="115"/>
      <x:c r="M53" s="115"/>
      <x:c r="N53" s="115"/>
      <x:c r="O53" s="115"/>
      <x:c r="P53" s="115"/>
      <x:c r="Q53" s="115"/>
      <x:c r="R53" s="115"/>
      <x:c r="S53" s="115"/>
      <x:c r="T53" s="115"/>
      <x:c r="U53" s="115"/>
      <x:c r="V53" s="115"/>
      <x:c r="W53" s="115"/>
      <x:c r="X53" s="115"/>
      <x:c r="Y53" s="115"/>
      <x:c r="Z53" s="115"/>
    </x:row>
    <x:row r="54">
      <x:c r="A54" s="115"/>
      <x:c r="B54" s="115"/>
      <x:c r="C54" s="115"/>
      <x:c r="D54" s="115"/>
      <x:c r="E54" s="115"/>
      <x:c r="F54" s="115"/>
      <x:c r="G54" s="115"/>
      <x:c r="H54" s="115"/>
      <x:c r="I54" s="115"/>
      <x:c r="J54" s="115"/>
      <x:c r="K54" s="115"/>
      <x:c r="L54" s="115"/>
      <x:c r="M54" s="115"/>
      <x:c r="N54" s="115"/>
      <x:c r="O54" s="115"/>
      <x:c r="P54" s="115"/>
      <x:c r="Q54" s="115"/>
      <x:c r="R54" s="115"/>
      <x:c r="S54" s="115"/>
      <x:c r="T54" s="115"/>
      <x:c r="U54" s="115"/>
      <x:c r="V54" s="115"/>
      <x:c r="W54" s="115"/>
      <x:c r="X54" s="115"/>
      <x:c r="Y54" s="115"/>
      <x:c r="Z54" s="115"/>
    </x:row>
    <x:row r="55">
      <x:c r="A55" s="115"/>
      <x:c r="B55" s="115"/>
      <x:c r="C55" s="115"/>
      <x:c r="D55" s="115"/>
      <x:c r="E55" s="115"/>
      <x:c r="F55" s="115"/>
      <x:c r="G55" s="115"/>
      <x:c r="H55" s="115"/>
      <x:c r="I55" s="115"/>
      <x:c r="J55" s="115"/>
      <x:c r="K55" s="115"/>
      <x:c r="L55" s="115"/>
      <x:c r="M55" s="115"/>
      <x:c r="N55" s="115"/>
      <x:c r="O55" s="115"/>
      <x:c r="P55" s="115"/>
      <x:c r="Q55" s="115"/>
      <x:c r="R55" s="115"/>
      <x:c r="S55" s="115"/>
      <x:c r="T55" s="115"/>
      <x:c r="U55" s="115"/>
      <x:c r="V55" s="115"/>
      <x:c r="W55" s="115"/>
      <x:c r="X55" s="115"/>
      <x:c r="Y55" s="115"/>
      <x:c r="Z55" s="115"/>
    </x:row>
    <x:row r="56">
      <x:c r="A56" s="115"/>
      <x:c r="B56" s="115"/>
      <x:c r="C56" s="115"/>
      <x:c r="D56" s="115"/>
      <x:c r="E56" s="115"/>
      <x:c r="F56" s="115"/>
      <x:c r="G56" s="115"/>
      <x:c r="H56" s="115"/>
      <x:c r="I56" s="115"/>
      <x:c r="J56" s="115"/>
      <x:c r="K56" s="115"/>
      <x:c r="L56" s="115"/>
      <x:c r="M56" s="115"/>
      <x:c r="N56" s="115"/>
      <x:c r="O56" s="115"/>
      <x:c r="P56" s="115"/>
      <x:c r="Q56" s="115"/>
      <x:c r="R56" s="115"/>
      <x:c r="S56" s="115"/>
      <x:c r="T56" s="115"/>
      <x:c r="U56" s="115"/>
      <x:c r="V56" s="115"/>
      <x:c r="W56" s="115"/>
      <x:c r="X56" s="115"/>
      <x:c r="Y56" s="115"/>
      <x:c r="Z56" s="115"/>
    </x:row>
    <x:row r="57">
      <x:c r="A57" s="115"/>
      <x:c r="B57" s="115"/>
      <x:c r="C57" s="115"/>
      <x:c r="D57" s="115"/>
      <x:c r="E57" s="115"/>
      <x:c r="F57" s="115"/>
      <x:c r="G57" s="115"/>
      <x:c r="H57" s="115"/>
      <x:c r="I57" s="115"/>
      <x:c r="J57" s="115"/>
      <x:c r="K57" s="115"/>
      <x:c r="L57" s="115"/>
      <x:c r="M57" s="115"/>
      <x:c r="N57" s="115"/>
      <x:c r="O57" s="115"/>
      <x:c r="P57" s="115"/>
      <x:c r="Q57" s="115"/>
      <x:c r="R57" s="115"/>
      <x:c r="S57" s="115"/>
      <x:c r="T57" s="115"/>
      <x:c r="U57" s="115"/>
      <x:c r="V57" s="115"/>
      <x:c r="W57" s="115"/>
      <x:c r="X57" s="115"/>
      <x:c r="Y57" s="115"/>
      <x:c r="Z57" s="115"/>
    </x:row>
    <x:row r="58">
      <x:c r="A58" s="115"/>
      <x:c r="B58" s="115"/>
      <x:c r="C58" s="115"/>
      <x:c r="D58" s="115"/>
      <x:c r="E58" s="115"/>
      <x:c r="F58" s="115"/>
      <x:c r="G58" s="115"/>
      <x:c r="H58" s="115"/>
      <x:c r="I58" s="115"/>
      <x:c r="J58" s="115"/>
      <x:c r="K58" s="115"/>
      <x:c r="L58" s="115"/>
      <x:c r="M58" s="115"/>
      <x:c r="N58" s="115"/>
      <x:c r="O58" s="115"/>
      <x:c r="P58" s="115"/>
      <x:c r="Q58" s="115"/>
      <x:c r="R58" s="115"/>
      <x:c r="S58" s="115"/>
      <x:c r="T58" s="115"/>
      <x:c r="U58" s="115"/>
      <x:c r="V58" s="115"/>
      <x:c r="W58" s="115"/>
      <x:c r="X58" s="115"/>
      <x:c r="Y58" s="115"/>
      <x:c r="Z58" s="115"/>
    </x:row>
    <x:row r="59">
      <x:c r="A59" s="115"/>
      <x:c r="B59" s="115"/>
      <x:c r="C59" s="115"/>
      <x:c r="D59" s="115"/>
      <x:c r="E59" s="115"/>
      <x:c r="F59" s="115"/>
      <x:c r="G59" s="115"/>
      <x:c r="H59" s="115"/>
      <x:c r="I59" s="115"/>
      <x:c r="J59" s="115"/>
      <x:c r="K59" s="115"/>
      <x:c r="L59" s="115"/>
      <x:c r="M59" s="115"/>
      <x:c r="N59" s="115"/>
      <x:c r="O59" s="115"/>
      <x:c r="P59" s="115"/>
      <x:c r="Q59" s="115"/>
      <x:c r="R59" s="115"/>
      <x:c r="S59" s="115"/>
      <x:c r="T59" s="115"/>
      <x:c r="U59" s="115"/>
      <x:c r="V59" s="115"/>
      <x:c r="W59" s="115"/>
      <x:c r="X59" s="115"/>
      <x:c r="Y59" s="115"/>
      <x:c r="Z59" s="115"/>
    </x:row>
    <x:row r="60">
      <x:c r="A60" s="115"/>
      <x:c r="B60" s="115"/>
      <x:c r="C60" s="115"/>
      <x:c r="D60" s="115"/>
      <x:c r="E60" s="115"/>
      <x:c r="F60" s="115"/>
      <x:c r="G60" s="115"/>
      <x:c r="H60" s="115"/>
      <x:c r="I60" s="115"/>
      <x:c r="J60" s="115"/>
      <x:c r="K60" s="115"/>
      <x:c r="L60" s="115"/>
      <x:c r="M60" s="115"/>
      <x:c r="N60" s="115"/>
      <x:c r="O60" s="115"/>
      <x:c r="P60" s="115"/>
      <x:c r="Q60" s="115"/>
      <x:c r="R60" s="115"/>
      <x:c r="S60" s="115"/>
      <x:c r="T60" s="115"/>
      <x:c r="U60" s="115"/>
      <x:c r="V60" s="115"/>
      <x:c r="W60" s="115"/>
      <x:c r="X60" s="115"/>
      <x:c r="Y60" s="115"/>
      <x:c r="Z60" s="115"/>
    </x:row>
  </x:sheetData>
  <x:mergeCells>
    <x:mergeCell ref="A1:F1"/>
    <x:mergeCell ref="A16:F16"/>
  </x:mergeCells>
  <x:pageMargins left="0.7" right="0.7" top="0.75" bottom="0.75" header="0.3" footer="0.3"/>
</x:worksheet>
</file>